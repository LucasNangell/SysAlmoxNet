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9040" windowHeight="15750" activeTab="1"/>
  </bookViews>
  <sheets>
    <sheet name="Pços Unit Mercado" sheetId="24" r:id="rId1"/>
    <sheet name="Produtos" sheetId="1" r:id="rId2"/>
    <sheet name=" EstruturaDados" sheetId="28" r:id="rId3"/>
    <sheet name="BseDados" sheetId="21" r:id="rId4"/>
    <sheet name="Configs" sheetId="3" r:id="rId5"/>
    <sheet name="UN" sheetId="26" r:id="rId6"/>
    <sheet name="ProdsLista" sheetId="27" r:id="rId7"/>
  </sheets>
  <functionGroups builtInGroupCount="17"/>
  <externalReferences>
    <externalReference r:id="rId8"/>
  </externalReferences>
  <definedNames>
    <definedName name="_xlnm._FilterDatabase" localSheetId="0" hidden="1">'Pços Unit Mercado'!$F$9:$X$62</definedName>
    <definedName name="_xlnm._FilterDatabase" localSheetId="1" hidden="1">Produtos!$B$20:$AG$369</definedName>
    <definedName name="_Toc302054036" localSheetId="5">UN!#REF!</definedName>
    <definedName name="_xlnm.Print_Area" localSheetId="1">Produtos!$AT$20:$CB$80</definedName>
    <definedName name="_xlnm.Criteria" localSheetId="1">Produtos!$B$3:$AE$3</definedName>
    <definedName name="DataRows" localSheetId="3">BseDados!$B$3:$E$3</definedName>
    <definedName name="DataRows" localSheetId="4">Configs!$C$8:$J$10</definedName>
    <definedName name="DataTbe" localSheetId="3">BseDados!$B$3:$F$3</definedName>
    <definedName name="DataTbe" localSheetId="4">Configs!$B$8:$K$10</definedName>
    <definedName name="DataTbe_Geral" localSheetId="3">BseDados!#REF!</definedName>
    <definedName name="DataTbe_Historico" localSheetId="1">Produtos!#REF!</definedName>
    <definedName name="DataTbe_Print" localSheetId="1">Produtos!$B$21:$AG$369</definedName>
    <definedName name="Frame" localSheetId="3">BseDados!#REF!,BseDados!#REF!,BseDados!$F$3:$F$4,BseDados!$B$4:$F$4,BseDados!#REF!</definedName>
    <definedName name="Frame" localSheetId="4">Configs!$B$3:$K$3,Configs!$B$3:$B$13,Configs!$K$3:$K$13,Configs!$B$11:$K$13,Configs!$B$7:$K$7</definedName>
    <definedName name="Mt_Calc_Aç">#REF!</definedName>
    <definedName name="Mt_Calc_FII">#REF!</definedName>
    <definedName name="Mt_Calc_REIT">#REF!</definedName>
    <definedName name="Mt_Calc_Stock">#REF!</definedName>
    <definedName name="Mt_Data">#REF!</definedName>
    <definedName name="Pgt_Cat">[1]Pagtos!$C$9:$C$213</definedName>
    <definedName name="Pgt_Cotista">[1]Pagtos!$G$9:$G$213</definedName>
    <definedName name="Pgt_Ref">[1]Pagtos!$H$9:$H$213</definedName>
    <definedName name="Pgt_Valor">[1]Pagtos!$F$9:$F$213</definedName>
  </definedNames>
  <calcPr calcId="145621"/>
</workbook>
</file>

<file path=xl/calcChain.xml><?xml version="1.0" encoding="utf-8"?>
<calcChain xmlns="http://schemas.openxmlformats.org/spreadsheetml/2006/main">
  <c r="AG195" i="1" l="1" a="1"/>
  <c r="AG195" i="1" s="1"/>
  <c r="AE195" i="1"/>
  <c r="AF195" i="1" s="1"/>
  <c r="AD195" i="1"/>
  <c r="AC195" i="1"/>
  <c r="AB195" i="1"/>
  <c r="AA195" i="1"/>
  <c r="AG194" i="1" a="1"/>
  <c r="AG194" i="1" s="1"/>
  <c r="AE194" i="1"/>
  <c r="AF194" i="1" s="1"/>
  <c r="AB194" i="1"/>
  <c r="AC194" i="1" s="1"/>
  <c r="AD194" i="1" s="1"/>
  <c r="AA194" i="1"/>
  <c r="AG193" i="1" a="1"/>
  <c r="AG193" i="1" s="1"/>
  <c r="AE193" i="1"/>
  <c r="AF193" i="1" s="1"/>
  <c r="AD193" i="1"/>
  <c r="AC193" i="1"/>
  <c r="AB193" i="1"/>
  <c r="AA193" i="1"/>
  <c r="AE307" i="1" l="1"/>
  <c r="AF307" i="1" s="1"/>
  <c r="AB307" i="1"/>
  <c r="AC307" i="1" s="1"/>
  <c r="AD307" i="1" s="1"/>
  <c r="AA307" i="1"/>
  <c r="AG305" i="1" l="1" a="1"/>
  <c r="AG305" i="1" s="1"/>
  <c r="AE305" i="1"/>
  <c r="AF305" i="1" s="1"/>
  <c r="AD305" i="1"/>
  <c r="AC305" i="1"/>
  <c r="AB305" i="1"/>
  <c r="AA305" i="1"/>
  <c r="AG308" i="1" a="1"/>
  <c r="AG308" i="1" s="1"/>
  <c r="AE308" i="1"/>
  <c r="AF308" i="1" s="1"/>
  <c r="AB308" i="1"/>
  <c r="AC308" i="1" s="1"/>
  <c r="AD308" i="1" s="1"/>
  <c r="AA308" i="1"/>
  <c r="AE306" i="1"/>
  <c r="AF306" i="1" s="1"/>
  <c r="AB306" i="1"/>
  <c r="AC306" i="1" s="1"/>
  <c r="AD306" i="1" s="1"/>
  <c r="AA306" i="1"/>
  <c r="AG309" i="1" a="1"/>
  <c r="AG309" i="1" s="1"/>
  <c r="AE309" i="1"/>
  <c r="AF309" i="1" s="1"/>
  <c r="AD309" i="1"/>
  <c r="AC309" i="1"/>
  <c r="AB309" i="1"/>
  <c r="AA309" i="1"/>
  <c r="AA233" i="1"/>
  <c r="AB233" i="1"/>
  <c r="AC233" i="1" s="1"/>
  <c r="AD233" i="1"/>
  <c r="AE233" i="1"/>
  <c r="AF233" i="1" s="1"/>
  <c r="C2" i="27" l="1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/>
  <c r="C290" i="27"/>
  <c r="C291" i="27"/>
  <c r="C298" i="27"/>
  <c r="C292" i="27"/>
  <c r="C296" i="27"/>
  <c r="C297" i="27"/>
  <c r="C293" i="27"/>
  <c r="C294" i="27"/>
  <c r="C295" i="27"/>
  <c r="C299" i="27"/>
  <c r="C300" i="27"/>
  <c r="C301" i="27"/>
  <c r="C302" i="27"/>
  <c r="C303" i="27"/>
  <c r="C304" i="27"/>
  <c r="C305" i="27"/>
  <c r="C306" i="27"/>
  <c r="C307" i="27"/>
  <c r="C308" i="27"/>
  <c r="C309" i="27"/>
  <c r="C310" i="27"/>
  <c r="C311" i="27"/>
  <c r="C312" i="27"/>
  <c r="C313" i="27"/>
  <c r="C314" i="27"/>
  <c r="C315" i="27"/>
  <c r="C316" i="27"/>
  <c r="C317" i="27"/>
  <c r="C318" i="27"/>
  <c r="C319" i="27"/>
  <c r="C320" i="27"/>
  <c r="C321" i="27"/>
  <c r="C322" i="27"/>
  <c r="C323" i="27"/>
  <c r="C324" i="27"/>
  <c r="C325" i="27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/>
  <c r="AA235" i="1" l="1"/>
  <c r="AB235" i="1"/>
  <c r="AC235" i="1" s="1"/>
  <c r="AD235" i="1" s="1"/>
  <c r="AE235" i="1"/>
  <c r="AF235" i="1" s="1"/>
  <c r="AG236" i="1" a="1"/>
  <c r="AG236" i="1" s="1"/>
  <c r="AE236" i="1"/>
  <c r="AF236" i="1" s="1"/>
  <c r="AD236" i="1"/>
  <c r="AB236" i="1"/>
  <c r="AC236" i="1" s="1"/>
  <c r="AA236" i="1"/>
  <c r="AA234" i="1"/>
  <c r="AB234" i="1"/>
  <c r="AC234" i="1" s="1"/>
  <c r="AD234" i="1" s="1"/>
  <c r="AE234" i="1"/>
  <c r="AF234" i="1" s="1"/>
  <c r="AA369" i="1" l="1"/>
  <c r="AB369" i="1"/>
  <c r="AC369" i="1"/>
  <c r="AD369" i="1"/>
  <c r="AE369" i="1"/>
  <c r="AF369" i="1" s="1"/>
  <c r="AG369" i="1" a="1"/>
  <c r="AG369" i="1" s="1"/>
  <c r="AE368" i="1" l="1"/>
  <c r="AF368" i="1" s="1"/>
  <c r="AD368" i="1"/>
  <c r="AC368" i="1"/>
  <c r="AB368" i="1"/>
  <c r="AA368" i="1"/>
  <c r="AE367" i="1"/>
  <c r="AF367" i="1" s="1"/>
  <c r="AD367" i="1"/>
  <c r="AC367" i="1"/>
  <c r="AB367" i="1"/>
  <c r="AA367" i="1"/>
  <c r="AE366" i="1"/>
  <c r="AF366" i="1" s="1"/>
  <c r="AD366" i="1"/>
  <c r="AC366" i="1"/>
  <c r="AB366" i="1"/>
  <c r="AA366" i="1"/>
  <c r="AE365" i="1"/>
  <c r="AF365" i="1" s="1"/>
  <c r="AD365" i="1"/>
  <c r="AC365" i="1"/>
  <c r="AB365" i="1"/>
  <c r="AA365" i="1"/>
  <c r="AE364" i="1"/>
  <c r="AF364" i="1" s="1"/>
  <c r="AD364" i="1"/>
  <c r="AC364" i="1"/>
  <c r="AB364" i="1"/>
  <c r="AA364" i="1"/>
  <c r="AE363" i="1"/>
  <c r="AF363" i="1" s="1"/>
  <c r="AD363" i="1"/>
  <c r="AC363" i="1"/>
  <c r="AB363" i="1"/>
  <c r="AA363" i="1"/>
  <c r="AE362" i="1"/>
  <c r="AF362" i="1" s="1"/>
  <c r="AD362" i="1"/>
  <c r="AC362" i="1"/>
  <c r="AB362" i="1"/>
  <c r="AA362" i="1"/>
  <c r="AE361" i="1"/>
  <c r="AF361" i="1" s="1"/>
  <c r="AD361" i="1"/>
  <c r="AC361" i="1"/>
  <c r="AB361" i="1"/>
  <c r="AA361" i="1"/>
  <c r="AE360" i="1"/>
  <c r="AF360" i="1" s="1"/>
  <c r="AD360" i="1"/>
  <c r="AC360" i="1"/>
  <c r="AB360" i="1"/>
  <c r="AA360" i="1"/>
  <c r="AE359" i="1"/>
  <c r="AF359" i="1" s="1"/>
  <c r="AD359" i="1"/>
  <c r="AC359" i="1"/>
  <c r="AB359" i="1"/>
  <c r="AA359" i="1"/>
  <c r="AE358" i="1"/>
  <c r="AF358" i="1" s="1"/>
  <c r="AD358" i="1"/>
  <c r="AC358" i="1"/>
  <c r="AB358" i="1"/>
  <c r="AA358" i="1"/>
  <c r="AE357" i="1"/>
  <c r="AF357" i="1" s="1"/>
  <c r="AD357" i="1"/>
  <c r="AC357" i="1"/>
  <c r="AB357" i="1"/>
  <c r="AA357" i="1"/>
  <c r="AE356" i="1"/>
  <c r="AF356" i="1" s="1"/>
  <c r="AD356" i="1"/>
  <c r="AC356" i="1"/>
  <c r="AB356" i="1"/>
  <c r="AA356" i="1"/>
  <c r="AE355" i="1"/>
  <c r="AF355" i="1" s="1"/>
  <c r="AD355" i="1"/>
  <c r="AC355" i="1"/>
  <c r="AB355" i="1"/>
  <c r="AA355" i="1"/>
  <c r="AE354" i="1"/>
  <c r="AF354" i="1" s="1"/>
  <c r="AD354" i="1"/>
  <c r="AC354" i="1"/>
  <c r="AB354" i="1"/>
  <c r="AA354" i="1"/>
  <c r="AE353" i="1"/>
  <c r="AF353" i="1" s="1"/>
  <c r="AD353" i="1"/>
  <c r="AC353" i="1"/>
  <c r="AB353" i="1"/>
  <c r="AA353" i="1"/>
  <c r="AE352" i="1"/>
  <c r="AF352" i="1" s="1"/>
  <c r="AD352" i="1"/>
  <c r="AC352" i="1"/>
  <c r="AB352" i="1"/>
  <c r="AA352" i="1"/>
  <c r="AE351" i="1"/>
  <c r="AF351" i="1" s="1"/>
  <c r="AD351" i="1"/>
  <c r="AC351" i="1"/>
  <c r="AB351" i="1"/>
  <c r="AA351" i="1"/>
  <c r="AE350" i="1"/>
  <c r="AF350" i="1" s="1"/>
  <c r="AD350" i="1"/>
  <c r="AC350" i="1"/>
  <c r="AB350" i="1"/>
  <c r="AA350" i="1"/>
  <c r="AE349" i="1"/>
  <c r="AF349" i="1" s="1"/>
  <c r="AD349" i="1"/>
  <c r="AC349" i="1"/>
  <c r="AB349" i="1"/>
  <c r="AA349" i="1"/>
  <c r="AE348" i="1"/>
  <c r="AF348" i="1" s="1"/>
  <c r="AD348" i="1"/>
  <c r="AC348" i="1"/>
  <c r="AB348" i="1"/>
  <c r="AA348" i="1"/>
  <c r="AE347" i="1"/>
  <c r="AF347" i="1" s="1"/>
  <c r="AD347" i="1"/>
  <c r="AC347" i="1"/>
  <c r="AB347" i="1"/>
  <c r="AA347" i="1"/>
  <c r="AE346" i="1"/>
  <c r="AF346" i="1" s="1"/>
  <c r="AD346" i="1"/>
  <c r="AC346" i="1"/>
  <c r="AB346" i="1"/>
  <c r="AA346" i="1"/>
  <c r="AE345" i="1"/>
  <c r="AF345" i="1" s="1"/>
  <c r="AD345" i="1"/>
  <c r="AC345" i="1"/>
  <c r="AB345" i="1"/>
  <c r="AA345" i="1"/>
  <c r="AE344" i="1"/>
  <c r="AF344" i="1" s="1"/>
  <c r="AD344" i="1"/>
  <c r="AC344" i="1"/>
  <c r="AB344" i="1"/>
  <c r="AA344" i="1"/>
  <c r="AE343" i="1"/>
  <c r="AF343" i="1" s="1"/>
  <c r="AD343" i="1"/>
  <c r="AC343" i="1"/>
  <c r="AB343" i="1"/>
  <c r="AA343" i="1"/>
  <c r="AE342" i="1"/>
  <c r="AF342" i="1" s="1"/>
  <c r="AD342" i="1"/>
  <c r="AC342" i="1"/>
  <c r="AB342" i="1"/>
  <c r="AA342" i="1"/>
  <c r="AE341" i="1"/>
  <c r="AF341" i="1" s="1"/>
  <c r="AD341" i="1"/>
  <c r="AC341" i="1"/>
  <c r="AB341" i="1"/>
  <c r="AA341" i="1"/>
  <c r="AE340" i="1"/>
  <c r="AF340" i="1" s="1"/>
  <c r="AD340" i="1"/>
  <c r="AC340" i="1"/>
  <c r="AB340" i="1"/>
  <c r="AA340" i="1"/>
  <c r="AE339" i="1"/>
  <c r="AF339" i="1" s="1"/>
  <c r="AD339" i="1"/>
  <c r="AC339" i="1"/>
  <c r="AB339" i="1"/>
  <c r="AA339" i="1"/>
  <c r="AE338" i="1"/>
  <c r="AF338" i="1" s="1"/>
  <c r="AD338" i="1"/>
  <c r="AC338" i="1"/>
  <c r="AB338" i="1"/>
  <c r="AA338" i="1"/>
  <c r="AE337" i="1"/>
  <c r="AF337" i="1" s="1"/>
  <c r="AD337" i="1"/>
  <c r="AC337" i="1"/>
  <c r="AB337" i="1"/>
  <c r="AA337" i="1"/>
  <c r="AE336" i="1"/>
  <c r="AF336" i="1" s="1"/>
  <c r="AD336" i="1"/>
  <c r="AC336" i="1"/>
  <c r="AB336" i="1"/>
  <c r="AA336" i="1"/>
  <c r="AE335" i="1"/>
  <c r="AF335" i="1" s="1"/>
  <c r="AD335" i="1"/>
  <c r="AC335" i="1"/>
  <c r="AB335" i="1"/>
  <c r="AA335" i="1"/>
  <c r="AE334" i="1"/>
  <c r="AF334" i="1" s="1"/>
  <c r="AD334" i="1"/>
  <c r="AC334" i="1"/>
  <c r="AB334" i="1"/>
  <c r="AA334" i="1"/>
  <c r="AE333" i="1"/>
  <c r="AF333" i="1" s="1"/>
  <c r="AD333" i="1"/>
  <c r="AC333" i="1"/>
  <c r="AB333" i="1"/>
  <c r="AA333" i="1"/>
  <c r="AE332" i="1"/>
  <c r="AF332" i="1" s="1"/>
  <c r="AD332" i="1"/>
  <c r="AC332" i="1"/>
  <c r="AB332" i="1"/>
  <c r="AA332" i="1"/>
  <c r="AE331" i="1"/>
  <c r="AF331" i="1" s="1"/>
  <c r="AD331" i="1"/>
  <c r="AC331" i="1"/>
  <c r="AB331" i="1"/>
  <c r="AA331" i="1"/>
  <c r="AE330" i="1"/>
  <c r="AF330" i="1" s="1"/>
  <c r="AD330" i="1"/>
  <c r="AC330" i="1"/>
  <c r="AB330" i="1"/>
  <c r="AA330" i="1"/>
  <c r="AE329" i="1"/>
  <c r="AF329" i="1" s="1"/>
  <c r="AD329" i="1"/>
  <c r="AC329" i="1"/>
  <c r="AB329" i="1"/>
  <c r="AA329" i="1"/>
  <c r="AE328" i="1"/>
  <c r="AF328" i="1" s="1"/>
  <c r="AD328" i="1"/>
  <c r="AC328" i="1"/>
  <c r="AB328" i="1"/>
  <c r="AA328" i="1"/>
  <c r="AE327" i="1"/>
  <c r="AF327" i="1" s="1"/>
  <c r="AD327" i="1"/>
  <c r="AC327" i="1"/>
  <c r="AB327" i="1"/>
  <c r="AA327" i="1"/>
  <c r="AE326" i="1"/>
  <c r="AF326" i="1" s="1"/>
  <c r="AD326" i="1"/>
  <c r="AC326" i="1"/>
  <c r="AB326" i="1"/>
  <c r="AA326" i="1"/>
  <c r="AE325" i="1"/>
  <c r="AF325" i="1" s="1"/>
  <c r="AD325" i="1"/>
  <c r="AC325" i="1"/>
  <c r="AB325" i="1"/>
  <c r="AA325" i="1"/>
  <c r="AE324" i="1"/>
  <c r="AF324" i="1" s="1"/>
  <c r="AD324" i="1"/>
  <c r="AC324" i="1"/>
  <c r="AB324" i="1"/>
  <c r="AA324" i="1"/>
  <c r="AE323" i="1"/>
  <c r="AF323" i="1" s="1"/>
  <c r="AD323" i="1"/>
  <c r="AC323" i="1"/>
  <c r="AB323" i="1"/>
  <c r="AA323" i="1"/>
  <c r="AE322" i="1"/>
  <c r="AF322" i="1" s="1"/>
  <c r="AD322" i="1"/>
  <c r="AC322" i="1"/>
  <c r="AB322" i="1"/>
  <c r="AA322" i="1"/>
  <c r="AE321" i="1"/>
  <c r="AF321" i="1" s="1"/>
  <c r="AD321" i="1"/>
  <c r="AC321" i="1"/>
  <c r="AB321" i="1"/>
  <c r="AA321" i="1"/>
  <c r="AE320" i="1"/>
  <c r="AF320" i="1" s="1"/>
  <c r="AD320" i="1"/>
  <c r="AC320" i="1"/>
  <c r="AB320" i="1"/>
  <c r="AA320" i="1"/>
  <c r="AE319" i="1"/>
  <c r="AF319" i="1" s="1"/>
  <c r="AD319" i="1"/>
  <c r="AC319" i="1"/>
  <c r="AB319" i="1"/>
  <c r="AA319" i="1"/>
  <c r="AE318" i="1"/>
  <c r="AF318" i="1" s="1"/>
  <c r="AD318" i="1"/>
  <c r="AC318" i="1"/>
  <c r="AB318" i="1"/>
  <c r="AA318" i="1"/>
  <c r="AE317" i="1"/>
  <c r="AF317" i="1" s="1"/>
  <c r="AD317" i="1"/>
  <c r="AC317" i="1"/>
  <c r="AB317" i="1"/>
  <c r="AA317" i="1"/>
  <c r="AE316" i="1"/>
  <c r="AF316" i="1" s="1"/>
  <c r="AD316" i="1"/>
  <c r="AC316" i="1"/>
  <c r="AB316" i="1"/>
  <c r="AA316" i="1"/>
  <c r="AE315" i="1"/>
  <c r="AF315" i="1" s="1"/>
  <c r="AD315" i="1"/>
  <c r="AC315" i="1"/>
  <c r="AB315" i="1"/>
  <c r="AA315" i="1"/>
  <c r="AE314" i="1"/>
  <c r="AF314" i="1" s="1"/>
  <c r="AD314" i="1"/>
  <c r="AC314" i="1"/>
  <c r="AB314" i="1"/>
  <c r="AA314" i="1"/>
  <c r="AE313" i="1"/>
  <c r="AF313" i="1" s="1"/>
  <c r="AD313" i="1"/>
  <c r="AC313" i="1"/>
  <c r="AB313" i="1"/>
  <c r="AA313" i="1"/>
  <c r="AE312" i="1"/>
  <c r="AF312" i="1" s="1"/>
  <c r="AD312" i="1"/>
  <c r="AC312" i="1"/>
  <c r="AB312" i="1"/>
  <c r="AA312" i="1"/>
  <c r="AE311" i="1"/>
  <c r="AF311" i="1" s="1"/>
  <c r="AD311" i="1"/>
  <c r="AC311" i="1"/>
  <c r="AB311" i="1"/>
  <c r="AA311" i="1"/>
  <c r="AE310" i="1"/>
  <c r="AF310" i="1" s="1"/>
  <c r="AD310" i="1"/>
  <c r="AC310" i="1"/>
  <c r="AB310" i="1"/>
  <c r="AA310" i="1"/>
  <c r="AE304" i="1"/>
  <c r="AF304" i="1" s="1"/>
  <c r="AB304" i="1"/>
  <c r="AC304" i="1" s="1"/>
  <c r="AD304" i="1" s="1"/>
  <c r="AA304" i="1"/>
  <c r="AE303" i="1"/>
  <c r="AF303" i="1" s="1"/>
  <c r="AD303" i="1"/>
  <c r="AC303" i="1"/>
  <c r="AB303" i="1"/>
  <c r="AA303" i="1"/>
  <c r="AE302" i="1"/>
  <c r="AF302" i="1" s="1"/>
  <c r="AD302" i="1"/>
  <c r="AC302" i="1"/>
  <c r="AB302" i="1"/>
  <c r="AA302" i="1"/>
  <c r="AE301" i="1"/>
  <c r="AF301" i="1" s="1"/>
  <c r="AD301" i="1"/>
  <c r="AC301" i="1"/>
  <c r="AB301" i="1"/>
  <c r="AA301" i="1"/>
  <c r="AE300" i="1"/>
  <c r="AF300" i="1" s="1"/>
  <c r="AD300" i="1"/>
  <c r="AC300" i="1"/>
  <c r="AB300" i="1"/>
  <c r="AA300" i="1"/>
  <c r="AE299" i="1"/>
  <c r="AF299" i="1" s="1"/>
  <c r="AD299" i="1"/>
  <c r="AC299" i="1"/>
  <c r="AB299" i="1"/>
  <c r="AA299" i="1"/>
  <c r="AE298" i="1"/>
  <c r="AF298" i="1" s="1"/>
  <c r="AD298" i="1"/>
  <c r="AC298" i="1"/>
  <c r="AB298" i="1"/>
  <c r="AA298" i="1"/>
  <c r="AE297" i="1"/>
  <c r="AF297" i="1" s="1"/>
  <c r="AD297" i="1"/>
  <c r="AC297" i="1"/>
  <c r="AB297" i="1"/>
  <c r="AA297" i="1"/>
  <c r="AE296" i="1"/>
  <c r="AF296" i="1" s="1"/>
  <c r="AD296" i="1"/>
  <c r="AC296" i="1"/>
  <c r="AB296" i="1"/>
  <c r="AA296" i="1"/>
  <c r="AE295" i="1"/>
  <c r="AF295" i="1" s="1"/>
  <c r="AD295" i="1"/>
  <c r="AC295" i="1"/>
  <c r="AB295" i="1"/>
  <c r="AA295" i="1"/>
  <c r="AE294" i="1"/>
  <c r="AF294" i="1" s="1"/>
  <c r="AD294" i="1"/>
  <c r="AC294" i="1"/>
  <c r="AB294" i="1"/>
  <c r="AA294" i="1"/>
  <c r="AE293" i="1"/>
  <c r="AF293" i="1" s="1"/>
  <c r="AD293" i="1"/>
  <c r="AC293" i="1"/>
  <c r="AB293" i="1"/>
  <c r="AA293" i="1"/>
  <c r="AE292" i="1"/>
  <c r="AF292" i="1" s="1"/>
  <c r="AD292" i="1"/>
  <c r="AC292" i="1"/>
  <c r="AB292" i="1"/>
  <c r="AA292" i="1"/>
  <c r="AE291" i="1"/>
  <c r="AF291" i="1" s="1"/>
  <c r="AD291" i="1"/>
  <c r="AC291" i="1"/>
  <c r="AB291" i="1"/>
  <c r="AA291" i="1"/>
  <c r="AE290" i="1"/>
  <c r="AF290" i="1" s="1"/>
  <c r="AD290" i="1"/>
  <c r="AC290" i="1"/>
  <c r="AB290" i="1"/>
  <c r="AA290" i="1"/>
  <c r="AE289" i="1"/>
  <c r="AF289" i="1" s="1"/>
  <c r="AD289" i="1"/>
  <c r="AC289" i="1"/>
  <c r="AB289" i="1"/>
  <c r="AA289" i="1"/>
  <c r="AE288" i="1"/>
  <c r="AF288" i="1" s="1"/>
  <c r="AD288" i="1"/>
  <c r="AC288" i="1"/>
  <c r="AB288" i="1"/>
  <c r="AA288" i="1"/>
  <c r="AE287" i="1"/>
  <c r="AF287" i="1" s="1"/>
  <c r="AD287" i="1"/>
  <c r="AC287" i="1"/>
  <c r="AB287" i="1"/>
  <c r="AA287" i="1"/>
  <c r="AE286" i="1"/>
  <c r="AF286" i="1" s="1"/>
  <c r="AD286" i="1"/>
  <c r="AC286" i="1"/>
  <c r="AB286" i="1"/>
  <c r="AA286" i="1"/>
  <c r="AE285" i="1"/>
  <c r="AF285" i="1" s="1"/>
  <c r="AD285" i="1"/>
  <c r="AC285" i="1"/>
  <c r="AB285" i="1"/>
  <c r="AA285" i="1"/>
  <c r="AE284" i="1"/>
  <c r="AF284" i="1" s="1"/>
  <c r="AD284" i="1"/>
  <c r="AC284" i="1"/>
  <c r="AB284" i="1"/>
  <c r="AA284" i="1"/>
  <c r="AE283" i="1"/>
  <c r="AF283" i="1" s="1"/>
  <c r="AD283" i="1"/>
  <c r="AC283" i="1"/>
  <c r="AB283" i="1"/>
  <c r="AA283" i="1"/>
  <c r="AE282" i="1"/>
  <c r="AF282" i="1" s="1"/>
  <c r="AD282" i="1"/>
  <c r="AC282" i="1"/>
  <c r="AB282" i="1"/>
  <c r="AA282" i="1"/>
  <c r="AE281" i="1"/>
  <c r="AF281" i="1" s="1"/>
  <c r="AD281" i="1"/>
  <c r="AC281" i="1"/>
  <c r="AB281" i="1"/>
  <c r="AA281" i="1"/>
  <c r="AE280" i="1"/>
  <c r="AF280" i="1" s="1"/>
  <c r="AD280" i="1"/>
  <c r="AC280" i="1"/>
  <c r="AB280" i="1"/>
  <c r="AA280" i="1"/>
  <c r="AE279" i="1"/>
  <c r="AF279" i="1" s="1"/>
  <c r="AD279" i="1"/>
  <c r="AC279" i="1"/>
  <c r="AB279" i="1"/>
  <c r="AA279" i="1"/>
  <c r="AE278" i="1"/>
  <c r="AF278" i="1" s="1"/>
  <c r="AD278" i="1"/>
  <c r="AC278" i="1"/>
  <c r="AB278" i="1"/>
  <c r="AA278" i="1"/>
  <c r="AE277" i="1"/>
  <c r="AF277" i="1" s="1"/>
  <c r="AD277" i="1"/>
  <c r="AC277" i="1"/>
  <c r="AB277" i="1"/>
  <c r="AA277" i="1"/>
  <c r="AE276" i="1"/>
  <c r="AF276" i="1" s="1"/>
  <c r="AD276" i="1"/>
  <c r="AC276" i="1"/>
  <c r="AB276" i="1"/>
  <c r="AA276" i="1"/>
  <c r="AE275" i="1"/>
  <c r="AF275" i="1" s="1"/>
  <c r="AD275" i="1"/>
  <c r="AC275" i="1"/>
  <c r="AB275" i="1"/>
  <c r="AA275" i="1"/>
  <c r="AE274" i="1"/>
  <c r="AF274" i="1" s="1"/>
  <c r="AD274" i="1"/>
  <c r="AC274" i="1"/>
  <c r="AB274" i="1"/>
  <c r="AA274" i="1"/>
  <c r="AE273" i="1"/>
  <c r="AF273" i="1" s="1"/>
  <c r="AD273" i="1"/>
  <c r="AB273" i="1"/>
  <c r="AC273" i="1" s="1"/>
  <c r="AA273" i="1"/>
  <c r="AE272" i="1"/>
  <c r="AF272" i="1" s="1"/>
  <c r="AD272" i="1"/>
  <c r="AB272" i="1"/>
  <c r="AC272" i="1" s="1"/>
  <c r="AA272" i="1"/>
  <c r="AE271" i="1"/>
  <c r="AF271" i="1" s="1"/>
  <c r="AD271" i="1"/>
  <c r="AC271" i="1"/>
  <c r="AB271" i="1"/>
  <c r="AA271" i="1"/>
  <c r="AE270" i="1"/>
  <c r="AF270" i="1" s="1"/>
  <c r="AD270" i="1"/>
  <c r="AC270" i="1"/>
  <c r="AB270" i="1"/>
  <c r="AA270" i="1"/>
  <c r="AE269" i="1"/>
  <c r="AF269" i="1" s="1"/>
  <c r="AD269" i="1"/>
  <c r="AB269" i="1"/>
  <c r="AC269" i="1" s="1"/>
  <c r="AA269" i="1"/>
  <c r="AE268" i="1"/>
  <c r="AF268" i="1" s="1"/>
  <c r="AD268" i="1"/>
  <c r="AB268" i="1"/>
  <c r="AC268" i="1" s="1"/>
  <c r="AA268" i="1"/>
  <c r="AE267" i="1"/>
  <c r="AF267" i="1" s="1"/>
  <c r="AD267" i="1"/>
  <c r="AB267" i="1"/>
  <c r="AC267" i="1" s="1"/>
  <c r="AA267" i="1"/>
  <c r="AE266" i="1"/>
  <c r="AF266" i="1" s="1"/>
  <c r="AD266" i="1"/>
  <c r="AC266" i="1"/>
  <c r="AB266" i="1"/>
  <c r="AA266" i="1"/>
  <c r="AE265" i="1"/>
  <c r="AF265" i="1" s="1"/>
  <c r="AD265" i="1"/>
  <c r="AB265" i="1"/>
  <c r="AC265" i="1" s="1"/>
  <c r="AA265" i="1"/>
  <c r="AE264" i="1"/>
  <c r="AF264" i="1" s="1"/>
  <c r="AD264" i="1"/>
  <c r="AC264" i="1"/>
  <c r="AB264" i="1"/>
  <c r="AA264" i="1"/>
  <c r="AE263" i="1"/>
  <c r="AF263" i="1" s="1"/>
  <c r="AD263" i="1"/>
  <c r="AC263" i="1"/>
  <c r="AB263" i="1"/>
  <c r="AA263" i="1"/>
  <c r="AE262" i="1"/>
  <c r="AF262" i="1" s="1"/>
  <c r="AD262" i="1"/>
  <c r="AC262" i="1"/>
  <c r="AB262" i="1"/>
  <c r="AA262" i="1"/>
  <c r="AE261" i="1"/>
  <c r="AF261" i="1" s="1"/>
  <c r="AD261" i="1"/>
  <c r="AC261" i="1"/>
  <c r="AB261" i="1"/>
  <c r="AA261" i="1"/>
  <c r="AE260" i="1"/>
  <c r="AF260" i="1" s="1"/>
  <c r="AD260" i="1"/>
  <c r="AB260" i="1"/>
  <c r="AC260" i="1" s="1"/>
  <c r="AA260" i="1"/>
  <c r="AE259" i="1"/>
  <c r="AF259" i="1" s="1"/>
  <c r="AD259" i="1"/>
  <c r="AB259" i="1"/>
  <c r="AC259" i="1" s="1"/>
  <c r="AA259" i="1"/>
  <c r="AE258" i="1"/>
  <c r="AF258" i="1" s="1"/>
  <c r="AD258" i="1"/>
  <c r="AB258" i="1"/>
  <c r="AC258" i="1" s="1"/>
  <c r="AA258" i="1"/>
  <c r="AE257" i="1"/>
  <c r="AF257" i="1" s="1"/>
  <c r="AD257" i="1"/>
  <c r="AB257" i="1"/>
  <c r="AC257" i="1" s="1"/>
  <c r="AA257" i="1"/>
  <c r="AE256" i="1"/>
  <c r="AF256" i="1" s="1"/>
  <c r="AD256" i="1"/>
  <c r="AB256" i="1"/>
  <c r="AC256" i="1" s="1"/>
  <c r="AA256" i="1"/>
  <c r="AE255" i="1"/>
  <c r="AF255" i="1" s="1"/>
  <c r="AD255" i="1"/>
  <c r="AB255" i="1"/>
  <c r="AC255" i="1" s="1"/>
  <c r="AA255" i="1"/>
  <c r="AE254" i="1"/>
  <c r="AF254" i="1" s="1"/>
  <c r="AD254" i="1"/>
  <c r="AB254" i="1"/>
  <c r="AC254" i="1" s="1"/>
  <c r="AA254" i="1"/>
  <c r="AE253" i="1"/>
  <c r="AF253" i="1" s="1"/>
  <c r="AD253" i="1"/>
  <c r="AB253" i="1"/>
  <c r="AC253" i="1" s="1"/>
  <c r="AA253" i="1"/>
  <c r="AE252" i="1"/>
  <c r="AF252" i="1" s="1"/>
  <c r="AD252" i="1"/>
  <c r="AC252" i="1"/>
  <c r="AB252" i="1"/>
  <c r="AA252" i="1"/>
  <c r="AE251" i="1"/>
  <c r="AF251" i="1" s="1"/>
  <c r="AD251" i="1"/>
  <c r="AC251" i="1"/>
  <c r="AB251" i="1"/>
  <c r="AA251" i="1"/>
  <c r="AE250" i="1"/>
  <c r="AF250" i="1" s="1"/>
  <c r="AD250" i="1"/>
  <c r="AB250" i="1"/>
  <c r="AC250" i="1" s="1"/>
  <c r="AA250" i="1"/>
  <c r="AE249" i="1"/>
  <c r="AF249" i="1" s="1"/>
  <c r="AD249" i="1"/>
  <c r="AC249" i="1"/>
  <c r="AB249" i="1"/>
  <c r="AA249" i="1"/>
  <c r="AE248" i="1"/>
  <c r="AF248" i="1" s="1"/>
  <c r="AD248" i="1"/>
  <c r="AC248" i="1"/>
  <c r="AB248" i="1"/>
  <c r="AA248" i="1"/>
  <c r="AE247" i="1"/>
  <c r="AF247" i="1" s="1"/>
  <c r="AD247" i="1"/>
  <c r="AB247" i="1"/>
  <c r="AC247" i="1" s="1"/>
  <c r="AA247" i="1"/>
  <c r="AE246" i="1"/>
  <c r="AF246" i="1" s="1"/>
  <c r="AD246" i="1"/>
  <c r="AB246" i="1"/>
  <c r="AC246" i="1" s="1"/>
  <c r="AA246" i="1"/>
  <c r="AE245" i="1"/>
  <c r="AF245" i="1" s="1"/>
  <c r="AD245" i="1"/>
  <c r="AB245" i="1"/>
  <c r="AC245" i="1" s="1"/>
  <c r="AA245" i="1"/>
  <c r="AE244" i="1"/>
  <c r="AF244" i="1" s="1"/>
  <c r="AD244" i="1"/>
  <c r="AB244" i="1"/>
  <c r="AC244" i="1" s="1"/>
  <c r="AA244" i="1"/>
  <c r="AE243" i="1"/>
  <c r="AF243" i="1" s="1"/>
  <c r="AD243" i="1"/>
  <c r="AB243" i="1"/>
  <c r="AC243" i="1" s="1"/>
  <c r="AA243" i="1"/>
  <c r="AE242" i="1"/>
  <c r="AF242" i="1" s="1"/>
  <c r="AD242" i="1"/>
  <c r="AB242" i="1"/>
  <c r="AC242" i="1" s="1"/>
  <c r="AA242" i="1"/>
  <c r="AE241" i="1"/>
  <c r="AF241" i="1" s="1"/>
  <c r="AD241" i="1"/>
  <c r="AB241" i="1"/>
  <c r="AC241" i="1" s="1"/>
  <c r="AA241" i="1"/>
  <c r="AE240" i="1"/>
  <c r="AF240" i="1" s="1"/>
  <c r="AD240" i="1"/>
  <c r="AB240" i="1"/>
  <c r="AC240" i="1" s="1"/>
  <c r="AA240" i="1"/>
  <c r="AE239" i="1"/>
  <c r="AF239" i="1" s="1"/>
  <c r="AD239" i="1"/>
  <c r="AB239" i="1"/>
  <c r="AC239" i="1" s="1"/>
  <c r="AA239" i="1"/>
  <c r="AE238" i="1"/>
  <c r="AF238" i="1" s="1"/>
  <c r="AD238" i="1"/>
  <c r="AB238" i="1"/>
  <c r="AC238" i="1" s="1"/>
  <c r="AA238" i="1"/>
  <c r="AE237" i="1"/>
  <c r="AF237" i="1" s="1"/>
  <c r="AD237" i="1"/>
  <c r="AB237" i="1"/>
  <c r="AC237" i="1" s="1"/>
  <c r="AA237" i="1"/>
  <c r="AE232" i="1"/>
  <c r="AF232" i="1" s="1"/>
  <c r="AB232" i="1"/>
  <c r="AC232" i="1" s="1"/>
  <c r="AD232" i="1" s="1"/>
  <c r="AA232" i="1"/>
  <c r="AE231" i="1"/>
  <c r="AF231" i="1" s="1"/>
  <c r="AD231" i="1"/>
  <c r="AC231" i="1"/>
  <c r="AB231" i="1"/>
  <c r="AA231" i="1"/>
  <c r="AE230" i="1"/>
  <c r="AF230" i="1" s="1"/>
  <c r="AD230" i="1"/>
  <c r="AB230" i="1"/>
  <c r="AC230" i="1" s="1"/>
  <c r="AA230" i="1"/>
  <c r="AE229" i="1"/>
  <c r="AF229" i="1" s="1"/>
  <c r="AD229" i="1"/>
  <c r="AC229" i="1"/>
  <c r="AB229" i="1"/>
  <c r="AA229" i="1"/>
  <c r="AE228" i="1"/>
  <c r="AF228" i="1" s="1"/>
  <c r="AD228" i="1"/>
  <c r="AC228" i="1"/>
  <c r="AB228" i="1"/>
  <c r="AA228" i="1"/>
  <c r="AE227" i="1"/>
  <c r="AF227" i="1" s="1"/>
  <c r="AD227" i="1"/>
  <c r="AC227" i="1"/>
  <c r="AB227" i="1"/>
  <c r="AA227" i="1"/>
  <c r="AE226" i="1"/>
  <c r="AF226" i="1" s="1"/>
  <c r="AD226" i="1"/>
  <c r="AC226" i="1"/>
  <c r="AB226" i="1"/>
  <c r="AA226" i="1"/>
  <c r="AE225" i="1"/>
  <c r="AF225" i="1" s="1"/>
  <c r="AD225" i="1"/>
  <c r="AC225" i="1"/>
  <c r="AB225" i="1"/>
  <c r="AA225" i="1"/>
  <c r="AE224" i="1"/>
  <c r="AF224" i="1" s="1"/>
  <c r="AD224" i="1"/>
  <c r="AC224" i="1"/>
  <c r="AB224" i="1"/>
  <c r="AA224" i="1"/>
  <c r="AE223" i="1"/>
  <c r="AF223" i="1" s="1"/>
  <c r="AD223" i="1"/>
  <c r="AC223" i="1"/>
  <c r="AB223" i="1"/>
  <c r="AA223" i="1"/>
  <c r="AE222" i="1"/>
  <c r="AF222" i="1" s="1"/>
  <c r="AD222" i="1"/>
  <c r="AC222" i="1"/>
  <c r="AB222" i="1"/>
  <c r="AA222" i="1"/>
  <c r="AE221" i="1"/>
  <c r="AF221" i="1" s="1"/>
  <c r="AD221" i="1"/>
  <c r="AC221" i="1"/>
  <c r="AB221" i="1"/>
  <c r="AA221" i="1"/>
  <c r="AE220" i="1"/>
  <c r="AF220" i="1" s="1"/>
  <c r="AD220" i="1"/>
  <c r="AC220" i="1"/>
  <c r="AB220" i="1"/>
  <c r="AA220" i="1"/>
  <c r="AE219" i="1"/>
  <c r="AF219" i="1" s="1"/>
  <c r="AD219" i="1"/>
  <c r="AC219" i="1"/>
  <c r="AB219" i="1"/>
  <c r="AA219" i="1"/>
  <c r="AE218" i="1"/>
  <c r="AF218" i="1" s="1"/>
  <c r="AD218" i="1"/>
  <c r="AC218" i="1"/>
  <c r="AB218" i="1"/>
  <c r="AA218" i="1"/>
  <c r="AE217" i="1"/>
  <c r="AF217" i="1" s="1"/>
  <c r="AD217" i="1"/>
  <c r="AC217" i="1"/>
  <c r="AB217" i="1"/>
  <c r="AA217" i="1"/>
  <c r="AE216" i="1"/>
  <c r="AF216" i="1" s="1"/>
  <c r="AD216" i="1"/>
  <c r="AC216" i="1"/>
  <c r="AB216" i="1"/>
  <c r="AA216" i="1"/>
  <c r="AE215" i="1"/>
  <c r="AF215" i="1" s="1"/>
  <c r="AD215" i="1"/>
  <c r="AC215" i="1"/>
  <c r="AB215" i="1"/>
  <c r="AA215" i="1"/>
  <c r="AE214" i="1"/>
  <c r="AF214" i="1" s="1"/>
  <c r="AD214" i="1"/>
  <c r="AC214" i="1"/>
  <c r="AB214" i="1"/>
  <c r="AA214" i="1"/>
  <c r="AE213" i="1"/>
  <c r="AF213" i="1" s="1"/>
  <c r="AD213" i="1"/>
  <c r="AC213" i="1"/>
  <c r="AB213" i="1"/>
  <c r="AA213" i="1"/>
  <c r="AE212" i="1"/>
  <c r="AF212" i="1" s="1"/>
  <c r="AD212" i="1"/>
  <c r="AC212" i="1"/>
  <c r="AB212" i="1"/>
  <c r="AA212" i="1"/>
  <c r="AE211" i="1"/>
  <c r="AF211" i="1" s="1"/>
  <c r="AD211" i="1"/>
  <c r="AC211" i="1"/>
  <c r="AB211" i="1"/>
  <c r="AA211" i="1"/>
  <c r="AE210" i="1"/>
  <c r="AF210" i="1" s="1"/>
  <c r="AD210" i="1"/>
  <c r="AC210" i="1"/>
  <c r="AB210" i="1"/>
  <c r="AA210" i="1"/>
  <c r="AE209" i="1"/>
  <c r="AF209" i="1" s="1"/>
  <c r="AD209" i="1"/>
  <c r="AC209" i="1"/>
  <c r="AB209" i="1"/>
  <c r="AA209" i="1"/>
  <c r="AE208" i="1"/>
  <c r="AF208" i="1" s="1"/>
  <c r="AD208" i="1"/>
  <c r="AC208" i="1"/>
  <c r="AB208" i="1"/>
  <c r="AA208" i="1"/>
  <c r="AE207" i="1"/>
  <c r="AF207" i="1" s="1"/>
  <c r="AD207" i="1"/>
  <c r="AC207" i="1"/>
  <c r="AB207" i="1"/>
  <c r="AA207" i="1"/>
  <c r="AE206" i="1"/>
  <c r="AF206" i="1" s="1"/>
  <c r="AD206" i="1"/>
  <c r="AC206" i="1"/>
  <c r="AB206" i="1"/>
  <c r="AA206" i="1"/>
  <c r="AE205" i="1"/>
  <c r="AF205" i="1" s="1"/>
  <c r="AD205" i="1"/>
  <c r="AC205" i="1"/>
  <c r="AB205" i="1"/>
  <c r="AA205" i="1"/>
  <c r="AE204" i="1"/>
  <c r="AF204" i="1" s="1"/>
  <c r="AD204" i="1"/>
  <c r="AC204" i="1"/>
  <c r="AB204" i="1"/>
  <c r="AA204" i="1"/>
  <c r="AE203" i="1"/>
  <c r="AF203" i="1" s="1"/>
  <c r="AD203" i="1"/>
  <c r="AC203" i="1"/>
  <c r="AB203" i="1"/>
  <c r="AA203" i="1"/>
  <c r="AE202" i="1"/>
  <c r="AF202" i="1" s="1"/>
  <c r="AD202" i="1"/>
  <c r="AC202" i="1"/>
  <c r="AB202" i="1"/>
  <c r="AA202" i="1"/>
  <c r="AE201" i="1"/>
  <c r="AF201" i="1" s="1"/>
  <c r="AD201" i="1"/>
  <c r="AC201" i="1"/>
  <c r="AB201" i="1"/>
  <c r="AA201" i="1"/>
  <c r="AE200" i="1"/>
  <c r="AF200" i="1" s="1"/>
  <c r="AD200" i="1"/>
  <c r="AC200" i="1"/>
  <c r="AB200" i="1"/>
  <c r="AA200" i="1"/>
  <c r="AE199" i="1"/>
  <c r="AF199" i="1" s="1"/>
  <c r="AD199" i="1"/>
  <c r="AC199" i="1"/>
  <c r="AB199" i="1"/>
  <c r="AA199" i="1"/>
  <c r="AE198" i="1"/>
  <c r="AF198" i="1" s="1"/>
  <c r="AD198" i="1"/>
  <c r="AC198" i="1"/>
  <c r="AB198" i="1"/>
  <c r="AA198" i="1"/>
  <c r="AE197" i="1"/>
  <c r="AF197" i="1" s="1"/>
  <c r="AD197" i="1"/>
  <c r="AC197" i="1"/>
  <c r="AB197" i="1"/>
  <c r="AA197" i="1"/>
  <c r="AE196" i="1"/>
  <c r="AF196" i="1" s="1"/>
  <c r="AD196" i="1"/>
  <c r="AC196" i="1"/>
  <c r="AB196" i="1"/>
  <c r="AA196" i="1"/>
  <c r="AE192" i="1"/>
  <c r="AF192" i="1" s="1"/>
  <c r="AD192" i="1"/>
  <c r="AB192" i="1"/>
  <c r="AC192" i="1" s="1"/>
  <c r="AA192" i="1"/>
  <c r="AE191" i="1"/>
  <c r="AF191" i="1" s="1"/>
  <c r="AD191" i="1"/>
  <c r="AC191" i="1"/>
  <c r="AB191" i="1"/>
  <c r="AA191" i="1"/>
  <c r="AE190" i="1"/>
  <c r="AF190" i="1" s="1"/>
  <c r="AD190" i="1"/>
  <c r="AC190" i="1"/>
  <c r="AB190" i="1"/>
  <c r="AA190" i="1"/>
  <c r="AE189" i="1"/>
  <c r="AF189" i="1" s="1"/>
  <c r="AD189" i="1"/>
  <c r="AC189" i="1"/>
  <c r="AB189" i="1"/>
  <c r="AA189" i="1"/>
  <c r="AE188" i="1"/>
  <c r="AF188" i="1" s="1"/>
  <c r="AD188" i="1"/>
  <c r="AC188" i="1"/>
  <c r="AB188" i="1"/>
  <c r="AA188" i="1"/>
  <c r="AE187" i="1"/>
  <c r="AF187" i="1" s="1"/>
  <c r="AD187" i="1"/>
  <c r="AC187" i="1"/>
  <c r="AB187" i="1"/>
  <c r="AA187" i="1"/>
  <c r="AE186" i="1"/>
  <c r="AF186" i="1" s="1"/>
  <c r="AD186" i="1"/>
  <c r="AC186" i="1"/>
  <c r="AB186" i="1"/>
  <c r="AA186" i="1"/>
  <c r="AE185" i="1"/>
  <c r="AF185" i="1" s="1"/>
  <c r="AD185" i="1"/>
  <c r="AC185" i="1"/>
  <c r="AB185" i="1"/>
  <c r="AA185" i="1"/>
  <c r="AE184" i="1"/>
  <c r="AF184" i="1" s="1"/>
  <c r="AD184" i="1"/>
  <c r="AC184" i="1"/>
  <c r="AB184" i="1"/>
  <c r="AA184" i="1"/>
  <c r="AE183" i="1"/>
  <c r="AF183" i="1" s="1"/>
  <c r="AD183" i="1"/>
  <c r="AC183" i="1"/>
  <c r="AB183" i="1"/>
  <c r="AA183" i="1"/>
  <c r="AE182" i="1"/>
  <c r="AF182" i="1" s="1"/>
  <c r="AD182" i="1"/>
  <c r="AC182" i="1"/>
  <c r="AB182" i="1"/>
  <c r="AA182" i="1"/>
  <c r="AE181" i="1"/>
  <c r="AF181" i="1" s="1"/>
  <c r="AD181" i="1"/>
  <c r="AC181" i="1"/>
  <c r="AB181" i="1"/>
  <c r="AA181" i="1"/>
  <c r="AE180" i="1"/>
  <c r="AF180" i="1" s="1"/>
  <c r="AD180" i="1"/>
  <c r="AC180" i="1"/>
  <c r="AB180" i="1"/>
  <c r="AA180" i="1"/>
  <c r="AE179" i="1"/>
  <c r="AF179" i="1" s="1"/>
  <c r="AD179" i="1"/>
  <c r="AC179" i="1"/>
  <c r="AB179" i="1"/>
  <c r="AA179" i="1"/>
  <c r="AE178" i="1"/>
  <c r="AF178" i="1" s="1"/>
  <c r="AD178" i="1"/>
  <c r="AC178" i="1"/>
  <c r="AB178" i="1"/>
  <c r="AA178" i="1"/>
  <c r="AE177" i="1"/>
  <c r="AF177" i="1" s="1"/>
  <c r="AD177" i="1"/>
  <c r="AC177" i="1"/>
  <c r="AB177" i="1"/>
  <c r="AA177" i="1"/>
  <c r="AE176" i="1"/>
  <c r="AF176" i="1" s="1"/>
  <c r="AD176" i="1"/>
  <c r="AC176" i="1"/>
  <c r="AB176" i="1"/>
  <c r="AA176" i="1"/>
  <c r="AE175" i="1"/>
  <c r="AF175" i="1" s="1"/>
  <c r="AD175" i="1"/>
  <c r="AC175" i="1"/>
  <c r="AB175" i="1"/>
  <c r="AA175" i="1"/>
  <c r="AE174" i="1"/>
  <c r="AF174" i="1" s="1"/>
  <c r="AD174" i="1"/>
  <c r="AC174" i="1"/>
  <c r="AB174" i="1"/>
  <c r="AA174" i="1"/>
  <c r="AE173" i="1"/>
  <c r="AF173" i="1" s="1"/>
  <c r="AD173" i="1"/>
  <c r="AC173" i="1"/>
  <c r="AB173" i="1"/>
  <c r="AA173" i="1"/>
  <c r="AE172" i="1"/>
  <c r="AF172" i="1" s="1"/>
  <c r="AD172" i="1"/>
  <c r="AC172" i="1"/>
  <c r="AB172" i="1"/>
  <c r="AA172" i="1"/>
  <c r="AE171" i="1"/>
  <c r="AF171" i="1" s="1"/>
  <c r="AD171" i="1"/>
  <c r="AC171" i="1"/>
  <c r="AB171" i="1"/>
  <c r="AA171" i="1"/>
  <c r="AE170" i="1"/>
  <c r="AF170" i="1" s="1"/>
  <c r="AD170" i="1"/>
  <c r="AC170" i="1"/>
  <c r="AB170" i="1"/>
  <c r="AA170" i="1"/>
  <c r="AE169" i="1"/>
  <c r="AF169" i="1" s="1"/>
  <c r="AD169" i="1"/>
  <c r="AC169" i="1"/>
  <c r="AB169" i="1"/>
  <c r="AA169" i="1"/>
  <c r="AE168" i="1"/>
  <c r="AF168" i="1" s="1"/>
  <c r="AD168" i="1"/>
  <c r="AC168" i="1"/>
  <c r="AB168" i="1"/>
  <c r="AA168" i="1"/>
  <c r="AE167" i="1"/>
  <c r="AF167" i="1" s="1"/>
  <c r="AD167" i="1"/>
  <c r="AC167" i="1"/>
  <c r="AB167" i="1"/>
  <c r="AA167" i="1"/>
  <c r="AE166" i="1"/>
  <c r="AF166" i="1" s="1"/>
  <c r="AD166" i="1"/>
  <c r="AC166" i="1"/>
  <c r="AB166" i="1"/>
  <c r="AA166" i="1"/>
  <c r="AE165" i="1"/>
  <c r="AF165" i="1" s="1"/>
  <c r="AD165" i="1"/>
  <c r="AC165" i="1"/>
  <c r="AB165" i="1"/>
  <c r="AA165" i="1"/>
  <c r="AE164" i="1"/>
  <c r="AF164" i="1" s="1"/>
  <c r="AD164" i="1"/>
  <c r="AC164" i="1"/>
  <c r="AB164" i="1"/>
  <c r="AA164" i="1"/>
  <c r="AE163" i="1"/>
  <c r="AF163" i="1" s="1"/>
  <c r="AD163" i="1"/>
  <c r="AC163" i="1"/>
  <c r="AB163" i="1"/>
  <c r="AA163" i="1"/>
  <c r="AE162" i="1"/>
  <c r="AF162" i="1" s="1"/>
  <c r="AD162" i="1"/>
  <c r="AC162" i="1"/>
  <c r="AB162" i="1"/>
  <c r="AA162" i="1"/>
  <c r="AE161" i="1"/>
  <c r="AF161" i="1" s="1"/>
  <c r="AD161" i="1"/>
  <c r="AC161" i="1"/>
  <c r="AB161" i="1"/>
  <c r="AA161" i="1"/>
  <c r="AE160" i="1"/>
  <c r="AF160" i="1" s="1"/>
  <c r="AD160" i="1"/>
  <c r="AC160" i="1"/>
  <c r="AB160" i="1"/>
  <c r="AA160" i="1"/>
  <c r="AE159" i="1"/>
  <c r="AF159" i="1" s="1"/>
  <c r="AD159" i="1"/>
  <c r="AC159" i="1"/>
  <c r="AB159" i="1"/>
  <c r="AA159" i="1"/>
  <c r="AE158" i="1"/>
  <c r="AF158" i="1" s="1"/>
  <c r="AD158" i="1"/>
  <c r="AC158" i="1"/>
  <c r="AB158" i="1"/>
  <c r="AA158" i="1"/>
  <c r="AE157" i="1"/>
  <c r="AF157" i="1" s="1"/>
  <c r="AD157" i="1"/>
  <c r="AC157" i="1"/>
  <c r="AB157" i="1"/>
  <c r="AA157" i="1"/>
  <c r="AE156" i="1"/>
  <c r="AF156" i="1" s="1"/>
  <c r="AD156" i="1"/>
  <c r="AC156" i="1"/>
  <c r="AB156" i="1"/>
  <c r="AA156" i="1"/>
  <c r="AE155" i="1"/>
  <c r="AF155" i="1" s="1"/>
  <c r="AD155" i="1"/>
  <c r="AC155" i="1"/>
  <c r="AB155" i="1"/>
  <c r="AA155" i="1"/>
  <c r="AE154" i="1"/>
  <c r="AF154" i="1" s="1"/>
  <c r="AD154" i="1"/>
  <c r="AC154" i="1"/>
  <c r="AB154" i="1"/>
  <c r="AA154" i="1"/>
  <c r="AE153" i="1"/>
  <c r="AF153" i="1" s="1"/>
  <c r="AD153" i="1"/>
  <c r="AC153" i="1"/>
  <c r="AB153" i="1"/>
  <c r="AA153" i="1"/>
  <c r="AE152" i="1"/>
  <c r="AF152" i="1" s="1"/>
  <c r="AD152" i="1"/>
  <c r="AC152" i="1"/>
  <c r="AB152" i="1"/>
  <c r="AA152" i="1"/>
  <c r="AE151" i="1"/>
  <c r="AF151" i="1" s="1"/>
  <c r="AD151" i="1"/>
  <c r="AC151" i="1"/>
  <c r="AB151" i="1"/>
  <c r="AA151" i="1"/>
  <c r="AE150" i="1"/>
  <c r="AF150" i="1" s="1"/>
  <c r="AD150" i="1"/>
  <c r="AC150" i="1"/>
  <c r="AB150" i="1"/>
  <c r="AA150" i="1"/>
  <c r="AE149" i="1"/>
  <c r="AF149" i="1" s="1"/>
  <c r="AD149" i="1"/>
  <c r="AC149" i="1"/>
  <c r="AB149" i="1"/>
  <c r="AA149" i="1"/>
  <c r="AE148" i="1"/>
  <c r="AF148" i="1" s="1"/>
  <c r="AD148" i="1"/>
  <c r="AC148" i="1"/>
  <c r="AB148" i="1"/>
  <c r="AA148" i="1"/>
  <c r="AE147" i="1"/>
  <c r="AF147" i="1" s="1"/>
  <c r="AD147" i="1"/>
  <c r="AC147" i="1"/>
  <c r="AB147" i="1"/>
  <c r="AA147" i="1"/>
  <c r="AE146" i="1"/>
  <c r="AF146" i="1" s="1"/>
  <c r="AD146" i="1"/>
  <c r="AC146" i="1"/>
  <c r="AB146" i="1"/>
  <c r="AA146" i="1"/>
  <c r="AE145" i="1"/>
  <c r="AF145" i="1" s="1"/>
  <c r="AD145" i="1"/>
  <c r="AC145" i="1"/>
  <c r="AB145" i="1"/>
  <c r="AA145" i="1"/>
  <c r="AE144" i="1"/>
  <c r="AF144" i="1" s="1"/>
  <c r="AD144" i="1"/>
  <c r="AC144" i="1"/>
  <c r="AB144" i="1"/>
  <c r="AA144" i="1"/>
  <c r="AE143" i="1"/>
  <c r="AF143" i="1" s="1"/>
  <c r="AD143" i="1"/>
  <c r="AC143" i="1"/>
  <c r="AB143" i="1"/>
  <c r="AA143" i="1"/>
  <c r="AE142" i="1"/>
  <c r="AF142" i="1" s="1"/>
  <c r="AD142" i="1"/>
  <c r="AC142" i="1"/>
  <c r="AB142" i="1"/>
  <c r="AA142" i="1"/>
  <c r="AE141" i="1"/>
  <c r="AF141" i="1" s="1"/>
  <c r="AD141" i="1"/>
  <c r="AC141" i="1"/>
  <c r="AB141" i="1"/>
  <c r="AA141" i="1"/>
  <c r="AE140" i="1"/>
  <c r="AF140" i="1" s="1"/>
  <c r="AD140" i="1"/>
  <c r="AC140" i="1"/>
  <c r="AB140" i="1"/>
  <c r="AA140" i="1"/>
  <c r="AE139" i="1"/>
  <c r="AF139" i="1" s="1"/>
  <c r="AD139" i="1"/>
  <c r="AC139" i="1"/>
  <c r="AB139" i="1"/>
  <c r="AA139" i="1"/>
  <c r="AE138" i="1"/>
  <c r="AF138" i="1" s="1"/>
  <c r="AD138" i="1"/>
  <c r="AC138" i="1"/>
  <c r="AB138" i="1"/>
  <c r="AA138" i="1"/>
  <c r="AE137" i="1"/>
  <c r="AF137" i="1" s="1"/>
  <c r="AD137" i="1"/>
  <c r="AC137" i="1"/>
  <c r="AB137" i="1"/>
  <c r="AA137" i="1"/>
  <c r="AE136" i="1"/>
  <c r="AF136" i="1" s="1"/>
  <c r="AD136" i="1"/>
  <c r="AC136" i="1"/>
  <c r="AB136" i="1"/>
  <c r="AA136" i="1"/>
  <c r="AE135" i="1"/>
  <c r="AF135" i="1" s="1"/>
  <c r="AD135" i="1"/>
  <c r="AC135" i="1"/>
  <c r="AB135" i="1"/>
  <c r="AA135" i="1"/>
  <c r="AE134" i="1"/>
  <c r="AF134" i="1" s="1"/>
  <c r="AD134" i="1"/>
  <c r="AC134" i="1"/>
  <c r="AB134" i="1"/>
  <c r="AA134" i="1"/>
  <c r="AE133" i="1"/>
  <c r="AF133" i="1" s="1"/>
  <c r="AD133" i="1"/>
  <c r="AC133" i="1"/>
  <c r="AB133" i="1"/>
  <c r="AA133" i="1"/>
  <c r="AE132" i="1"/>
  <c r="AF132" i="1" s="1"/>
  <c r="AD132" i="1"/>
  <c r="AC132" i="1"/>
  <c r="AB132" i="1"/>
  <c r="AA132" i="1"/>
  <c r="AE131" i="1"/>
  <c r="AF131" i="1" s="1"/>
  <c r="AD131" i="1"/>
  <c r="AC131" i="1"/>
  <c r="AB131" i="1"/>
  <c r="AA131" i="1"/>
  <c r="AE130" i="1"/>
  <c r="AF130" i="1" s="1"/>
  <c r="AD130" i="1"/>
  <c r="AC130" i="1"/>
  <c r="AB130" i="1"/>
  <c r="AA130" i="1"/>
  <c r="AE129" i="1"/>
  <c r="AF129" i="1" s="1"/>
  <c r="AD129" i="1"/>
  <c r="AC129" i="1"/>
  <c r="AB129" i="1"/>
  <c r="AA129" i="1"/>
  <c r="AE128" i="1"/>
  <c r="AF128" i="1" s="1"/>
  <c r="AD128" i="1"/>
  <c r="AC128" i="1"/>
  <c r="AB128" i="1"/>
  <c r="AA128" i="1"/>
  <c r="AE127" i="1"/>
  <c r="AF127" i="1" s="1"/>
  <c r="AD127" i="1"/>
  <c r="AC127" i="1"/>
  <c r="AB127" i="1"/>
  <c r="AA127" i="1"/>
  <c r="AE126" i="1"/>
  <c r="AF126" i="1" s="1"/>
  <c r="AD126" i="1"/>
  <c r="AC126" i="1"/>
  <c r="AB126" i="1"/>
  <c r="AA126" i="1"/>
  <c r="AE125" i="1"/>
  <c r="AF125" i="1" s="1"/>
  <c r="AD125" i="1"/>
  <c r="AC125" i="1"/>
  <c r="AB125" i="1"/>
  <c r="AA125" i="1"/>
  <c r="AE124" i="1"/>
  <c r="AF124" i="1" s="1"/>
  <c r="AD124" i="1"/>
  <c r="AC124" i="1"/>
  <c r="AB124" i="1"/>
  <c r="AA124" i="1"/>
  <c r="AE123" i="1"/>
  <c r="AF123" i="1" s="1"/>
  <c r="AD123" i="1"/>
  <c r="AC123" i="1"/>
  <c r="AB123" i="1"/>
  <c r="AA123" i="1"/>
  <c r="AE122" i="1"/>
  <c r="AF122" i="1" s="1"/>
  <c r="AD122" i="1"/>
  <c r="AC122" i="1"/>
  <c r="AB122" i="1"/>
  <c r="AA122" i="1"/>
  <c r="AE121" i="1"/>
  <c r="AF121" i="1" s="1"/>
  <c r="AD121" i="1"/>
  <c r="AC121" i="1"/>
  <c r="AB121" i="1"/>
  <c r="AA121" i="1"/>
  <c r="AE120" i="1"/>
  <c r="AF120" i="1" s="1"/>
  <c r="AD120" i="1"/>
  <c r="AC120" i="1"/>
  <c r="AB120" i="1"/>
  <c r="AA120" i="1"/>
  <c r="AE119" i="1"/>
  <c r="AF119" i="1" s="1"/>
  <c r="AD119" i="1"/>
  <c r="AC119" i="1"/>
  <c r="AB119" i="1"/>
  <c r="AA119" i="1"/>
  <c r="AE118" i="1"/>
  <c r="AF118" i="1" s="1"/>
  <c r="AD118" i="1"/>
  <c r="AC118" i="1"/>
  <c r="AB118" i="1"/>
  <c r="AA118" i="1"/>
  <c r="AE117" i="1"/>
  <c r="AF117" i="1" s="1"/>
  <c r="AD117" i="1"/>
  <c r="AC117" i="1"/>
  <c r="AB117" i="1"/>
  <c r="AA117" i="1"/>
  <c r="AE116" i="1"/>
  <c r="AF116" i="1" s="1"/>
  <c r="AD116" i="1"/>
  <c r="AC116" i="1"/>
  <c r="AB116" i="1"/>
  <c r="AA116" i="1"/>
  <c r="AE115" i="1"/>
  <c r="AF115" i="1" s="1"/>
  <c r="AD115" i="1"/>
  <c r="AC115" i="1"/>
  <c r="AB115" i="1"/>
  <c r="AA115" i="1"/>
  <c r="AE114" i="1"/>
  <c r="AF114" i="1" s="1"/>
  <c r="AD114" i="1"/>
  <c r="AC114" i="1"/>
  <c r="AB114" i="1"/>
  <c r="AA114" i="1"/>
  <c r="AE113" i="1"/>
  <c r="AF113" i="1" s="1"/>
  <c r="AD113" i="1"/>
  <c r="AC113" i="1"/>
  <c r="AB113" i="1"/>
  <c r="AA113" i="1"/>
  <c r="AE112" i="1"/>
  <c r="AF112" i="1" s="1"/>
  <c r="AD112" i="1"/>
  <c r="AC112" i="1"/>
  <c r="AB112" i="1"/>
  <c r="AA112" i="1"/>
  <c r="AE111" i="1"/>
  <c r="AF111" i="1" s="1"/>
  <c r="AD111" i="1"/>
  <c r="AC111" i="1"/>
  <c r="AB111" i="1"/>
  <c r="AA111" i="1"/>
  <c r="AE110" i="1"/>
  <c r="AF110" i="1" s="1"/>
  <c r="AD110" i="1"/>
  <c r="AC110" i="1"/>
  <c r="AB110" i="1"/>
  <c r="AA110" i="1"/>
  <c r="AE109" i="1"/>
  <c r="AF109" i="1" s="1"/>
  <c r="AD109" i="1"/>
  <c r="AC109" i="1"/>
  <c r="AB109" i="1"/>
  <c r="AA109" i="1"/>
  <c r="AE108" i="1"/>
  <c r="AF108" i="1" s="1"/>
  <c r="AD108" i="1"/>
  <c r="AC108" i="1"/>
  <c r="AB108" i="1"/>
  <c r="AA108" i="1"/>
  <c r="AE107" i="1"/>
  <c r="AF107" i="1" s="1"/>
  <c r="AD107" i="1"/>
  <c r="AC107" i="1"/>
  <c r="AB107" i="1"/>
  <c r="AA107" i="1"/>
  <c r="AE106" i="1"/>
  <c r="AF106" i="1" s="1"/>
  <c r="AD106" i="1"/>
  <c r="AC106" i="1"/>
  <c r="AB106" i="1"/>
  <c r="AA106" i="1"/>
  <c r="AE105" i="1"/>
  <c r="AF105" i="1" s="1"/>
  <c r="AD105" i="1"/>
  <c r="AC105" i="1"/>
  <c r="AB105" i="1"/>
  <c r="AA105" i="1"/>
  <c r="AE104" i="1"/>
  <c r="AF104" i="1" s="1"/>
  <c r="AD104" i="1"/>
  <c r="AC104" i="1"/>
  <c r="AB104" i="1"/>
  <c r="AA104" i="1"/>
  <c r="AE103" i="1"/>
  <c r="AF103" i="1" s="1"/>
  <c r="AD103" i="1"/>
  <c r="AC103" i="1"/>
  <c r="AB103" i="1"/>
  <c r="AA103" i="1"/>
  <c r="AE102" i="1"/>
  <c r="AF102" i="1" s="1"/>
  <c r="AD102" i="1"/>
  <c r="AC102" i="1"/>
  <c r="AB102" i="1"/>
  <c r="AA102" i="1"/>
  <c r="AE101" i="1"/>
  <c r="AF101" i="1" s="1"/>
  <c r="AD101" i="1"/>
  <c r="AC101" i="1"/>
  <c r="AB101" i="1"/>
  <c r="AA101" i="1"/>
  <c r="AE100" i="1"/>
  <c r="AF100" i="1" s="1"/>
  <c r="AD100" i="1"/>
  <c r="AC100" i="1"/>
  <c r="AB100" i="1"/>
  <c r="AA100" i="1"/>
  <c r="AE99" i="1"/>
  <c r="AF99" i="1" s="1"/>
  <c r="AD99" i="1"/>
  <c r="AC99" i="1"/>
  <c r="AB99" i="1"/>
  <c r="AA99" i="1"/>
  <c r="AE98" i="1"/>
  <c r="AF98" i="1" s="1"/>
  <c r="AD98" i="1"/>
  <c r="AC98" i="1"/>
  <c r="AB98" i="1"/>
  <c r="AA98" i="1"/>
  <c r="AE97" i="1"/>
  <c r="AF97" i="1" s="1"/>
  <c r="AD97" i="1"/>
  <c r="AC97" i="1"/>
  <c r="AB97" i="1"/>
  <c r="AA97" i="1"/>
  <c r="AE96" i="1"/>
  <c r="AF96" i="1" s="1"/>
  <c r="AD96" i="1"/>
  <c r="AC96" i="1"/>
  <c r="AB96" i="1"/>
  <c r="AA96" i="1"/>
  <c r="AE95" i="1"/>
  <c r="AF95" i="1" s="1"/>
  <c r="AD95" i="1"/>
  <c r="AC95" i="1"/>
  <c r="AB95" i="1"/>
  <c r="AA95" i="1"/>
  <c r="AE94" i="1"/>
  <c r="AF94" i="1" s="1"/>
  <c r="AD94" i="1"/>
  <c r="AC94" i="1"/>
  <c r="AB94" i="1"/>
  <c r="AA94" i="1"/>
  <c r="AE93" i="1"/>
  <c r="AF93" i="1" s="1"/>
  <c r="AD93" i="1"/>
  <c r="AC93" i="1"/>
  <c r="AB93" i="1"/>
  <c r="AA93" i="1"/>
  <c r="AE92" i="1"/>
  <c r="AF92" i="1" s="1"/>
  <c r="AD92" i="1"/>
  <c r="AC92" i="1"/>
  <c r="AB92" i="1"/>
  <c r="AA92" i="1"/>
  <c r="AE91" i="1"/>
  <c r="AF91" i="1" s="1"/>
  <c r="AD91" i="1"/>
  <c r="AC91" i="1"/>
  <c r="AB91" i="1"/>
  <c r="AA91" i="1"/>
  <c r="AE90" i="1"/>
  <c r="AF90" i="1" s="1"/>
  <c r="AD90" i="1"/>
  <c r="AC90" i="1"/>
  <c r="AB90" i="1"/>
  <c r="AA90" i="1"/>
  <c r="AE89" i="1"/>
  <c r="AF89" i="1" s="1"/>
  <c r="AD89" i="1"/>
  <c r="AC89" i="1"/>
  <c r="AB89" i="1"/>
  <c r="AA89" i="1"/>
  <c r="AE88" i="1"/>
  <c r="AF88" i="1" s="1"/>
  <c r="AD88" i="1"/>
  <c r="AC88" i="1"/>
  <c r="AB88" i="1"/>
  <c r="AA88" i="1"/>
  <c r="AE87" i="1"/>
  <c r="AF87" i="1" s="1"/>
  <c r="AD87" i="1"/>
  <c r="AB87" i="1"/>
  <c r="AC87" i="1" s="1"/>
  <c r="AA87" i="1"/>
  <c r="AE86" i="1"/>
  <c r="AF86" i="1" s="1"/>
  <c r="AD86" i="1"/>
  <c r="AC86" i="1"/>
  <c r="AB86" i="1"/>
  <c r="AA86" i="1"/>
  <c r="AE85" i="1"/>
  <c r="AF85" i="1" s="1"/>
  <c r="AD85" i="1"/>
  <c r="AB85" i="1"/>
  <c r="AC85" i="1" s="1"/>
  <c r="AA85" i="1"/>
  <c r="AE84" i="1"/>
  <c r="AF84" i="1" s="1"/>
  <c r="AD84" i="1"/>
  <c r="AC84" i="1"/>
  <c r="AB84" i="1"/>
  <c r="AA84" i="1"/>
  <c r="AE83" i="1"/>
  <c r="AF83" i="1" s="1"/>
  <c r="AD83" i="1"/>
  <c r="AC83" i="1"/>
  <c r="AB83" i="1"/>
  <c r="AA83" i="1"/>
  <c r="AE82" i="1"/>
  <c r="AF82" i="1" s="1"/>
  <c r="AD82" i="1"/>
  <c r="AC82" i="1"/>
  <c r="AB82" i="1"/>
  <c r="AA82" i="1"/>
  <c r="AE81" i="1"/>
  <c r="AF81" i="1" s="1"/>
  <c r="AD81" i="1"/>
  <c r="AC81" i="1"/>
  <c r="AB81" i="1"/>
  <c r="AA81" i="1"/>
  <c r="AE80" i="1"/>
  <c r="AF80" i="1" s="1"/>
  <c r="AD80" i="1"/>
  <c r="AC80" i="1"/>
  <c r="AB80" i="1"/>
  <c r="AA80" i="1"/>
  <c r="AE79" i="1"/>
  <c r="AF79" i="1" s="1"/>
  <c r="AD79" i="1"/>
  <c r="AC79" i="1"/>
  <c r="AB79" i="1"/>
  <c r="AA79" i="1"/>
  <c r="AE78" i="1"/>
  <c r="AF78" i="1" s="1"/>
  <c r="AD78" i="1"/>
  <c r="AC78" i="1"/>
  <c r="AB78" i="1"/>
  <c r="AA78" i="1"/>
  <c r="AE77" i="1"/>
  <c r="AF77" i="1" s="1"/>
  <c r="AD77" i="1"/>
  <c r="AC77" i="1"/>
  <c r="AB77" i="1"/>
  <c r="AA77" i="1"/>
  <c r="AE76" i="1"/>
  <c r="AF76" i="1" s="1"/>
  <c r="AD76" i="1"/>
  <c r="AC76" i="1"/>
  <c r="AB76" i="1"/>
  <c r="AA76" i="1"/>
  <c r="AE75" i="1"/>
  <c r="AF75" i="1" s="1"/>
  <c r="AD75" i="1"/>
  <c r="AC75" i="1"/>
  <c r="AB75" i="1"/>
  <c r="AA75" i="1"/>
  <c r="AE74" i="1"/>
  <c r="AF74" i="1" s="1"/>
  <c r="AD74" i="1"/>
  <c r="AC74" i="1"/>
  <c r="AB74" i="1"/>
  <c r="AA74" i="1"/>
  <c r="AE73" i="1"/>
  <c r="AF73" i="1" s="1"/>
  <c r="AD73" i="1"/>
  <c r="AC73" i="1"/>
  <c r="AB73" i="1"/>
  <c r="AA73" i="1"/>
  <c r="AE72" i="1"/>
  <c r="AF72" i="1" s="1"/>
  <c r="AD72" i="1"/>
  <c r="AC72" i="1"/>
  <c r="AB72" i="1"/>
  <c r="AA72" i="1"/>
  <c r="AE71" i="1"/>
  <c r="AF71" i="1" s="1"/>
  <c r="AD71" i="1"/>
  <c r="AC71" i="1"/>
  <c r="AB71" i="1"/>
  <c r="AA71" i="1"/>
  <c r="AE70" i="1"/>
  <c r="AF70" i="1" s="1"/>
  <c r="AD70" i="1"/>
  <c r="AC70" i="1"/>
  <c r="AB70" i="1"/>
  <c r="AA70" i="1"/>
  <c r="AE69" i="1"/>
  <c r="AF69" i="1" s="1"/>
  <c r="AD69" i="1"/>
  <c r="AC69" i="1"/>
  <c r="AB69" i="1"/>
  <c r="AA69" i="1"/>
  <c r="AE68" i="1"/>
  <c r="AF68" i="1" s="1"/>
  <c r="AD68" i="1"/>
  <c r="AC68" i="1"/>
  <c r="AB68" i="1"/>
  <c r="AA68" i="1"/>
  <c r="AE67" i="1"/>
  <c r="AF67" i="1" s="1"/>
  <c r="AD67" i="1"/>
  <c r="AC67" i="1"/>
  <c r="AB67" i="1"/>
  <c r="AA67" i="1"/>
  <c r="AE66" i="1"/>
  <c r="AF66" i="1" s="1"/>
  <c r="AD66" i="1"/>
  <c r="AC66" i="1"/>
  <c r="AB66" i="1"/>
  <c r="AA66" i="1"/>
  <c r="AE65" i="1"/>
  <c r="AF65" i="1" s="1"/>
  <c r="AD65" i="1"/>
  <c r="AC65" i="1"/>
  <c r="AB65" i="1"/>
  <c r="AA65" i="1"/>
  <c r="AE64" i="1"/>
  <c r="AF64" i="1" s="1"/>
  <c r="AD64" i="1"/>
  <c r="AC64" i="1"/>
  <c r="AB64" i="1"/>
  <c r="AA64" i="1"/>
  <c r="AE63" i="1"/>
  <c r="AF63" i="1" s="1"/>
  <c r="AD63" i="1"/>
  <c r="AC63" i="1"/>
  <c r="AB63" i="1"/>
  <c r="AA63" i="1"/>
  <c r="AE62" i="1"/>
  <c r="AF62" i="1" s="1"/>
  <c r="AD62" i="1"/>
  <c r="AC62" i="1"/>
  <c r="AB62" i="1"/>
  <c r="AA62" i="1"/>
  <c r="AE61" i="1"/>
  <c r="AF61" i="1" s="1"/>
  <c r="AD61" i="1"/>
  <c r="AC61" i="1"/>
  <c r="AB61" i="1"/>
  <c r="AA61" i="1"/>
  <c r="AE60" i="1"/>
  <c r="AF60" i="1" s="1"/>
  <c r="AD60" i="1"/>
  <c r="AC60" i="1"/>
  <c r="AB60" i="1"/>
  <c r="AA60" i="1"/>
  <c r="AE59" i="1"/>
  <c r="AF59" i="1" s="1"/>
  <c r="AD59" i="1"/>
  <c r="AC59" i="1"/>
  <c r="AB59" i="1"/>
  <c r="AA59" i="1"/>
  <c r="AE58" i="1"/>
  <c r="AF58" i="1" s="1"/>
  <c r="AD58" i="1"/>
  <c r="AC58" i="1"/>
  <c r="AB58" i="1"/>
  <c r="AA58" i="1"/>
  <c r="AE57" i="1"/>
  <c r="AF57" i="1" s="1"/>
  <c r="AD57" i="1"/>
  <c r="AC57" i="1"/>
  <c r="AB57" i="1"/>
  <c r="AA57" i="1"/>
  <c r="AE56" i="1"/>
  <c r="AF56" i="1" s="1"/>
  <c r="AD56" i="1"/>
  <c r="AC56" i="1"/>
  <c r="AB56" i="1"/>
  <c r="AA56" i="1"/>
  <c r="AE55" i="1"/>
  <c r="AF55" i="1" s="1"/>
  <c r="AD55" i="1"/>
  <c r="AC55" i="1"/>
  <c r="AB55" i="1"/>
  <c r="AA55" i="1"/>
  <c r="AE54" i="1"/>
  <c r="AF54" i="1" s="1"/>
  <c r="AD54" i="1"/>
  <c r="AC54" i="1"/>
  <c r="AB54" i="1"/>
  <c r="AA54" i="1"/>
  <c r="AE53" i="1"/>
  <c r="AF53" i="1" s="1"/>
  <c r="AD53" i="1"/>
  <c r="AC53" i="1"/>
  <c r="AB53" i="1"/>
  <c r="AA53" i="1"/>
  <c r="AE52" i="1"/>
  <c r="AF52" i="1" s="1"/>
  <c r="AD52" i="1"/>
  <c r="AC52" i="1"/>
  <c r="AB52" i="1"/>
  <c r="AA52" i="1"/>
  <c r="AE51" i="1"/>
  <c r="AF51" i="1" s="1"/>
  <c r="AD51" i="1"/>
  <c r="AC51" i="1"/>
  <c r="AB51" i="1"/>
  <c r="AA51" i="1"/>
  <c r="AE50" i="1"/>
  <c r="AF50" i="1" s="1"/>
  <c r="AD50" i="1"/>
  <c r="AC50" i="1"/>
  <c r="AB50" i="1"/>
  <c r="AA50" i="1"/>
  <c r="AE49" i="1"/>
  <c r="AF49" i="1" s="1"/>
  <c r="AD49" i="1"/>
  <c r="AC49" i="1"/>
  <c r="AB49" i="1"/>
  <c r="AA49" i="1"/>
  <c r="AE48" i="1"/>
  <c r="AF48" i="1" s="1"/>
  <c r="AD48" i="1"/>
  <c r="AC48" i="1"/>
  <c r="AB48" i="1"/>
  <c r="AA48" i="1"/>
  <c r="AE47" i="1"/>
  <c r="AF47" i="1" s="1"/>
  <c r="AD47" i="1"/>
  <c r="AC47" i="1"/>
  <c r="AB47" i="1"/>
  <c r="AA47" i="1"/>
  <c r="AE46" i="1"/>
  <c r="AF46" i="1" s="1"/>
  <c r="AD46" i="1"/>
  <c r="AC46" i="1"/>
  <c r="AB46" i="1"/>
  <c r="AA46" i="1"/>
  <c r="AE45" i="1"/>
  <c r="AF45" i="1" s="1"/>
  <c r="AD45" i="1"/>
  <c r="AC45" i="1"/>
  <c r="AB45" i="1"/>
  <c r="AA45" i="1"/>
  <c r="AE44" i="1"/>
  <c r="AF44" i="1" s="1"/>
  <c r="AD44" i="1"/>
  <c r="AC44" i="1"/>
  <c r="AB44" i="1"/>
  <c r="AA44" i="1"/>
  <c r="AE43" i="1"/>
  <c r="AF43" i="1" s="1"/>
  <c r="AD43" i="1"/>
  <c r="AC43" i="1"/>
  <c r="AB43" i="1"/>
  <c r="AA43" i="1"/>
  <c r="AE42" i="1"/>
  <c r="AF42" i="1" s="1"/>
  <c r="AD42" i="1"/>
  <c r="AC42" i="1"/>
  <c r="AB42" i="1"/>
  <c r="AA42" i="1"/>
  <c r="AE41" i="1"/>
  <c r="AF41" i="1" s="1"/>
  <c r="AD41" i="1"/>
  <c r="AC41" i="1"/>
  <c r="AB41" i="1"/>
  <c r="AA41" i="1"/>
  <c r="AE40" i="1"/>
  <c r="AF40" i="1" s="1"/>
  <c r="AD40" i="1"/>
  <c r="AC40" i="1"/>
  <c r="AB40" i="1"/>
  <c r="AA40" i="1"/>
  <c r="AE39" i="1"/>
  <c r="AF39" i="1" s="1"/>
  <c r="AD39" i="1"/>
  <c r="AC39" i="1"/>
  <c r="AB39" i="1"/>
  <c r="AA39" i="1"/>
  <c r="AE38" i="1"/>
  <c r="AF38" i="1" s="1"/>
  <c r="AD38" i="1"/>
  <c r="AC38" i="1"/>
  <c r="AB38" i="1"/>
  <c r="AA38" i="1"/>
  <c r="AE37" i="1"/>
  <c r="AF37" i="1" s="1"/>
  <c r="AD37" i="1"/>
  <c r="AC37" i="1"/>
  <c r="AB37" i="1"/>
  <c r="AA37" i="1"/>
  <c r="AE36" i="1"/>
  <c r="AF36" i="1" s="1"/>
  <c r="AD36" i="1"/>
  <c r="AC36" i="1"/>
  <c r="AB36" i="1"/>
  <c r="AA36" i="1"/>
  <c r="AE35" i="1"/>
  <c r="AF35" i="1" s="1"/>
  <c r="AD35" i="1"/>
  <c r="AC35" i="1"/>
  <c r="AB35" i="1"/>
  <c r="AA35" i="1"/>
  <c r="AE34" i="1"/>
  <c r="AF34" i="1" s="1"/>
  <c r="AD34" i="1"/>
  <c r="AC34" i="1"/>
  <c r="AB34" i="1"/>
  <c r="AA34" i="1"/>
  <c r="AE33" i="1"/>
  <c r="AF33" i="1" s="1"/>
  <c r="AD33" i="1"/>
  <c r="AC33" i="1"/>
  <c r="AB33" i="1"/>
  <c r="AA33" i="1"/>
  <c r="AE32" i="1"/>
  <c r="AF32" i="1" s="1"/>
  <c r="AD32" i="1"/>
  <c r="AC32" i="1"/>
  <c r="AB32" i="1"/>
  <c r="AA32" i="1"/>
  <c r="AE31" i="1"/>
  <c r="AF31" i="1" s="1"/>
  <c r="AD31" i="1"/>
  <c r="AC31" i="1"/>
  <c r="AB31" i="1"/>
  <c r="AA31" i="1"/>
  <c r="AE30" i="1"/>
  <c r="AF30" i="1" s="1"/>
  <c r="AD30" i="1"/>
  <c r="AC30" i="1"/>
  <c r="AB30" i="1"/>
  <c r="AA30" i="1"/>
  <c r="AE29" i="1"/>
  <c r="AF29" i="1" s="1"/>
  <c r="AD29" i="1"/>
  <c r="AC29" i="1"/>
  <c r="AB29" i="1"/>
  <c r="AA29" i="1"/>
  <c r="AE28" i="1"/>
  <c r="AF28" i="1" s="1"/>
  <c r="AD28" i="1"/>
  <c r="AC28" i="1"/>
  <c r="AB28" i="1"/>
  <c r="AA28" i="1"/>
  <c r="AE27" i="1"/>
  <c r="AF27" i="1" s="1"/>
  <c r="AB27" i="1"/>
  <c r="AC27" i="1" s="1"/>
  <c r="AD27" i="1" s="1"/>
  <c r="AA27" i="1"/>
  <c r="AE26" i="1"/>
  <c r="AF26" i="1" s="1"/>
  <c r="AC26" i="1"/>
  <c r="AD26" i="1" s="1"/>
  <c r="AB26" i="1"/>
  <c r="AA26" i="1"/>
  <c r="AE25" i="1"/>
  <c r="AF25" i="1" s="1"/>
  <c r="AD25" i="1"/>
  <c r="AB25" i="1"/>
  <c r="AC25" i="1" s="1"/>
  <c r="AA25" i="1"/>
  <c r="AE24" i="1"/>
  <c r="AF24" i="1" s="1"/>
  <c r="AD24" i="1"/>
  <c r="AB24" i="1"/>
  <c r="AC24" i="1" s="1"/>
  <c r="AA24" i="1"/>
  <c r="AE23" i="1"/>
  <c r="AF23" i="1" s="1"/>
  <c r="AD23" i="1"/>
  <c r="AB23" i="1"/>
  <c r="AC23" i="1" s="1"/>
  <c r="AA23" i="1"/>
  <c r="AE22" i="1"/>
  <c r="AF22" i="1" s="1"/>
  <c r="AD22" i="1"/>
  <c r="AB22" i="1"/>
  <c r="AC22" i="1" s="1"/>
  <c r="AA22" i="1"/>
  <c r="AE21" i="1"/>
  <c r="AF21" i="1" s="1"/>
  <c r="AD21" i="1"/>
  <c r="AB21" i="1"/>
  <c r="AC21" i="1" s="1"/>
  <c r="AA21" i="1"/>
  <c r="AG21" i="1" a="1"/>
  <c r="AG21" i="1" s="1"/>
  <c r="BJ19" i="1"/>
  <c r="AY19" i="1"/>
  <c r="AS19" i="1" a="1"/>
  <c r="AS19" i="1" s="1"/>
  <c r="AG19" i="1"/>
  <c r="AY9" i="1"/>
  <c r="AS9" i="1" a="1"/>
  <c r="AS9" i="1" s="1"/>
  <c r="AG9" i="1"/>
  <c r="AZ5" i="1"/>
  <c r="AT5" i="1" a="1"/>
  <c r="AT5" i="1" s="1"/>
  <c r="AH5" i="1"/>
  <c r="AZ4" i="1"/>
  <c r="AT4" i="1" a="1"/>
  <c r="AT4" i="1" s="1"/>
  <c r="AN4" i="1" a="1"/>
  <c r="AN4" i="1" s="1"/>
  <c r="AH4" i="1"/>
  <c r="AZ3" i="1"/>
  <c r="AT3" i="1" a="1"/>
  <c r="AT3" i="1" s="1"/>
  <c r="AQ3" i="1"/>
  <c r="BC3" i="1" s="1"/>
  <c r="AN3" i="1" a="1"/>
  <c r="AN3" i="1" s="1"/>
  <c r="AH3" i="1"/>
  <c r="AE69" i="24"/>
  <c r="AD69" i="24"/>
  <c r="AC69" i="24"/>
  <c r="AB69" i="24"/>
  <c r="AE68" i="24"/>
  <c r="AD68" i="24"/>
  <c r="AC68" i="24"/>
  <c r="AB68" i="24"/>
  <c r="AE67" i="24"/>
  <c r="AD67" i="24"/>
  <c r="AC67" i="24"/>
  <c r="AB67" i="24"/>
  <c r="AE66" i="24"/>
  <c r="AD66" i="24"/>
  <c r="AC66" i="24"/>
  <c r="AB66" i="24"/>
  <c r="AE65" i="24"/>
  <c r="AD65" i="24"/>
  <c r="AC65" i="24"/>
  <c r="AB65" i="24"/>
  <c r="AE64" i="24"/>
  <c r="AD64" i="24"/>
  <c r="AC64" i="24"/>
  <c r="AB64" i="24"/>
  <c r="AE63" i="24"/>
  <c r="AD63" i="24"/>
  <c r="AC63" i="24"/>
  <c r="AB63" i="24"/>
  <c r="AE62" i="24"/>
  <c r="AD62" i="24"/>
  <c r="AC62" i="24"/>
  <c r="AB62" i="24"/>
  <c r="AE61" i="24"/>
  <c r="AC61" i="24"/>
  <c r="AB61" i="24"/>
  <c r="AD61" i="24" s="1"/>
  <c r="AE60" i="24"/>
  <c r="AC60" i="24"/>
  <c r="AB60" i="24"/>
  <c r="AD60" i="24" s="1"/>
  <c r="AE59" i="24"/>
  <c r="AC59" i="24"/>
  <c r="AB59" i="24"/>
  <c r="AD59" i="24" s="1"/>
  <c r="AE58" i="24"/>
  <c r="AC58" i="24"/>
  <c r="AB58" i="24"/>
  <c r="AD58" i="24" s="1"/>
  <c r="AE57" i="24"/>
  <c r="AC57" i="24"/>
  <c r="AB57" i="24"/>
  <c r="AD57" i="24" s="1"/>
  <c r="AE56" i="24"/>
  <c r="AC56" i="24"/>
  <c r="AB56" i="24"/>
  <c r="AD56" i="24" s="1"/>
  <c r="AE55" i="24"/>
  <c r="AD55" i="24"/>
  <c r="AC55" i="24"/>
  <c r="AB55" i="24"/>
  <c r="AE54" i="24"/>
  <c r="AD54" i="24"/>
  <c r="AC54" i="24"/>
  <c r="AB54" i="24"/>
  <c r="AE53" i="24"/>
  <c r="AD53" i="24"/>
  <c r="AC53" i="24"/>
  <c r="AB53" i="24"/>
  <c r="AE52" i="24"/>
  <c r="AD52" i="24"/>
  <c r="AC52" i="24"/>
  <c r="AB52" i="24"/>
  <c r="AE51" i="24"/>
  <c r="AD51" i="24"/>
  <c r="AC51" i="24"/>
  <c r="AB51" i="24"/>
  <c r="AE50" i="24"/>
  <c r="AD50" i="24"/>
  <c r="AC50" i="24"/>
  <c r="AB50" i="24"/>
  <c r="AE49" i="24"/>
  <c r="AD49" i="24"/>
  <c r="AC49" i="24"/>
  <c r="AB49" i="24"/>
  <c r="AE48" i="24"/>
  <c r="AD48" i="24"/>
  <c r="AC48" i="24"/>
  <c r="AB48" i="24"/>
  <c r="AE47" i="24"/>
  <c r="AD47" i="24"/>
  <c r="AC47" i="24"/>
  <c r="AB47" i="24"/>
  <c r="AE46" i="24"/>
  <c r="AC46" i="24"/>
  <c r="AB46" i="24"/>
  <c r="AD46" i="24" s="1"/>
  <c r="AE45" i="24"/>
  <c r="AD45" i="24"/>
  <c r="AC45" i="24"/>
  <c r="AB45" i="24"/>
  <c r="AE44" i="24"/>
  <c r="AC44" i="24"/>
  <c r="AB44" i="24"/>
  <c r="AD44" i="24" s="1"/>
  <c r="AE43" i="24"/>
  <c r="AD43" i="24"/>
  <c r="AC43" i="24"/>
  <c r="AB43" i="24"/>
  <c r="AE42" i="24"/>
  <c r="AD42" i="24"/>
  <c r="AC42" i="24"/>
  <c r="AB42" i="24"/>
  <c r="AE41" i="24"/>
  <c r="AD41" i="24"/>
  <c r="AC41" i="24"/>
  <c r="AB41" i="24"/>
  <c r="AE40" i="24"/>
  <c r="AD40" i="24"/>
  <c r="AC40" i="24"/>
  <c r="AB40" i="24"/>
  <c r="AE39" i="24"/>
  <c r="AD39" i="24"/>
  <c r="AC39" i="24"/>
  <c r="AB39" i="24"/>
  <c r="AE38" i="24"/>
  <c r="AD38" i="24"/>
  <c r="AC38" i="24"/>
  <c r="AB38" i="24"/>
  <c r="AE37" i="24"/>
  <c r="AD37" i="24"/>
  <c r="AC37" i="24"/>
  <c r="AB37" i="24"/>
  <c r="AE36" i="24"/>
  <c r="AD36" i="24"/>
  <c r="AC36" i="24"/>
  <c r="AB36" i="24"/>
  <c r="AE35" i="24"/>
  <c r="AD35" i="24"/>
  <c r="AC35" i="24"/>
  <c r="AB35" i="24"/>
  <c r="AE34" i="24"/>
  <c r="AD34" i="24"/>
  <c r="AC34" i="24"/>
  <c r="AB34" i="24"/>
  <c r="AE33" i="24"/>
  <c r="AD33" i="24"/>
  <c r="AC33" i="24"/>
  <c r="AB33" i="24"/>
  <c r="AE32" i="24"/>
  <c r="AD32" i="24"/>
  <c r="AC32" i="24"/>
  <c r="AB32" i="24"/>
  <c r="AE31" i="24"/>
  <c r="AD31" i="24"/>
  <c r="AC31" i="24"/>
  <c r="AB31" i="24"/>
  <c r="AE30" i="24"/>
  <c r="AD30" i="24"/>
  <c r="AC30" i="24"/>
  <c r="AB30" i="24"/>
  <c r="AE29" i="24"/>
  <c r="AD29" i="24"/>
  <c r="AC29" i="24"/>
  <c r="AB29" i="24"/>
  <c r="AE28" i="24"/>
  <c r="AC28" i="24"/>
  <c r="AB28" i="24"/>
  <c r="AD28" i="24" s="1"/>
  <c r="AE27" i="24"/>
  <c r="AC27" i="24"/>
  <c r="AB27" i="24"/>
  <c r="AD27" i="24" s="1"/>
  <c r="AE26" i="24"/>
  <c r="AD26" i="24"/>
  <c r="AC26" i="24"/>
  <c r="AB26" i="24"/>
  <c r="AE25" i="24"/>
  <c r="AC25" i="24"/>
  <c r="AB25" i="24"/>
  <c r="AD25" i="24" s="1"/>
  <c r="AE24" i="24"/>
  <c r="AC24" i="24"/>
  <c r="AB24" i="24"/>
  <c r="AD24" i="24" s="1"/>
  <c r="AE23" i="24"/>
  <c r="AD23" i="24"/>
  <c r="AC23" i="24"/>
  <c r="AB23" i="24"/>
  <c r="AE22" i="24"/>
  <c r="AC22" i="24"/>
  <c r="AB22" i="24"/>
  <c r="AD22" i="24" s="1"/>
  <c r="AE21" i="24"/>
  <c r="AC21" i="24"/>
  <c r="AB21" i="24"/>
  <c r="AD21" i="24" s="1"/>
  <c r="AE20" i="24"/>
  <c r="AC20" i="24"/>
  <c r="AB20" i="24"/>
  <c r="AD20" i="24" s="1"/>
  <c r="AE19" i="24"/>
  <c r="AD19" i="24"/>
  <c r="AC19" i="24"/>
  <c r="AB19" i="24"/>
  <c r="AE18" i="24"/>
  <c r="AC18" i="24"/>
  <c r="AB18" i="24"/>
  <c r="AD18" i="24" s="1"/>
  <c r="AE17" i="24"/>
  <c r="AD17" i="24"/>
  <c r="AC17" i="24"/>
  <c r="AB17" i="24"/>
  <c r="AE16" i="24"/>
  <c r="AC16" i="24"/>
  <c r="AB16" i="24"/>
  <c r="AD16" i="24" s="1"/>
  <c r="AE15" i="24"/>
  <c r="AC15" i="24"/>
  <c r="AB15" i="24"/>
  <c r="AD15" i="24" s="1"/>
  <c r="AE14" i="24"/>
  <c r="AC14" i="24"/>
  <c r="AB14" i="24"/>
  <c r="AD14" i="24" s="1"/>
  <c r="AE13" i="24"/>
  <c r="AC13" i="24"/>
  <c r="AB13" i="24"/>
  <c r="AD13" i="24" s="1"/>
  <c r="AE12" i="24"/>
  <c r="AC12" i="24"/>
  <c r="AB12" i="24"/>
  <c r="AD12" i="24" s="1"/>
  <c r="AE11" i="24"/>
  <c r="AC11" i="24"/>
  <c r="AB11" i="24"/>
  <c r="AD11" i="24" s="1"/>
  <c r="AE10" i="24"/>
  <c r="AC10" i="24"/>
  <c r="AB10" i="24"/>
  <c r="AD10" i="24" s="1"/>
  <c r="AG307" i="1" l="1" a="1"/>
  <c r="AG307" i="1" s="1"/>
  <c r="AG306" i="1" a="1"/>
  <c r="AG306" i="1" s="1"/>
  <c r="AG233" i="1" a="1"/>
  <c r="AG233" i="1" s="1"/>
  <c r="AI9" i="1"/>
  <c r="BC9" i="1" s="1"/>
  <c r="AG234" i="1" a="1"/>
  <c r="AG234" i="1" s="1"/>
  <c r="AG235" i="1" a="1"/>
  <c r="AG235" i="1" s="1"/>
  <c r="AG25" i="1" a="1"/>
  <c r="AG25" i="1" s="1"/>
  <c r="AG22" i="1" a="1"/>
  <c r="AG22" i="1" s="1"/>
  <c r="AG23" i="1" a="1"/>
  <c r="AG23" i="1" s="1"/>
  <c r="AG24" i="1" a="1"/>
  <c r="AG24" i="1" s="1"/>
  <c r="BC4" i="1"/>
  <c r="AI19" i="1"/>
  <c r="BC19" i="1" s="1"/>
  <c r="AJ4" i="1"/>
  <c r="AW4" i="1" s="1"/>
  <c r="AJ3" i="1"/>
  <c r="BD3" i="1" s="1"/>
  <c r="AJ5" i="1"/>
  <c r="AX5" i="1" s="1"/>
  <c r="BB19" i="1"/>
  <c r="BC5" i="1"/>
  <c r="BB9" i="1"/>
  <c r="AG75" i="1" a="1"/>
  <c r="AG75" i="1" s="1"/>
  <c r="AG39" i="1" a="1"/>
  <c r="AG39" i="1" s="1"/>
  <c r="AG57" i="1" a="1"/>
  <c r="AG57" i="1" s="1"/>
  <c r="AG66" i="1" a="1"/>
  <c r="AG66" i="1" s="1"/>
  <c r="AG76" i="1" a="1"/>
  <c r="AG76" i="1" s="1"/>
  <c r="AG30" i="1" a="1"/>
  <c r="AG30" i="1" s="1"/>
  <c r="AG84" i="1" a="1"/>
  <c r="AG84" i="1" s="1"/>
  <c r="AG48" i="1" a="1"/>
  <c r="AG48" i="1" s="1"/>
  <c r="AG368" i="1" a="1"/>
  <c r="AG368" i="1" s="1"/>
  <c r="AG365" i="1" a="1"/>
  <c r="AG365" i="1" s="1"/>
  <c r="AG362" i="1" a="1"/>
  <c r="AG362" i="1" s="1"/>
  <c r="AG359" i="1" a="1"/>
  <c r="AG359" i="1" s="1"/>
  <c r="AG367" i="1" a="1"/>
  <c r="AG367" i="1" s="1"/>
  <c r="AG364" i="1" a="1"/>
  <c r="AG364" i="1" s="1"/>
  <c r="AG361" i="1" a="1"/>
  <c r="AG361" i="1" s="1"/>
  <c r="AG358" i="1" a="1"/>
  <c r="AG358" i="1" s="1"/>
  <c r="AG357" i="1" a="1"/>
  <c r="AG357" i="1" s="1"/>
  <c r="AG356" i="1" a="1"/>
  <c r="AG356" i="1" s="1"/>
  <c r="AG355" i="1" a="1"/>
  <c r="AG355" i="1" s="1"/>
  <c r="AG354" i="1" a="1"/>
  <c r="AG354" i="1" s="1"/>
  <c r="AG353" i="1" a="1"/>
  <c r="AG353" i="1" s="1"/>
  <c r="AG352" i="1" a="1"/>
  <c r="AG352" i="1" s="1"/>
  <c r="AG351" i="1" a="1"/>
  <c r="AG351" i="1" s="1"/>
  <c r="AG350" i="1" a="1"/>
  <c r="AG350" i="1" s="1"/>
  <c r="AG349" i="1" a="1"/>
  <c r="AG349" i="1" s="1"/>
  <c r="AG348" i="1" a="1"/>
  <c r="AG348" i="1" s="1"/>
  <c r="AG347" i="1" a="1"/>
  <c r="AG347" i="1" s="1"/>
  <c r="AG346" i="1" a="1"/>
  <c r="AG346" i="1" s="1"/>
  <c r="AG345" i="1" a="1"/>
  <c r="AG345" i="1" s="1"/>
  <c r="AG344" i="1" a="1"/>
  <c r="AG344" i="1" s="1"/>
  <c r="AG343" i="1" a="1"/>
  <c r="AG343" i="1" s="1"/>
  <c r="AG342" i="1" a="1"/>
  <c r="AG342" i="1" s="1"/>
  <c r="AG281" i="1" a="1"/>
  <c r="AG281" i="1" s="1"/>
  <c r="AG280" i="1" a="1"/>
  <c r="AG280" i="1" s="1"/>
  <c r="AG279" i="1" a="1"/>
  <c r="AG279" i="1" s="1"/>
  <c r="AG272" i="1" a="1"/>
  <c r="AG272" i="1" s="1"/>
  <c r="AG271" i="1" a="1"/>
  <c r="AG271" i="1" s="1"/>
  <c r="AG270" i="1" a="1"/>
  <c r="AG270" i="1" s="1"/>
  <c r="AG263" i="1" a="1"/>
  <c r="AG263" i="1" s="1"/>
  <c r="AG262" i="1" a="1"/>
  <c r="AG262" i="1" s="1"/>
  <c r="AG261" i="1" a="1"/>
  <c r="AG261" i="1" s="1"/>
  <c r="AG254" i="1" a="1"/>
  <c r="AG254" i="1" s="1"/>
  <c r="AG253" i="1" a="1"/>
  <c r="AG253" i="1" s="1"/>
  <c r="AG252" i="1" a="1"/>
  <c r="AG252" i="1" s="1"/>
  <c r="AG245" i="1" a="1"/>
  <c r="AG245" i="1" s="1"/>
  <c r="AG360" i="1" a="1"/>
  <c r="AG360" i="1" s="1"/>
  <c r="AG278" i="1" a="1"/>
  <c r="AG278" i="1" s="1"/>
  <c r="AG277" i="1" a="1"/>
  <c r="AG277" i="1" s="1"/>
  <c r="AG276" i="1" a="1"/>
  <c r="AG276" i="1" s="1"/>
  <c r="AG269" i="1" a="1"/>
  <c r="AG269" i="1" s="1"/>
  <c r="AG268" i="1" a="1"/>
  <c r="AG268" i="1" s="1"/>
  <c r="AG267" i="1" a="1"/>
  <c r="AG267" i="1" s="1"/>
  <c r="AG260" i="1" a="1"/>
  <c r="AG260" i="1" s="1"/>
  <c r="AG259" i="1" a="1"/>
  <c r="AG259" i="1" s="1"/>
  <c r="AG258" i="1" a="1"/>
  <c r="AG258" i="1" s="1"/>
  <c r="AG251" i="1" a="1"/>
  <c r="AG251" i="1" s="1"/>
  <c r="AG250" i="1" a="1"/>
  <c r="AG250" i="1" s="1"/>
  <c r="AG249" i="1" a="1"/>
  <c r="AG249" i="1" s="1"/>
  <c r="AG242" i="1" a="1"/>
  <c r="AG242" i="1" s="1"/>
  <c r="AG241" i="1" a="1"/>
  <c r="AG241" i="1" s="1"/>
  <c r="AG240" i="1" a="1"/>
  <c r="AG240" i="1" s="1"/>
  <c r="AG230" i="1" a="1"/>
  <c r="AG230" i="1" s="1"/>
  <c r="AG363" i="1" a="1"/>
  <c r="AG363" i="1" s="1"/>
  <c r="AG366" i="1" a="1"/>
  <c r="AG366" i="1" s="1"/>
  <c r="AG275" i="1" a="1"/>
  <c r="AG275" i="1" s="1"/>
  <c r="AG274" i="1" a="1"/>
  <c r="AG274" i="1" s="1"/>
  <c r="AG273" i="1" a="1"/>
  <c r="AG273" i="1" s="1"/>
  <c r="AG266" i="1" a="1"/>
  <c r="AG266" i="1" s="1"/>
  <c r="AG228" i="1" a="1"/>
  <c r="AG228" i="1" s="1"/>
  <c r="AG227" i="1" a="1"/>
  <c r="AG227" i="1" s="1"/>
  <c r="AG223" i="1" a="1"/>
  <c r="AG223" i="1" s="1"/>
  <c r="AG219" i="1" a="1"/>
  <c r="AG219" i="1" s="1"/>
  <c r="AG218" i="1" a="1"/>
  <c r="AG218" i="1" s="1"/>
  <c r="AG214" i="1" a="1"/>
  <c r="AG214" i="1" s="1"/>
  <c r="AG210" i="1" a="1"/>
  <c r="AG210" i="1" s="1"/>
  <c r="AG209" i="1" a="1"/>
  <c r="AG209" i="1" s="1"/>
  <c r="AG205" i="1" a="1"/>
  <c r="AG205" i="1" s="1"/>
  <c r="AG232" i="1" a="1"/>
  <c r="AG232" i="1" s="1"/>
  <c r="AG248" i="1" a="1"/>
  <c r="AG248" i="1" s="1"/>
  <c r="AG247" i="1" a="1"/>
  <c r="AG247" i="1" s="1"/>
  <c r="AG246" i="1" a="1"/>
  <c r="AG246" i="1" s="1"/>
  <c r="AG239" i="1" a="1"/>
  <c r="AG239" i="1" s="1"/>
  <c r="AG238" i="1" a="1"/>
  <c r="AG238" i="1" s="1"/>
  <c r="AG237" i="1" a="1"/>
  <c r="AG237" i="1" s="1"/>
  <c r="AG226" i="1" a="1"/>
  <c r="AG226" i="1" s="1"/>
  <c r="AG257" i="1" a="1"/>
  <c r="AG257" i="1" s="1"/>
  <c r="AG256" i="1" a="1"/>
  <c r="AG256" i="1" s="1"/>
  <c r="AG255" i="1" a="1"/>
  <c r="AG255" i="1" s="1"/>
  <c r="AG244" i="1" a="1"/>
  <c r="AG244" i="1" s="1"/>
  <c r="AG243" i="1" a="1"/>
  <c r="AG243" i="1" s="1"/>
  <c r="AG231" i="1" a="1"/>
  <c r="AG231" i="1" s="1"/>
  <c r="AG201" i="1" a="1"/>
  <c r="AG201" i="1" s="1"/>
  <c r="AG200" i="1" a="1"/>
  <c r="AG200" i="1" s="1"/>
  <c r="AG199" i="1" a="1"/>
  <c r="AG199" i="1" s="1"/>
  <c r="AG198" i="1" a="1"/>
  <c r="AG198" i="1" s="1"/>
  <c r="AG197" i="1" a="1"/>
  <c r="AG197" i="1" s="1"/>
  <c r="AG184" i="1" a="1"/>
  <c r="AG184" i="1" s="1"/>
  <c r="AG183" i="1" a="1"/>
  <c r="AG183" i="1" s="1"/>
  <c r="AG182" i="1" a="1"/>
  <c r="AG182" i="1" s="1"/>
  <c r="AG181" i="1" a="1"/>
  <c r="AG181" i="1" s="1"/>
  <c r="AG171" i="1" a="1"/>
  <c r="AG171" i="1" s="1"/>
  <c r="AG170" i="1" a="1"/>
  <c r="AG170" i="1" s="1"/>
  <c r="AG169" i="1" a="1"/>
  <c r="AG169" i="1" s="1"/>
  <c r="AG168" i="1" a="1"/>
  <c r="AG168" i="1" s="1"/>
  <c r="AG167" i="1" a="1"/>
  <c r="AG167" i="1" s="1"/>
  <c r="AG97" i="1" a="1"/>
  <c r="AG97" i="1" s="1"/>
  <c r="AG92" i="1" a="1"/>
  <c r="AG92" i="1" s="1"/>
  <c r="AG87" i="1" a="1"/>
  <c r="AG87" i="1" s="1"/>
  <c r="AG83" i="1" a="1"/>
  <c r="AG83" i="1" s="1"/>
  <c r="AG78" i="1" a="1"/>
  <c r="AG78" i="1" s="1"/>
  <c r="AG71" i="1" a="1"/>
  <c r="AG71" i="1" s="1"/>
  <c r="AG65" i="1" a="1"/>
  <c r="AG65" i="1" s="1"/>
  <c r="AG59" i="1" a="1"/>
  <c r="AG59" i="1" s="1"/>
  <c r="AG53" i="1" a="1"/>
  <c r="AG53" i="1" s="1"/>
  <c r="AG47" i="1" a="1"/>
  <c r="AG47" i="1" s="1"/>
  <c r="AG41" i="1" a="1"/>
  <c r="AG41" i="1" s="1"/>
  <c r="AG35" i="1" a="1"/>
  <c r="AG35" i="1" s="1"/>
  <c r="AG29" i="1" a="1"/>
  <c r="AG29" i="1" s="1"/>
  <c r="AG225" i="1" a="1"/>
  <c r="AG225" i="1" s="1"/>
  <c r="AG224" i="1" a="1"/>
  <c r="AG224" i="1" s="1"/>
  <c r="AG159" i="1" a="1"/>
  <c r="AG159" i="1" s="1"/>
  <c r="AG158" i="1" a="1"/>
  <c r="AG158" i="1" s="1"/>
  <c r="AG153" i="1" a="1"/>
  <c r="AG153" i="1" s="1"/>
  <c r="AG152" i="1" a="1"/>
  <c r="AG152" i="1" s="1"/>
  <c r="AG151" i="1" a="1"/>
  <c r="AG151" i="1" s="1"/>
  <c r="AG145" i="1" a="1"/>
  <c r="AG145" i="1" s="1"/>
  <c r="AG139" i="1" a="1"/>
  <c r="AG139" i="1" s="1"/>
  <c r="AG138" i="1" a="1"/>
  <c r="AG138" i="1" s="1"/>
  <c r="AG137" i="1" a="1"/>
  <c r="AG137" i="1" s="1"/>
  <c r="AG132" i="1" a="1"/>
  <c r="AG132" i="1" s="1"/>
  <c r="AG131" i="1" a="1"/>
  <c r="AG131" i="1" s="1"/>
  <c r="AG126" i="1" a="1"/>
  <c r="AG126" i="1" s="1"/>
  <c r="AG125" i="1" a="1"/>
  <c r="AG125" i="1" s="1"/>
  <c r="AG124" i="1" a="1"/>
  <c r="AG124" i="1" s="1"/>
  <c r="AG119" i="1" a="1"/>
  <c r="AG119" i="1" s="1"/>
  <c r="AG115" i="1" a="1"/>
  <c r="AG115" i="1" s="1"/>
  <c r="AG114" i="1" a="1"/>
  <c r="AG114" i="1" s="1"/>
  <c r="AG110" i="1" a="1"/>
  <c r="AG110" i="1" s="1"/>
  <c r="AG106" i="1" a="1"/>
  <c r="AG106" i="1" s="1"/>
  <c r="AG105" i="1" a="1"/>
  <c r="AG105" i="1" s="1"/>
  <c r="AG101" i="1" a="1"/>
  <c r="AG101" i="1" s="1"/>
  <c r="AG96" i="1" a="1"/>
  <c r="AG96" i="1" s="1"/>
  <c r="AG88" i="1" a="1"/>
  <c r="AG88" i="1" s="1"/>
  <c r="AG79" i="1" a="1"/>
  <c r="AG79" i="1" s="1"/>
  <c r="AG74" i="1" a="1"/>
  <c r="AG74" i="1" s="1"/>
  <c r="AG68" i="1" a="1"/>
  <c r="AG68" i="1" s="1"/>
  <c r="AG62" i="1" a="1"/>
  <c r="AG62" i="1" s="1"/>
  <c r="AG56" i="1" a="1"/>
  <c r="AG56" i="1" s="1"/>
  <c r="AG50" i="1" a="1"/>
  <c r="AG50" i="1" s="1"/>
  <c r="AG44" i="1" a="1"/>
  <c r="AG44" i="1" s="1"/>
  <c r="AG38" i="1" a="1"/>
  <c r="AG38" i="1" s="1"/>
  <c r="AG32" i="1" a="1"/>
  <c r="AG32" i="1" s="1"/>
  <c r="AG26" i="1" a="1"/>
  <c r="AG26" i="1" s="1"/>
  <c r="AG265" i="1" a="1"/>
  <c r="AG265" i="1" s="1"/>
  <c r="AG264" i="1" a="1"/>
  <c r="AG264" i="1" s="1"/>
  <c r="AG229" i="1" a="1"/>
  <c r="AG229" i="1" s="1"/>
  <c r="AG222" i="1" a="1"/>
  <c r="AG222" i="1" s="1"/>
  <c r="AG221" i="1" a="1"/>
  <c r="AG221" i="1" s="1"/>
  <c r="AG220" i="1" a="1"/>
  <c r="AG220" i="1" s="1"/>
  <c r="AG217" i="1" a="1"/>
  <c r="AG217" i="1" s="1"/>
  <c r="AG216" i="1" a="1"/>
  <c r="AG216" i="1" s="1"/>
  <c r="AG215" i="1" a="1"/>
  <c r="AG215" i="1" s="1"/>
  <c r="AG196" i="1" a="1"/>
  <c r="AG196" i="1" s="1"/>
  <c r="AG192" i="1" a="1"/>
  <c r="AG192" i="1" s="1"/>
  <c r="AG191" i="1" a="1"/>
  <c r="AG191" i="1" s="1"/>
  <c r="AG190" i="1" a="1"/>
  <c r="AG190" i="1" s="1"/>
  <c r="AG180" i="1" a="1"/>
  <c r="AG180" i="1" s="1"/>
  <c r="AG179" i="1" a="1"/>
  <c r="AG179" i="1" s="1"/>
  <c r="AG178" i="1" a="1"/>
  <c r="AG178" i="1" s="1"/>
  <c r="AG177" i="1" a="1"/>
  <c r="AG177" i="1" s="1"/>
  <c r="AG176" i="1" a="1"/>
  <c r="AG176" i="1" s="1"/>
  <c r="AG166" i="1" a="1"/>
  <c r="AG166" i="1" s="1"/>
  <c r="AG165" i="1" a="1"/>
  <c r="AG165" i="1" s="1"/>
  <c r="AG164" i="1" a="1"/>
  <c r="AG164" i="1" s="1"/>
  <c r="AG99" i="1" a="1"/>
  <c r="AG99" i="1" s="1"/>
  <c r="AG90" i="1" a="1"/>
  <c r="AG90" i="1" s="1"/>
  <c r="AG86" i="1" a="1"/>
  <c r="AG86" i="1" s="1"/>
  <c r="AG81" i="1" a="1"/>
  <c r="AG81" i="1" s="1"/>
  <c r="AG73" i="1" a="1"/>
  <c r="AG73" i="1" s="1"/>
  <c r="AG67" i="1" a="1"/>
  <c r="AG67" i="1" s="1"/>
  <c r="AG58" i="1" a="1"/>
  <c r="AG58" i="1" s="1"/>
  <c r="AG55" i="1" a="1"/>
  <c r="AG55" i="1" s="1"/>
  <c r="AG49" i="1" a="1"/>
  <c r="AG49" i="1" s="1"/>
  <c r="AG43" i="1" a="1"/>
  <c r="AG43" i="1" s="1"/>
  <c r="AG37" i="1" a="1"/>
  <c r="AG37" i="1" s="1"/>
  <c r="AG31" i="1" a="1"/>
  <c r="AG31" i="1" s="1"/>
  <c r="AG213" i="1" a="1"/>
  <c r="AG213" i="1" s="1"/>
  <c r="AG212" i="1" a="1"/>
  <c r="AG212" i="1" s="1"/>
  <c r="AG211" i="1" a="1"/>
  <c r="AG211" i="1" s="1"/>
  <c r="AG208" i="1" a="1"/>
  <c r="AG208" i="1" s="1"/>
  <c r="AG207" i="1" a="1"/>
  <c r="AG207" i="1" s="1"/>
  <c r="AG206" i="1" a="1"/>
  <c r="AG206" i="1" s="1"/>
  <c r="AG163" i="1" a="1"/>
  <c r="AG163" i="1" s="1"/>
  <c r="AG157" i="1" a="1"/>
  <c r="AG157" i="1" s="1"/>
  <c r="AG156" i="1" a="1"/>
  <c r="AG156" i="1" s="1"/>
  <c r="AG155" i="1" a="1"/>
  <c r="AG155" i="1" s="1"/>
  <c r="AG150" i="1" a="1"/>
  <c r="AG150" i="1" s="1"/>
  <c r="AG149" i="1" a="1"/>
  <c r="AG149" i="1" s="1"/>
  <c r="AG144" i="1" a="1"/>
  <c r="AG144" i="1" s="1"/>
  <c r="AG143" i="1" a="1"/>
  <c r="AG143" i="1" s="1"/>
  <c r="AG142" i="1" a="1"/>
  <c r="AG142" i="1" s="1"/>
  <c r="AG136" i="1" a="1"/>
  <c r="AG136" i="1" s="1"/>
  <c r="AG130" i="1" a="1"/>
  <c r="AG130" i="1" s="1"/>
  <c r="AG129" i="1" a="1"/>
  <c r="AG129" i="1" s="1"/>
  <c r="AG128" i="1" a="1"/>
  <c r="AG128" i="1" s="1"/>
  <c r="AG123" i="1" a="1"/>
  <c r="AG123" i="1" s="1"/>
  <c r="AG122" i="1" a="1"/>
  <c r="AG122" i="1" s="1"/>
  <c r="AG118" i="1" a="1"/>
  <c r="AG118" i="1" s="1"/>
  <c r="AG117" i="1" a="1"/>
  <c r="AG117" i="1" s="1"/>
  <c r="AG113" i="1" a="1"/>
  <c r="AG113" i="1" s="1"/>
  <c r="AG109" i="1" a="1"/>
  <c r="AG109" i="1" s="1"/>
  <c r="AG108" i="1" a="1"/>
  <c r="AG108" i="1" s="1"/>
  <c r="AG104" i="1" a="1"/>
  <c r="AG104" i="1" s="1"/>
  <c r="AG100" i="1" a="1"/>
  <c r="AG100" i="1" s="1"/>
  <c r="AG95" i="1" a="1"/>
  <c r="AG95" i="1" s="1"/>
  <c r="AG91" i="1" a="1"/>
  <c r="AG91" i="1" s="1"/>
  <c r="AG82" i="1" a="1"/>
  <c r="AG82" i="1" s="1"/>
  <c r="AG77" i="1" a="1"/>
  <c r="AG77" i="1" s="1"/>
  <c r="AG70" i="1" a="1"/>
  <c r="AG70" i="1" s="1"/>
  <c r="AG64" i="1" a="1"/>
  <c r="AG64" i="1" s="1"/>
  <c r="AG61" i="1" a="1"/>
  <c r="AG61" i="1" s="1"/>
  <c r="AG52" i="1" a="1"/>
  <c r="AG52" i="1" s="1"/>
  <c r="AG46" i="1" a="1"/>
  <c r="AG46" i="1" s="1"/>
  <c r="AG40" i="1" a="1"/>
  <c r="AG40" i="1" s="1"/>
  <c r="AG34" i="1" a="1"/>
  <c r="AG34" i="1" s="1"/>
  <c r="AG28" i="1" a="1"/>
  <c r="AG28" i="1" s="1"/>
  <c r="AG204" i="1" a="1"/>
  <c r="AG204" i="1" s="1"/>
  <c r="AG203" i="1" a="1"/>
  <c r="AG203" i="1" s="1"/>
  <c r="AG202" i="1" a="1"/>
  <c r="AG202" i="1" s="1"/>
  <c r="AG189" i="1" a="1"/>
  <c r="AG189" i="1" s="1"/>
  <c r="AG188" i="1" a="1"/>
  <c r="AG188" i="1" s="1"/>
  <c r="AG187" i="1" a="1"/>
  <c r="AG187" i="1" s="1"/>
  <c r="AG186" i="1" a="1"/>
  <c r="AG186" i="1" s="1"/>
  <c r="AG185" i="1" a="1"/>
  <c r="AG185" i="1" s="1"/>
  <c r="AG175" i="1" a="1"/>
  <c r="AG175" i="1" s="1"/>
  <c r="AG174" i="1" a="1"/>
  <c r="AG174" i="1" s="1"/>
  <c r="AG173" i="1" a="1"/>
  <c r="AG173" i="1" s="1"/>
  <c r="AG172" i="1" a="1"/>
  <c r="AG172" i="1" s="1"/>
  <c r="AG341" i="1" a="1"/>
  <c r="AG341" i="1" s="1"/>
  <c r="AG340" i="1" a="1"/>
  <c r="AG340" i="1" s="1"/>
  <c r="AG339" i="1" a="1"/>
  <c r="AG339" i="1" s="1"/>
  <c r="AG338" i="1" a="1"/>
  <c r="AG338" i="1" s="1"/>
  <c r="AG337" i="1" a="1"/>
  <c r="AG337" i="1" s="1"/>
  <c r="AG336" i="1" a="1"/>
  <c r="AG336" i="1" s="1"/>
  <c r="AG335" i="1" a="1"/>
  <c r="AG335" i="1" s="1"/>
  <c r="AG334" i="1" a="1"/>
  <c r="AG334" i="1" s="1"/>
  <c r="AG333" i="1" a="1"/>
  <c r="AG333" i="1" s="1"/>
  <c r="AG332" i="1" a="1"/>
  <c r="AG332" i="1" s="1"/>
  <c r="AG331" i="1" a="1"/>
  <c r="AG331" i="1" s="1"/>
  <c r="AG330" i="1" a="1"/>
  <c r="AG330" i="1" s="1"/>
  <c r="AG329" i="1" a="1"/>
  <c r="AG329" i="1" s="1"/>
  <c r="AG328" i="1" a="1"/>
  <c r="AG328" i="1" s="1"/>
  <c r="AG127" i="1" a="1"/>
  <c r="AG127" i="1" s="1"/>
  <c r="AG140" i="1" a="1"/>
  <c r="AG140" i="1" s="1"/>
  <c r="AG141" i="1" a="1"/>
  <c r="AG141" i="1" s="1"/>
  <c r="AG27" i="1" a="1"/>
  <c r="AG27" i="1" s="1"/>
  <c r="AG45" i="1" a="1"/>
  <c r="AG45" i="1" s="1"/>
  <c r="AG63" i="1" a="1"/>
  <c r="AG63" i="1" s="1"/>
  <c r="AG98" i="1" a="1"/>
  <c r="AG98" i="1" s="1"/>
  <c r="AG116" i="1" a="1"/>
  <c r="AG116" i="1" s="1"/>
  <c r="AG282" i="1" a="1"/>
  <c r="AG282" i="1" s="1"/>
  <c r="AG284" i="1" a="1"/>
  <c r="AG284" i="1" s="1"/>
  <c r="AG286" i="1" a="1"/>
  <c r="AG286" i="1" s="1"/>
  <c r="AG288" i="1" a="1"/>
  <c r="AG288" i="1" s="1"/>
  <c r="AG290" i="1" a="1"/>
  <c r="AG290" i="1" s="1"/>
  <c r="AG292" i="1" a="1"/>
  <c r="AG292" i="1" s="1"/>
  <c r="AG294" i="1" a="1"/>
  <c r="AG294" i="1" s="1"/>
  <c r="AG296" i="1" a="1"/>
  <c r="AG296" i="1" s="1"/>
  <c r="AG298" i="1" a="1"/>
  <c r="AG298" i="1" s="1"/>
  <c r="AG300" i="1" a="1"/>
  <c r="AG300" i="1" s="1"/>
  <c r="AG302" i="1" a="1"/>
  <c r="AG302" i="1" s="1"/>
  <c r="AG304" i="1" a="1"/>
  <c r="AG304" i="1" s="1"/>
  <c r="AG311" i="1" a="1"/>
  <c r="AG311" i="1" s="1"/>
  <c r="AG312" i="1" a="1"/>
  <c r="AG312" i="1" s="1"/>
  <c r="AG314" i="1" a="1"/>
  <c r="AG314" i="1" s="1"/>
  <c r="AG315" i="1" a="1"/>
  <c r="AG315" i="1" s="1"/>
  <c r="AG316" i="1" a="1"/>
  <c r="AG316" i="1" s="1"/>
  <c r="AG317" i="1" a="1"/>
  <c r="AG317" i="1" s="1"/>
  <c r="AG318" i="1" a="1"/>
  <c r="AG318" i="1" s="1"/>
  <c r="AG319" i="1" a="1"/>
  <c r="AG319" i="1" s="1"/>
  <c r="AG320" i="1" a="1"/>
  <c r="AG320" i="1" s="1"/>
  <c r="AG321" i="1" a="1"/>
  <c r="AG321" i="1" s="1"/>
  <c r="AG322" i="1" a="1"/>
  <c r="AG322" i="1" s="1"/>
  <c r="AG323" i="1" a="1"/>
  <c r="AG323" i="1" s="1"/>
  <c r="AG324" i="1" a="1"/>
  <c r="AG324" i="1" s="1"/>
  <c r="AG325" i="1" a="1"/>
  <c r="AG325" i="1" s="1"/>
  <c r="AG326" i="1" a="1"/>
  <c r="AG326" i="1" s="1"/>
  <c r="AG327" i="1" a="1"/>
  <c r="AG327" i="1" s="1"/>
  <c r="AG36" i="1" a="1"/>
  <c r="AG36" i="1" s="1"/>
  <c r="AG54" i="1" a="1"/>
  <c r="AG54" i="1" s="1"/>
  <c r="AG72" i="1" a="1"/>
  <c r="AG72" i="1" s="1"/>
  <c r="AG89" i="1" a="1"/>
  <c r="AG89" i="1" s="1"/>
  <c r="AG107" i="1" a="1"/>
  <c r="AG107" i="1" s="1"/>
  <c r="AG154" i="1" a="1"/>
  <c r="AG154" i="1" s="1"/>
  <c r="AG283" i="1" a="1"/>
  <c r="AG283" i="1" s="1"/>
  <c r="AG285" i="1" a="1"/>
  <c r="AG285" i="1" s="1"/>
  <c r="AG287" i="1" a="1"/>
  <c r="AG287" i="1" s="1"/>
  <c r="AG289" i="1" a="1"/>
  <c r="AG289" i="1" s="1"/>
  <c r="AG291" i="1" a="1"/>
  <c r="AG291" i="1" s="1"/>
  <c r="AG293" i="1" a="1"/>
  <c r="AG293" i="1" s="1"/>
  <c r="AG295" i="1" a="1"/>
  <c r="AG295" i="1" s="1"/>
  <c r="AG297" i="1" a="1"/>
  <c r="AG297" i="1" s="1"/>
  <c r="AG299" i="1" a="1"/>
  <c r="AG299" i="1" s="1"/>
  <c r="AG301" i="1" a="1"/>
  <c r="AG301" i="1" s="1"/>
  <c r="AG303" i="1" a="1"/>
  <c r="AG303" i="1" s="1"/>
  <c r="AG310" i="1" a="1"/>
  <c r="AG310" i="1" s="1"/>
  <c r="AG313" i="1" a="1"/>
  <c r="AG313" i="1" s="1"/>
  <c r="AG80" i="1" a="1"/>
  <c r="AG80" i="1" s="1"/>
  <c r="AG133" i="1" a="1"/>
  <c r="AG133" i="1" s="1"/>
  <c r="AG134" i="1" a="1"/>
  <c r="AG134" i="1" s="1"/>
  <c r="AG135" i="1" a="1"/>
  <c r="AG135" i="1" s="1"/>
  <c r="AG33" i="1" a="1"/>
  <c r="AG33" i="1" s="1"/>
  <c r="AG42" i="1" a="1"/>
  <c r="AG42" i="1" s="1"/>
  <c r="AG51" i="1" a="1"/>
  <c r="AG51" i="1" s="1"/>
  <c r="AG60" i="1" a="1"/>
  <c r="AG60" i="1" s="1"/>
  <c r="AG69" i="1" a="1"/>
  <c r="AG69" i="1" s="1"/>
  <c r="AG85" i="1" a="1"/>
  <c r="AG85" i="1" s="1"/>
  <c r="AG93" i="1" a="1"/>
  <c r="AG93" i="1" s="1"/>
  <c r="AG94" i="1" a="1"/>
  <c r="AG94" i="1" s="1"/>
  <c r="AG102" i="1" a="1"/>
  <c r="AG102" i="1" s="1"/>
  <c r="AG103" i="1" a="1"/>
  <c r="AG103" i="1" s="1"/>
  <c r="AG111" i="1" a="1"/>
  <c r="AG111" i="1" s="1"/>
  <c r="AG112" i="1" a="1"/>
  <c r="AG112" i="1" s="1"/>
  <c r="AG120" i="1" a="1"/>
  <c r="AG120" i="1" s="1"/>
  <c r="AG121" i="1" a="1"/>
  <c r="AG121" i="1" s="1"/>
  <c r="AG146" i="1" a="1"/>
  <c r="AG146" i="1" s="1"/>
  <c r="AG147" i="1" a="1"/>
  <c r="AG147" i="1" s="1"/>
  <c r="AG148" i="1" a="1"/>
  <c r="AG148" i="1" s="1"/>
  <c r="AG160" i="1" a="1"/>
  <c r="AG160" i="1" s="1"/>
  <c r="AG161" i="1" a="1"/>
  <c r="AG161" i="1" s="1"/>
  <c r="AG162" i="1" a="1"/>
  <c r="AG162" i="1" s="1"/>
  <c r="AV9" i="1" l="1"/>
  <c r="AW9" i="1"/>
  <c r="AW19" i="1"/>
  <c r="AV19" i="1"/>
  <c r="AX4" i="1"/>
  <c r="AW5" i="1"/>
  <c r="BD4" i="1"/>
  <c r="BD5" i="1"/>
  <c r="AW3" i="1"/>
  <c r="AX3" i="1"/>
</calcChain>
</file>

<file path=xl/comments1.xml><?xml version="1.0" encoding="utf-8"?>
<comments xmlns="http://schemas.openxmlformats.org/spreadsheetml/2006/main">
  <authors>
    <author>Felps</author>
  </authors>
  <commentList>
    <comment ref="G8" authorId="0">
      <text>
        <r>
          <rPr>
            <sz val="9"/>
            <color indexed="81"/>
            <rFont val="Segoe UI"/>
            <family val="2"/>
          </rPr>
          <t>Vinculado ao produto e à loja.
Ao visualizar a lista de compras numa Loja, para os Produtos sem Corredor cadastrado na Loja, sugere o corredor da Seção.</t>
        </r>
      </text>
    </comment>
    <comment ref="P8" authorId="0">
      <text>
        <r>
          <rPr>
            <sz val="9"/>
            <color indexed="81"/>
            <rFont val="Segoe UI"/>
            <family val="2"/>
          </rPr>
          <t>Pço do
Pacote</t>
        </r>
      </text>
    </comment>
    <comment ref="R8" authorId="0">
      <text>
        <r>
          <rPr>
            <sz val="9"/>
            <color indexed="81"/>
            <rFont val="Segoe UI"/>
            <family val="2"/>
          </rPr>
          <t>Pacote c/
12 rolos</t>
        </r>
      </text>
    </comment>
    <comment ref="W8" authorId="0">
      <text>
        <r>
          <rPr>
            <sz val="9"/>
            <color indexed="81"/>
            <rFont val="Segoe UI"/>
            <family val="2"/>
          </rPr>
          <t>Rolo c/ 50 m</t>
        </r>
      </text>
    </comment>
    <comment ref="Z8" authorId="0">
      <text>
        <r>
          <rPr>
            <sz val="9"/>
            <color indexed="81"/>
            <rFont val="Segoe UI"/>
            <family val="2"/>
          </rPr>
          <t>Qtd desejada
de Rolos</t>
        </r>
      </text>
    </comment>
    <comment ref="AB8" authorId="0">
      <text>
        <r>
          <rPr>
            <sz val="9"/>
            <color indexed="81"/>
            <rFont val="Segoe UI"/>
            <family val="2"/>
          </rPr>
          <t>Pço do
Rolo</t>
        </r>
      </text>
    </comment>
    <comment ref="AD8" authorId="0">
      <text>
        <r>
          <rPr>
            <sz val="9"/>
            <color indexed="81"/>
            <rFont val="Segoe UI"/>
            <family val="2"/>
          </rPr>
          <t>Pço do
metro</t>
        </r>
      </text>
    </comment>
  </commentList>
</comments>
</file>

<file path=xl/comments2.xml><?xml version="1.0" encoding="utf-8"?>
<comments xmlns="http://schemas.openxmlformats.org/spreadsheetml/2006/main">
  <authors>
    <author>Felps</author>
    <author>Paulo Felipe Scherer</author>
  </authors>
  <commentList>
    <comment ref="AI1" authorId="0">
      <text>
        <r>
          <rPr>
            <sz val="9"/>
            <color indexed="81"/>
            <rFont val="Segoe UI"/>
            <family val="2"/>
          </rPr>
          <t>Se o funcionário não estiver inativo, 
divide os dias trabalhados 
pelos Dias úteis da categoria, subtraído 
dos dias de afastamento do funcionário.
Portanto indica o percentual de dias úteis 
que o funcionário trabalhou, compensando 
eventuais afastamentos.</t>
        </r>
      </text>
    </comment>
    <comment ref="O20" authorId="1">
      <text>
        <r>
          <rPr>
            <sz val="9"/>
            <color indexed="81"/>
            <rFont val="Tahoma"/>
            <charset val="1"/>
          </rPr>
          <t>Calculado com base nos pacotes disponíveis em estoque. 
(ex.: disponível 2 Cx de 50 e 1 cx de 30. Mult. seria 50 ou 30</t>
        </r>
      </text>
    </comment>
    <comment ref="Q20" authorId="1">
      <text>
        <r>
          <rPr>
            <sz val="9"/>
            <color indexed="81"/>
            <rFont val="Tahoma"/>
            <family val="2"/>
          </rPr>
          <t>Qtd mínima de unidades que se deve solicitar
Deve ser múltiplo da qtd por Embalagem</t>
        </r>
      </text>
    </comment>
  </commentList>
</comments>
</file>

<file path=xl/sharedStrings.xml><?xml version="1.0" encoding="utf-8"?>
<sst xmlns="http://schemas.openxmlformats.org/spreadsheetml/2006/main" count="4798" uniqueCount="1239">
  <si>
    <t>Parâmetros da Planilha</t>
  </si>
  <si>
    <t>Novas Linhas</t>
  </si>
  <si>
    <t>AutoLock Plan</t>
  </si>
  <si>
    <t>+Linha Interativo</t>
  </si>
  <si>
    <t>Start Plan</t>
  </si>
  <si>
    <t>nao</t>
  </si>
  <si>
    <t>sim</t>
  </si>
  <si>
    <t>Aportes (1)</t>
  </si>
  <si>
    <t>Descrição</t>
  </si>
  <si>
    <t>Beto</t>
  </si>
  <si>
    <t>Edimar</t>
  </si>
  <si>
    <t>Ruy</t>
  </si>
  <si>
    <t>Calixto</t>
  </si>
  <si>
    <t>Everton</t>
  </si>
  <si>
    <t>Dias Úteis</t>
  </si>
  <si>
    <t>Variáveis para Cálculo</t>
  </si>
  <si>
    <t>Pré-Impr.</t>
  </si>
  <si>
    <t>Gravação</t>
  </si>
  <si>
    <t>Media</t>
  </si>
  <si>
    <t>D Trab</t>
  </si>
  <si>
    <t>x</t>
  </si>
  <si>
    <t>Next (Rank Up)</t>
  </si>
  <si>
    <t>Transparente</t>
  </si>
  <si>
    <t>Produto</t>
  </si>
  <si>
    <t>Loja</t>
  </si>
  <si>
    <t>Marca</t>
  </si>
  <si>
    <t>3M</t>
  </si>
  <si>
    <t>Modelo</t>
  </si>
  <si>
    <t>Rank</t>
  </si>
  <si>
    <t>&lt; Pço</t>
  </si>
  <si>
    <t>Pço</t>
  </si>
  <si>
    <t>Qtd</t>
  </si>
  <si>
    <t>Pilha</t>
  </si>
  <si>
    <t>Duracell</t>
  </si>
  <si>
    <t>americanas</t>
  </si>
  <si>
    <t>amazon</t>
  </si>
  <si>
    <t>900 mAh</t>
  </si>
  <si>
    <t>Fte</t>
  </si>
  <si>
    <t>Pzo</t>
  </si>
  <si>
    <t>Panetone</t>
  </si>
  <si>
    <t>Gde</t>
  </si>
  <si>
    <t>Branco</t>
  </si>
  <si>
    <t>Ovo</t>
  </si>
  <si>
    <t>Ovos</t>
  </si>
  <si>
    <t>Organico</t>
  </si>
  <si>
    <t>Taeq</t>
  </si>
  <si>
    <t>Vermelho</t>
  </si>
  <si>
    <t>Lab Rouge</t>
  </si>
  <si>
    <t>Qualitá</t>
  </si>
  <si>
    <t>Caipira</t>
  </si>
  <si>
    <t>Sunny Eggs</t>
  </si>
  <si>
    <t>Gr</t>
  </si>
  <si>
    <t>s/ Gás</t>
  </si>
  <si>
    <t>H2O</t>
  </si>
  <si>
    <t>Águas</t>
  </si>
  <si>
    <t>Bebidas</t>
  </si>
  <si>
    <t>c/ Gás</t>
  </si>
  <si>
    <t>Água Mineral</t>
  </si>
  <si>
    <t xml:space="preserve">Eisenbahn </t>
  </si>
  <si>
    <t>Weizenbier</t>
  </si>
  <si>
    <t>Trigo</t>
  </si>
  <si>
    <t>Cerveja</t>
  </si>
  <si>
    <t>Cervejas</t>
  </si>
  <si>
    <t>L</t>
  </si>
  <si>
    <t>Lt</t>
  </si>
  <si>
    <t>Brahma</t>
  </si>
  <si>
    <t>Duplo Malte</t>
  </si>
  <si>
    <t>Pilsen</t>
  </si>
  <si>
    <t>Pc</t>
  </si>
  <si>
    <t>Chopp Pilsen</t>
  </si>
  <si>
    <t>Cx</t>
  </si>
  <si>
    <t>Heineken</t>
  </si>
  <si>
    <t>Lager</t>
  </si>
  <si>
    <t>un</t>
  </si>
  <si>
    <t>Rl</t>
  </si>
  <si>
    <t>Kitchen</t>
  </si>
  <si>
    <t>19 x 22cm</t>
  </si>
  <si>
    <t>Max absorç</t>
  </si>
  <si>
    <t>Papel Toalha</t>
  </si>
  <si>
    <t>Bazar</t>
  </si>
  <si>
    <t>Scott</t>
  </si>
  <si>
    <t>23 x 21cm</t>
  </si>
  <si>
    <t>Flh Tripla</t>
  </si>
  <si>
    <t>Guardanapo Papel</t>
  </si>
  <si>
    <t>AAA Recarreg.</t>
  </si>
  <si>
    <t>Utens p/ casa</t>
  </si>
  <si>
    <t>m</t>
  </si>
  <si>
    <t>1kg x 25mm</t>
  </si>
  <si>
    <t>Fita Dupla Face</t>
  </si>
  <si>
    <t>Ferragens</t>
  </si>
  <si>
    <t>kg</t>
  </si>
  <si>
    <t>Elma Chips</t>
  </si>
  <si>
    <t>Pipoca doce</t>
  </si>
  <si>
    <t>Cheetos</t>
  </si>
  <si>
    <t>Salgados</t>
  </si>
  <si>
    <t>Bauducco</t>
  </si>
  <si>
    <t>Milanês</t>
  </si>
  <si>
    <t>Frutas especial</t>
  </si>
  <si>
    <t>Padaria</t>
  </si>
  <si>
    <t>Cacau Show</t>
  </si>
  <si>
    <t>Chocolate</t>
  </si>
  <si>
    <t>Recheado Chocolate</t>
  </si>
  <si>
    <t>Kg</t>
  </si>
  <si>
    <t>Frutas tradicional</t>
  </si>
  <si>
    <t>Flh Simples</t>
  </si>
  <si>
    <t>Papel Higiênico</t>
  </si>
  <si>
    <t>Higiene</t>
  </si>
  <si>
    <t>Neve</t>
  </si>
  <si>
    <t>Flh Dupla</t>
  </si>
  <si>
    <t>Coca-cola</t>
  </si>
  <si>
    <t>Refrigerantes</t>
  </si>
  <si>
    <t>ml</t>
  </si>
  <si>
    <t>Tb</t>
  </si>
  <si>
    <t>Protetor Solar</t>
  </si>
  <si>
    <t>Cuidados pessoais</t>
  </si>
  <si>
    <t>g</t>
  </si>
  <si>
    <t>Dermage</t>
  </si>
  <si>
    <t>FPS 50</t>
  </si>
  <si>
    <t>Photoage Water</t>
  </si>
  <si>
    <t>Facial</t>
  </si>
  <si>
    <t>Creme</t>
  </si>
  <si>
    <t>Drogasil Net</t>
  </si>
  <si>
    <t>Helioderm</t>
  </si>
  <si>
    <t>resist. Água</t>
  </si>
  <si>
    <t>Minesol</t>
  </si>
  <si>
    <t>FPS 70</t>
  </si>
  <si>
    <t>SQN 402</t>
  </si>
  <si>
    <t>La Roche</t>
  </si>
  <si>
    <t>Anthelios Airlicium</t>
  </si>
  <si>
    <t>Neutrogema</t>
  </si>
  <si>
    <t>Needs</t>
  </si>
  <si>
    <t>Sundown</t>
  </si>
  <si>
    <t>pele molhada</t>
  </si>
  <si>
    <t>Corporal</t>
  </si>
  <si>
    <t>Fr</t>
  </si>
  <si>
    <t>Nivea</t>
  </si>
  <si>
    <t>FPS 30</t>
  </si>
  <si>
    <t>Spray</t>
  </si>
  <si>
    <t>c/ Prot facial FPS 60 60g</t>
  </si>
  <si>
    <t>Net</t>
  </si>
  <si>
    <t>farmadeliv</t>
  </si>
  <si>
    <t>Drog Araujo</t>
  </si>
  <si>
    <t>Un. Vol</t>
  </si>
  <si>
    <t>Pç / vol</t>
  </si>
  <si>
    <t>Un. Pk</t>
  </si>
  <si>
    <t>Pço Un.</t>
  </si>
  <si>
    <t>Un. do Vol</t>
  </si>
  <si>
    <t>Qtd / vol</t>
  </si>
  <si>
    <t>Obs</t>
  </si>
  <si>
    <t>Un.</t>
  </si>
  <si>
    <t>Itens</t>
  </si>
  <si>
    <t>Emb.</t>
  </si>
  <si>
    <t>complem.</t>
  </si>
  <si>
    <t>da Marca</t>
  </si>
  <si>
    <t>Universal</t>
  </si>
  <si>
    <t>descriç.</t>
  </si>
  <si>
    <t>Tipo</t>
  </si>
  <si>
    <t>Corredor</t>
  </si>
  <si>
    <t>Categoria</t>
  </si>
  <si>
    <t>Seção</t>
  </si>
  <si>
    <t>Seção por Loja</t>
  </si>
  <si>
    <t>Volume</t>
  </si>
  <si>
    <t>Unidade</t>
  </si>
  <si>
    <t>Volume / Un.</t>
  </si>
  <si>
    <t>Embalagem</t>
  </si>
  <si>
    <t>Linha</t>
  </si>
  <si>
    <t>varia por loja</t>
  </si>
  <si>
    <t>Azul</t>
  </si>
  <si>
    <t>Base de produtos</t>
  </si>
  <si>
    <t>Qtd desejada</t>
  </si>
  <si>
    <t>Conv. p/ Gdeza</t>
  </si>
  <si>
    <t>&gt; Gdeza</t>
  </si>
  <si>
    <t>Fator de conversão</t>
  </si>
  <si>
    <t>Abreviações</t>
  </si>
  <si>
    <t xml:space="preserve">Un. </t>
  </si>
  <si>
    <t>AP</t>
  </si>
  <si>
    <t>AMPOLA</t>
  </si>
  <si>
    <t>BD</t>
  </si>
  <si>
    <t>BALDE</t>
  </si>
  <si>
    <t>BR</t>
  </si>
  <si>
    <t>BARRA</t>
  </si>
  <si>
    <t>BS</t>
  </si>
  <si>
    <t>BISNAGA</t>
  </si>
  <si>
    <t>BL</t>
  </si>
  <si>
    <t>BLOCO</t>
  </si>
  <si>
    <t>BO</t>
  </si>
  <si>
    <t>BOBINA</t>
  </si>
  <si>
    <t>BB</t>
  </si>
  <si>
    <t>BOMBONA</t>
  </si>
  <si>
    <t>CX</t>
  </si>
  <si>
    <t>CAIXA</t>
  </si>
  <si>
    <t>CA</t>
  </si>
  <si>
    <t>CAPSULA</t>
  </si>
  <si>
    <t>CR</t>
  </si>
  <si>
    <t>CARTELA</t>
  </si>
  <si>
    <t>CT</t>
  </si>
  <si>
    <t>CENTO</t>
  </si>
  <si>
    <t>CP</t>
  </si>
  <si>
    <t>COMPRIMIDO</t>
  </si>
  <si>
    <t>CJ</t>
  </si>
  <si>
    <t>CONJUNTO</t>
  </si>
  <si>
    <t>DG</t>
  </si>
  <si>
    <t>DRÁGEA</t>
  </si>
  <si>
    <t>EV</t>
  </si>
  <si>
    <t>ENVELOPE</t>
  </si>
  <si>
    <t>FA</t>
  </si>
  <si>
    <t>FARDO</t>
  </si>
  <si>
    <t>FI</t>
  </si>
  <si>
    <t>FICHA</t>
  </si>
  <si>
    <t>FL</t>
  </si>
  <si>
    <t>FOLHA</t>
  </si>
  <si>
    <t>FR</t>
  </si>
  <si>
    <t>FRASCO</t>
  </si>
  <si>
    <t>GL</t>
  </si>
  <si>
    <t>GALÃO</t>
  </si>
  <si>
    <t>GR</t>
  </si>
  <si>
    <t>GARRAFA</t>
  </si>
  <si>
    <t>G</t>
  </si>
  <si>
    <t>GRAMA</t>
  </si>
  <si>
    <t>JG</t>
  </si>
  <si>
    <t>JOGO</t>
  </si>
  <si>
    <t>LT</t>
  </si>
  <si>
    <t>LATA</t>
  </si>
  <si>
    <t>LITRO</t>
  </si>
  <si>
    <t>M</t>
  </si>
  <si>
    <t>METRO</t>
  </si>
  <si>
    <t>M³</t>
  </si>
  <si>
    <t>METRO CÚBICO</t>
  </si>
  <si>
    <t>M²</t>
  </si>
  <si>
    <t>METRO QUADRADO</t>
  </si>
  <si>
    <t>OV</t>
  </si>
  <si>
    <t>ÓVULO</t>
  </si>
  <si>
    <t>PC</t>
  </si>
  <si>
    <t>PACOTE</t>
  </si>
  <si>
    <t>PR</t>
  </si>
  <si>
    <t>PAR</t>
  </si>
  <si>
    <t>PT</t>
  </si>
  <si>
    <t>POTE</t>
  </si>
  <si>
    <t>KG</t>
  </si>
  <si>
    <t>QUILOGRAMA</t>
  </si>
  <si>
    <t>RM</t>
  </si>
  <si>
    <t>RESMA</t>
  </si>
  <si>
    <t>RL</t>
  </si>
  <si>
    <t>ROLO</t>
  </si>
  <si>
    <t>SC</t>
  </si>
  <si>
    <t>SACO</t>
  </si>
  <si>
    <t>SP</t>
  </si>
  <si>
    <t>SUPOSITÓRIO</t>
  </si>
  <si>
    <t>TA</t>
  </si>
  <si>
    <t>TAMBOR</t>
  </si>
  <si>
    <t>T</t>
  </si>
  <si>
    <t>TONELADA</t>
  </si>
  <si>
    <t>TB</t>
  </si>
  <si>
    <t>TUBO</t>
  </si>
  <si>
    <t>UN</t>
  </si>
  <si>
    <t>UNIDADE</t>
  </si>
  <si>
    <t>Pço Total</t>
  </si>
  <si>
    <t>Pço
Total</t>
  </si>
  <si>
    <t>SACHÊ</t>
  </si>
  <si>
    <t>Ácido Fosfórico</t>
  </si>
  <si>
    <t>Água Destilada</t>
  </si>
  <si>
    <t>Álcool 92,8º</t>
  </si>
  <si>
    <t>Álcool Isopropílico</t>
  </si>
  <si>
    <t>Anti-Corrosivo Spray</t>
  </si>
  <si>
    <t>Anti-Secativo</t>
  </si>
  <si>
    <t>Apagador p quadro branco</t>
  </si>
  <si>
    <t>Apoio p/mouse emborrachado (mouse pad)</t>
  </si>
  <si>
    <t>Apontador de lápis</t>
  </si>
  <si>
    <t>Arame n. 18 para Grampeador Elétrico</t>
  </si>
  <si>
    <t>Arame n. 20 para Grampeador Elétrico</t>
  </si>
  <si>
    <t>Arame n. 24 para Grampeador Elétrico</t>
  </si>
  <si>
    <t>Arame n. 26 para Grampeador Elétrico</t>
  </si>
  <si>
    <t>Bandeja para Papeis de Expediente</t>
  </si>
  <si>
    <t>Barbante Fio de Algodão</t>
  </si>
  <si>
    <t>Benzina</t>
  </si>
  <si>
    <t>Blanqueta Catu 4 Lonas</t>
  </si>
  <si>
    <t>Blanqueta Komori 670 x 770mm</t>
  </si>
  <si>
    <t>Blanqueta PM52 para Máquina Heidelberg 460 x 535</t>
  </si>
  <si>
    <t>Blanqueta SM74 para Máquina Heidelberg 627 x 722</t>
  </si>
  <si>
    <t>Bobina de Bopp Brilho 300mm</t>
  </si>
  <si>
    <t>Bobina de Bopp Brilho 450mm</t>
  </si>
  <si>
    <t>Bobina de Bopp Brilho 470mm</t>
  </si>
  <si>
    <t>Bobina de Bopp Brilho 520mm</t>
  </si>
  <si>
    <t>Bobina de Bopp Brilho 550mm</t>
  </si>
  <si>
    <t>Bobina de Bopp Brilho 650mm</t>
  </si>
  <si>
    <t>Bobina de Bopp Brilho 750mm</t>
  </si>
  <si>
    <t>Bobina de Bopp Fosco 300mm</t>
  </si>
  <si>
    <t>Bobina de Bopp Fosco 450mm</t>
  </si>
  <si>
    <t>Bobina de Bopp Fosco 470mm</t>
  </si>
  <si>
    <t>Bobina de Bopp Fosco 520mm</t>
  </si>
  <si>
    <t>Bobina de Bopp Fosco 550mm</t>
  </si>
  <si>
    <t>Bobina de Bopp Fosco 650mm</t>
  </si>
  <si>
    <t>Bobina de Bopp Fosco 750mm</t>
  </si>
  <si>
    <t>Borracha para Lápis</t>
  </si>
  <si>
    <t>Borracha para Tinta</t>
  </si>
  <si>
    <t>Cabeceado cor Preta</t>
  </si>
  <si>
    <t>Cabeçote Plotter Amarelo</t>
  </si>
  <si>
    <t>Cabeçote Plotter Ciano</t>
  </si>
  <si>
    <t>Cabeçote Plotter Ciano Claro</t>
  </si>
  <si>
    <t>Cabeçote Plotter Magenta</t>
  </si>
  <si>
    <t>Cabeçote Plotter Magenta Claro</t>
  </si>
  <si>
    <t>Cabeçote Plotter Preto</t>
  </si>
  <si>
    <t>Cabo de Madeira 5/8 1,05m</t>
  </si>
  <si>
    <t>Cabo de Madeira 7/8 2,00m</t>
  </si>
  <si>
    <t>Caixa Arquivo 110 x 280 x 382mm</t>
  </si>
  <si>
    <t>Caixa Papelão Corte Diagonal</t>
  </si>
  <si>
    <t>Câmara de Ar 3,25-8</t>
  </si>
  <si>
    <t>Câmara de Ar 3,5-8</t>
  </si>
  <si>
    <t>Camisa de Moleton 85mm</t>
  </si>
  <si>
    <t>Canaleta para Corte e Vinco</t>
  </si>
  <si>
    <t>Caneta Corretora Ponta Extra-Fina</t>
  </si>
  <si>
    <t>Caneta Corretora Ponta Média</t>
  </si>
  <si>
    <t>Caneta Esferográfica Azul</t>
  </si>
  <si>
    <t>Caneta Marcadora Permanente para Identificação de CDs</t>
  </si>
  <si>
    <t>Capa para Avulso</t>
  </si>
  <si>
    <t>Capa para Processo</t>
  </si>
  <si>
    <t>Capa PVC Colorida para Encadernaçao</t>
  </si>
  <si>
    <t>Capa PVC Transparente para Encardenação</t>
  </si>
  <si>
    <t>CDR Gravável</t>
  </si>
  <si>
    <t>CDRw Regravável</t>
  </si>
  <si>
    <t>Cera Limpadora</t>
  </si>
  <si>
    <t>Chapa PM-52 (cx-100) 459x525mm</t>
  </si>
  <si>
    <t>Chapa Catu 660x605</t>
  </si>
  <si>
    <t>Chapa Komori 760x605mm 50 fls</t>
  </si>
  <si>
    <t>Chapa Speed 745x605mm</t>
  </si>
  <si>
    <t>Clipe Niquelado n. 0</t>
  </si>
  <si>
    <t>Clipe Niquelado n. 1</t>
  </si>
  <si>
    <t>Clipe Niquelado n. 2</t>
  </si>
  <si>
    <t>Clipe Niquelado n. 3/0</t>
  </si>
  <si>
    <t>Clipe Niquelado n. 4/0</t>
  </si>
  <si>
    <t>Clipe Niquelado n. 6/0</t>
  </si>
  <si>
    <t>Clipe Niquelado n. 8/0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</si>
  <si>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</si>
  <si>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</si>
  <si>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</si>
  <si>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</si>
  <si>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</si>
  <si>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</si>
  <si>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</si>
  <si>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 n. 15</t>
  </si>
  <si>
    <t>Colchete Latonado n. 5</t>
  </si>
  <si>
    <t>Colchete Latonado n. 6</t>
  </si>
  <si>
    <t>Colchete Latonado n. 7</t>
  </si>
  <si>
    <t>Colchete Latonado n. 8</t>
  </si>
  <si>
    <t>Composto para Limp. do Sist. de Água Hydroclean</t>
  </si>
  <si>
    <t>Cordão Polipropileno Branco 2,50mm</t>
  </si>
  <si>
    <t>Corretivo em Fita</t>
  </si>
  <si>
    <t>Corretivo Liquido para Datilografia</t>
  </si>
  <si>
    <t>Corretor de Chapa Positiva</t>
  </si>
  <si>
    <t>Couro Azul de Porco</t>
  </si>
  <si>
    <t>Couro Preto de Porco</t>
  </si>
  <si>
    <t>Couro Verde de Porco</t>
  </si>
  <si>
    <t>Couro Vermelho de Porco</t>
  </si>
  <si>
    <t>Couro Vinho de Porco</t>
  </si>
  <si>
    <t>Creme para Mãos (Remov Pastoso p/Serigrafia)</t>
  </si>
  <si>
    <t>Dispensador de Copos Descartáveis</t>
  </si>
  <si>
    <t>DVDr</t>
  </si>
  <si>
    <t>Elastico de Borracha</t>
  </si>
  <si>
    <t>Envelope Separata Branco 176x250mm</t>
  </si>
  <si>
    <t>Envelope Kraft para Documento 250x353mm</t>
  </si>
  <si>
    <t>Envelope Pardo Grande</t>
  </si>
  <si>
    <t>Espiral Plástica para Encadernação 07mm</t>
  </si>
  <si>
    <t>Espiral Plástica para Encadernação 09mm</t>
  </si>
  <si>
    <t>Espiral Plástica para Encadernação 12mm</t>
  </si>
  <si>
    <t>Espiral Plástica para Encadernação 14mm</t>
  </si>
  <si>
    <t>Espiral Plástica para Encadernação 17mm</t>
  </si>
  <si>
    <t>Espiral Plástica para Encadernação 20mm</t>
  </si>
  <si>
    <t>Espiral Plástica para Encadernação 23mm</t>
  </si>
  <si>
    <t>Espiral Plástica para Encadernação 25mm</t>
  </si>
  <si>
    <t>Espiral Plástica para Encadernação 29mm</t>
  </si>
  <si>
    <t>Espiral Plástica para Encadernação 33mm</t>
  </si>
  <si>
    <t>Espiral Plástica para Encadernação 40mm</t>
  </si>
  <si>
    <t>Espiral Plástica para Encadernação 45mm</t>
  </si>
  <si>
    <t>Espiral Wire-0 1</t>
  </si>
  <si>
    <t>Espiral Wire-0 01/2" 3:1 com 26000 anéis</t>
  </si>
  <si>
    <t>Espiral Wire-0 01/4" 3:1 91000 anéis</t>
  </si>
  <si>
    <t>Espiral Wire-0 03/8" 3:1 com 46000 anéis</t>
  </si>
  <si>
    <t>Espiral Wire-0 03/8" 3:1 com 46000 anéis preto</t>
  </si>
  <si>
    <t>Espiral Wire-0 05/16" 3:1 64000 anéis</t>
  </si>
  <si>
    <t>Espiral Wire-0 05/16" 3:1 64000 anéis preto</t>
  </si>
  <si>
    <t>Espiral Wire-0 07/16" 3:1 com 34000 anéis</t>
  </si>
  <si>
    <t>Espiral Wire-0 09/16" 3:1 com 21500 anéis</t>
  </si>
  <si>
    <t>Espiral Wire-0 1 2:1</t>
  </si>
  <si>
    <t>Espiral Wire-0 1.1/4 2:1</t>
  </si>
  <si>
    <t>Espiral Wire-0 1.1/8 2:1</t>
  </si>
  <si>
    <t>Espiral Wire-0 3/4 2:1</t>
  </si>
  <si>
    <t>Espiral Wire-0 5/16"</t>
  </si>
  <si>
    <t>Espiral Wire-0 5/8 2:1</t>
  </si>
  <si>
    <t>Espiral Wire-0 7/16"</t>
  </si>
  <si>
    <t>Espiral Wire-0 7/8 2:1</t>
  </si>
  <si>
    <t>Espiral Wire-0 7/8"</t>
  </si>
  <si>
    <t>Esponja Litográfica</t>
  </si>
  <si>
    <t>Espuma D-20 (5mm)</t>
  </si>
  <si>
    <t>Espuma D-33 (3mm)</t>
  </si>
  <si>
    <t>Estilete para Cortar Papeis 18mm</t>
  </si>
  <si>
    <t>Estilete para Cortar Papeis 9mm</t>
  </si>
  <si>
    <t>Estopa de Primeira Qualidade</t>
  </si>
  <si>
    <t>Etiqueta Adesiva 70x33 para Impressão Laser</t>
  </si>
  <si>
    <t>Extrator de Grampos</t>
  </si>
  <si>
    <t>Filme de Polietileno Tipo Stretch</t>
  </si>
  <si>
    <t>Fita Adesiva Dupla Face 12x30</t>
  </si>
  <si>
    <t>Fita Adesiva Dupla Face 18x30</t>
  </si>
  <si>
    <t>Fita Adesiva Dupla Face 9x30</t>
  </si>
  <si>
    <t>Fita Adesiva Filmoplast</t>
  </si>
  <si>
    <t>Fita Adesiva para Empacotamento</t>
  </si>
  <si>
    <t>Fita Adesiva Transparente (Durex)</t>
  </si>
  <si>
    <t>Fita Crepe para Empacotamento 25mmx50m</t>
  </si>
  <si>
    <t>Fita Hot Stamping 10 cm</t>
  </si>
  <si>
    <t>Fita Hot Stamping 20 cm</t>
  </si>
  <si>
    <t>Fita Para Maquina de Arquear</t>
  </si>
  <si>
    <t>Fita Verde e Amarela Estreita (1cm x 10m)</t>
  </si>
  <si>
    <t>Fita Verde e Amarela Larga (1,5cm x 10m)</t>
  </si>
  <si>
    <t>Gel Descalcificante p/ Rolos Embor. Offset EK Feboclean</t>
  </si>
  <si>
    <t>Gel Lubrificante para Rolarias para Rolo Vazio</t>
  </si>
  <si>
    <t>Glicerina</t>
  </si>
  <si>
    <t>Goma 14º BÉ</t>
  </si>
  <si>
    <t>Goma Protetora para Chapa 8º Bé</t>
  </si>
  <si>
    <t>Grafite 0,5mm</t>
  </si>
  <si>
    <t>Grampeador Elétrico Rapid</t>
  </si>
  <si>
    <t>Grampeador Manual Alta Performance</t>
  </si>
  <si>
    <t>Grampeador Manual 26/6</t>
  </si>
  <si>
    <t>Grampeador Rocama 51 A</t>
  </si>
  <si>
    <t>Grampo 23/10 para Grampeador</t>
  </si>
  <si>
    <t>Grampo 23/13 para Grampeador</t>
  </si>
  <si>
    <t>Grampo 26/6 para Grampeador</t>
  </si>
  <si>
    <t>Grampo Encadernador Tipo Trilho</t>
  </si>
  <si>
    <t>Grampo para Grampeador Eletrico</t>
  </si>
  <si>
    <t>Graxa Alta Aderência (HHS2000)</t>
  </si>
  <si>
    <t>Graxa Alta Performance (NSK)</t>
  </si>
  <si>
    <t>Graxa para Alceadeira (Centoplex)</t>
  </si>
  <si>
    <t>Graxa para Dobradeira (Longterm)</t>
  </si>
  <si>
    <t>Lamina para Estilete 09mm</t>
  </si>
  <si>
    <t>Lâmina Para Estilete 18mm</t>
  </si>
  <si>
    <t>Lápis Preto</t>
  </si>
  <si>
    <t>Limpador de Chapa</t>
  </si>
  <si>
    <t>Limpador de Contato a Seco</t>
  </si>
  <si>
    <t>Limpador de Rolos do Sistema de Revelação Promex</t>
  </si>
  <si>
    <t>Linha de Nailon Azul</t>
  </si>
  <si>
    <t>Linha de Nailon Branca</t>
  </si>
  <si>
    <t>Linha de Nailon Preta</t>
  </si>
  <si>
    <t>Linha de Nailon Verde</t>
  </si>
  <si>
    <t>Linha de Nailon Vermelha</t>
  </si>
  <si>
    <t>Linha de Nailon Vinho</t>
  </si>
  <si>
    <t>Livro Ata</t>
  </si>
  <si>
    <t>Livro Protocolo</t>
  </si>
  <si>
    <t>Manta Magnética</t>
  </si>
  <si>
    <t>Massa para Polir n. 2</t>
  </si>
  <si>
    <t>Mídia Adesivo Vinil para Impressão Inkjet a Base D'água</t>
  </si>
  <si>
    <t>Mídia Lona Impressão Inkjet a Base D'água</t>
  </si>
  <si>
    <t>Mídia Papel Gloss Paper 230g</t>
  </si>
  <si>
    <t>Mídia Papel Matte 150 G Para Impressão Inkjet a Base D'água</t>
  </si>
  <si>
    <t>Mídia Papel Photo High Gloss 220g</t>
  </si>
  <si>
    <t>Mídia Papel Sulfite 75g/m2 0,914x50m</t>
  </si>
  <si>
    <t>Morim Branco</t>
  </si>
  <si>
    <t>Óleo 90 Shell</t>
  </si>
  <si>
    <t>Óleo Hidraulico Tellus 46</t>
  </si>
  <si>
    <t>Óleo Lubrificante 150</t>
  </si>
  <si>
    <t>Óleo Lubrificante Lubrax EGF 460</t>
  </si>
  <si>
    <t>Óleo Lubrificante Maxi Lub MA-75 EP</t>
  </si>
  <si>
    <t>Óleo Lubrificante SAE 80 Hipóide Tipo API-GL4</t>
  </si>
  <si>
    <t>Óleo Lubrificante Semi-Hidráulico 10</t>
  </si>
  <si>
    <t>Pano Pralim p/Limpeza de Máquinas de Reprografia</t>
  </si>
  <si>
    <t>Papel A3 75g/m2 297x420mm</t>
  </si>
  <si>
    <t>Papel Adesivo 170 g/m2</t>
  </si>
  <si>
    <t>Papel AP 075 0660x960 250fls</t>
  </si>
  <si>
    <t>Papel AP 075 0660x960 500fls</t>
  </si>
  <si>
    <t>Papel AP 075 112x076mm 250fls</t>
  </si>
  <si>
    <t>Papel AP 075 112x076mm 500fls</t>
  </si>
  <si>
    <t>Papel AP 090 066x096mm 500fls</t>
  </si>
  <si>
    <t>Papel AP 090 096x066mm 250fls (pequeno)</t>
  </si>
  <si>
    <t>Papel AP 090 112x076mm 250fls (grande)</t>
  </si>
  <si>
    <t>Papel AP 120g/m2 250 Fls</t>
  </si>
  <si>
    <t>Papel AP 150 250 Fls</t>
  </si>
  <si>
    <t>Papel AP 180 660x960mm 250fls</t>
  </si>
  <si>
    <t>Papel AP 240 G/m2 Pequeno 66x96mm 100fls</t>
  </si>
  <si>
    <t>Papel AP 240 G/M² Pequeno 66x96mm 150fls</t>
  </si>
  <si>
    <t>Papel Autocopiativo CB</t>
  </si>
  <si>
    <t>Papel Autocopiativo CF</t>
  </si>
  <si>
    <t>Papel Cartolina 150g/m2 Cor Ouro 50x66 50fls</t>
  </si>
  <si>
    <t>Papel Cartolina 180g/M2 Cor Palha</t>
  </si>
  <si>
    <t>Papel Casca de Ovo 240g/m2</t>
  </si>
  <si>
    <t>Papel Couchê Brilho 115g/m2 250fls</t>
  </si>
  <si>
    <t>Papel Couchê Fosco 090g/m2 500fls</t>
  </si>
  <si>
    <t>Papel Couchê Fosco 115g/m2 250fls</t>
  </si>
  <si>
    <t>Papel Couchê Fosco 170g/m2 250fls</t>
  </si>
  <si>
    <t>Papel Couchê Fosco 250g/m2 125fls</t>
  </si>
  <si>
    <t>Papel Couchê Fosco 300g/m2 125fls</t>
  </si>
  <si>
    <t>Papel Kraft Natural 120g/m2 250fls</t>
  </si>
  <si>
    <t>Papel Kraft Natural 300g/m2 100fls</t>
  </si>
  <si>
    <t>Papel Linho 180g</t>
  </si>
  <si>
    <t>Papel Oficio II para Xerox</t>
  </si>
  <si>
    <t>Papel para Xerox 75g/m2 Tamanho A4</t>
  </si>
  <si>
    <t>Papel para Xerox 75g/M2 Tamanho A4 Cor Verde</t>
  </si>
  <si>
    <t>Papel Reciclado 090 G/m2 1120x760mm 250 Fls</t>
  </si>
  <si>
    <t>Papel Reciclado 150 G/m2</t>
  </si>
  <si>
    <t>Papel Reciclado 180 G/m2 125 Fls</t>
  </si>
  <si>
    <t>Papel Reciclado 180 G/m2 250 Fls</t>
  </si>
  <si>
    <t>Papel Reciclado 75 G/m2 660x960mm 500fls</t>
  </si>
  <si>
    <t>Papel Supremo Alta Alvura 300g/m2</t>
  </si>
  <si>
    <t>Papel Supremo Alta Alvura 350g/m2</t>
  </si>
  <si>
    <t>Papel Supremo Duodesign 300g/m2 125fls</t>
  </si>
  <si>
    <t>Papel Supremo Duodesign 350g/m2 125fls</t>
  </si>
  <si>
    <t>Papel Telado 240 G/m2</t>
  </si>
  <si>
    <t>Papelão Calandrado n. 15</t>
  </si>
  <si>
    <t>Papelão Calandrado n. 18</t>
  </si>
  <si>
    <t>Papelão Calandrado n. 20</t>
  </si>
  <si>
    <t>Parafina</t>
  </si>
  <si>
    <t>Past. Cáustica p/descr. dos rol. Emborr. Roll-O-Past</t>
  </si>
  <si>
    <t>Pasta Cartolina Abas e Elastico 240x350mm</t>
  </si>
  <si>
    <t>Pasta com Ferragem 532x352mm</t>
  </si>
  <si>
    <t>Pasta de Limpeza e Manut.de Rolaria Febocleanre</t>
  </si>
  <si>
    <t>Pasta PVC Capa Cristal Porta Dossie 228x343mm</t>
  </si>
  <si>
    <t>Pasta Registradora Oficio Lombada Estreita 280x350mm</t>
  </si>
  <si>
    <t>Pasta Registradora Oficio Lombada Larga 280x350mm</t>
  </si>
  <si>
    <t>Pasta Suspensa Pendular Modelo 4113</t>
  </si>
  <si>
    <t>Pelica Azul</t>
  </si>
  <si>
    <t>Pelica Marrom</t>
  </si>
  <si>
    <t>Pelica Preta</t>
  </si>
  <si>
    <t>Pelica Verde</t>
  </si>
  <si>
    <t>Pelica Vermelha</t>
  </si>
  <si>
    <t>Película Azul para Gravação</t>
  </si>
  <si>
    <t>Película Dourada para Gravação</t>
  </si>
  <si>
    <t>Película Prata para Gravação</t>
  </si>
  <si>
    <t>Película Verde para Gravação</t>
  </si>
  <si>
    <t>Película Vermelha para Gravação</t>
  </si>
  <si>
    <t>Pen Drive 16GB</t>
  </si>
  <si>
    <t>Percevejo Latonado</t>
  </si>
  <si>
    <t>Perfil C em PVC Branco Para Banner</t>
  </si>
  <si>
    <t>Perfurador Manual 2 Furos</t>
  </si>
  <si>
    <t>Pincel Atômico</t>
  </si>
  <si>
    <t>Pincel Broxinha para Restauração</t>
  </si>
  <si>
    <t>Pincel Chato Pelo Sintético n. 12</t>
  </si>
  <si>
    <t>Pincel Marca Texto</t>
  </si>
  <si>
    <t>Pincel para Blocagem 38mm</t>
  </si>
  <si>
    <t>Pincel para Blocagem 50mm</t>
  </si>
  <si>
    <t>Pincel para Quadro Magnético (Branco)</t>
  </si>
  <si>
    <t>Pincel Sintético n. 16</t>
  </si>
  <si>
    <t>Pó Anti-Maculador para Impressao Off-Set</t>
  </si>
  <si>
    <t>Polidor Brasso</t>
  </si>
  <si>
    <t>Ponteira de Pvc Branca 3/4 Cor Branca</t>
  </si>
  <si>
    <t>Ponteira de Pvc Branca 5/8 16mm</t>
  </si>
  <si>
    <t>Ponteira de Pvc Branca 7/8 22mm</t>
  </si>
  <si>
    <t>Refil para Limpeza de Blanqueta (Komori)Branco</t>
  </si>
  <si>
    <t>Refil para Limpeza do Contra Cilindro (Komori)Azul</t>
  </si>
  <si>
    <t>Reforço Adesivo para Perfurar Papel</t>
  </si>
  <si>
    <t>Régua PVC Em Tira para Perfuradora Corta</t>
  </si>
  <si>
    <t>Régua de Aço 60cm</t>
  </si>
  <si>
    <t>Regua Guilhotina Trilateral 1000x23x4mm</t>
  </si>
  <si>
    <t>Regua Guilhotina Trilateral 340x41x4</t>
  </si>
  <si>
    <t>Regua Plastica de 3o Cm</t>
  </si>
  <si>
    <t>Regua Plastica de 40 Cm</t>
  </si>
  <si>
    <t>Regua Plastica de 50 Cm</t>
  </si>
  <si>
    <t>Regua PVC Em Tiras P Guilhotina 830x180x40mm</t>
  </si>
  <si>
    <t>Regua PVC Em Tiras P Guilhotina Wohlemberg</t>
  </si>
  <si>
    <t>Regua PVC Para Guilhotina Melmaq 1370 TC</t>
  </si>
  <si>
    <t>Regua PVC Para Guilhotina Melmaq 800 TM</t>
  </si>
  <si>
    <t>Restaurador de Blanqueta</t>
  </si>
  <si>
    <t>Retalho de Malha</t>
  </si>
  <si>
    <t>Revelador de Chapa Positivo</t>
  </si>
  <si>
    <t>Rolo de Lâ de Carneiro (9cm) com Garfo</t>
  </si>
  <si>
    <t>Sabao de Coco em Tablete</t>
  </si>
  <si>
    <t>Separador 5 Projeções 230x353mm</t>
  </si>
  <si>
    <t>Silicone em Aerossol</t>
  </si>
  <si>
    <t>Silicone Liquido</t>
  </si>
  <si>
    <t>Solução de Fonte</t>
  </si>
  <si>
    <t>Solvente para Limpeza de Máquinas</t>
  </si>
  <si>
    <t>Solvente p/Limpeza de Rolos Offset Rolomatic</t>
  </si>
  <si>
    <t>Tarugo em Madeira</t>
  </si>
  <si>
    <t>Tecido Cetim Branco</t>
  </si>
  <si>
    <t>Tecido Cetim Preto</t>
  </si>
  <si>
    <t>Tecido Cetim Verde</t>
  </si>
  <si>
    <t>Tecido Cetim Vermelho</t>
  </si>
  <si>
    <t>Tesoura Media em Aço Inoxidavel</t>
  </si>
  <si>
    <t>Tinta Impressora Designjet Amarela</t>
  </si>
  <si>
    <t>Tinta Impressora Designjet Ciano</t>
  </si>
  <si>
    <t>Tinta Impressora Designjet Ciano Claro</t>
  </si>
  <si>
    <t>Tinta Impressora Designjet Magenta</t>
  </si>
  <si>
    <t>Tinta Impressora Designjet Magenta Claro</t>
  </si>
  <si>
    <t>Tinta Impressora Designjet Preta</t>
  </si>
  <si>
    <t>Tinta p/Off-Set Amarela</t>
  </si>
  <si>
    <t>Tinta p/Off-Set Azul Ciano</t>
  </si>
  <si>
    <t>Tinta p/Off-Set Magenta</t>
  </si>
  <si>
    <t>Tinta p/Off-Set Preta</t>
  </si>
  <si>
    <t>Tinta para Carimbo</t>
  </si>
  <si>
    <t>Umedecedor de Dedos</t>
  </si>
  <si>
    <t>Verniz Transparente para offset</t>
  </si>
  <si>
    <t>Vulcapel Azul Marinho</t>
  </si>
  <si>
    <t>Vulcapel Azul Royal</t>
  </si>
  <si>
    <t>Vulcapel Preto</t>
  </si>
  <si>
    <t>Vulcapel Verde</t>
  </si>
  <si>
    <t>Vulcapel Vermelho</t>
  </si>
  <si>
    <t>Vulcapel Vinho</t>
  </si>
  <si>
    <t>Almofada para Carimbo gde 10 x 17</t>
  </si>
  <si>
    <t>Almofada para Carimbo peq 8 x 12</t>
  </si>
  <si>
    <t>Produto Original</t>
  </si>
  <si>
    <t>n. 24</t>
  </si>
  <si>
    <t>n. 26</t>
  </si>
  <si>
    <t>n. 20</t>
  </si>
  <si>
    <t>n. 18</t>
  </si>
  <si>
    <t>Blanqueta</t>
  </si>
  <si>
    <t>Catu 4 Lonas</t>
  </si>
  <si>
    <t>450mm</t>
  </si>
  <si>
    <t>300mm</t>
  </si>
  <si>
    <t>470mm</t>
  </si>
  <si>
    <t>520mm</t>
  </si>
  <si>
    <t>550mm</t>
  </si>
  <si>
    <t>650mm</t>
  </si>
  <si>
    <t>750mm</t>
  </si>
  <si>
    <t>Cabeçote para Plotter DesignJet 5500</t>
  </si>
  <si>
    <t>Amarelo</t>
  </si>
  <si>
    <t>Ciano</t>
  </si>
  <si>
    <t>Ciano Claro</t>
  </si>
  <si>
    <t>Magenta</t>
  </si>
  <si>
    <t>Magenta Claro</t>
  </si>
  <si>
    <t>Preto</t>
  </si>
  <si>
    <t>5/8 1,05m</t>
  </si>
  <si>
    <t>7/8 2,00m</t>
  </si>
  <si>
    <t>Preta</t>
  </si>
  <si>
    <t>110 x 280 x 382mm</t>
  </si>
  <si>
    <t>3,25-8</t>
  </si>
  <si>
    <t>3,5-8</t>
  </si>
  <si>
    <t>85mm</t>
  </si>
  <si>
    <t>Ponta Extra-Fina</t>
  </si>
  <si>
    <t>Ponta Média</t>
  </si>
  <si>
    <t>Colorida</t>
  </si>
  <si>
    <t>CD-R Gravável</t>
  </si>
  <si>
    <t>n. 0</t>
  </si>
  <si>
    <t>n. 1</t>
  </si>
  <si>
    <t xml:space="preserve"> n. 2</t>
  </si>
  <si>
    <t>n. 3/0</t>
  </si>
  <si>
    <t>n. 4/0</t>
  </si>
  <si>
    <t>n. 6/0</t>
  </si>
  <si>
    <t>n. 8/0</t>
  </si>
  <si>
    <t>n. 15</t>
  </si>
  <si>
    <t>n. 5</t>
  </si>
  <si>
    <t>n. 6</t>
  </si>
  <si>
    <t>n. 7</t>
  </si>
  <si>
    <t>n. 8</t>
  </si>
  <si>
    <t>Verde</t>
  </si>
  <si>
    <t>Vinho</t>
  </si>
  <si>
    <t>Envelope</t>
  </si>
  <si>
    <t>07mm</t>
  </si>
  <si>
    <t>12mm</t>
  </si>
  <si>
    <t>09mm</t>
  </si>
  <si>
    <t>14mm</t>
  </si>
  <si>
    <t>17mm</t>
  </si>
  <si>
    <t>20mm</t>
  </si>
  <si>
    <t>23mm</t>
  </si>
  <si>
    <t>25mm</t>
  </si>
  <si>
    <t>29mm</t>
  </si>
  <si>
    <t>33mm</t>
  </si>
  <si>
    <t>40mm</t>
  </si>
  <si>
    <t>45mm</t>
  </si>
  <si>
    <t>Espiral Wire-0</t>
  </si>
  <si>
    <t xml:space="preserve"> 01/4" 3:1 91000 anéis</t>
  </si>
  <si>
    <t xml:space="preserve"> 03/8" 3:1 com 46000 anéis</t>
  </si>
  <si>
    <t xml:space="preserve"> 03/8" 3:1 com 46000 anéis preto</t>
  </si>
  <si>
    <t xml:space="preserve"> 05/16" 3:1 64000 anéis</t>
  </si>
  <si>
    <t xml:space="preserve"> 05/16" 3:1 64000 anéis preto</t>
  </si>
  <si>
    <t xml:space="preserve"> 07/16" 3:1 com 34000 anéis</t>
  </si>
  <si>
    <t xml:space="preserve"> 09/16" 3:1 com 21500 anéis</t>
  </si>
  <si>
    <t xml:space="preserve"> 1 2:1</t>
  </si>
  <si>
    <t xml:space="preserve"> 1.1/4 2:1</t>
  </si>
  <si>
    <t xml:space="preserve"> 1.1/8 2:1</t>
  </si>
  <si>
    <t xml:space="preserve"> 3/4 2:1</t>
  </si>
  <si>
    <t xml:space="preserve"> 5/16"</t>
  </si>
  <si>
    <t xml:space="preserve"> 5/8 2:1</t>
  </si>
  <si>
    <t xml:space="preserve"> 7/16"</t>
  </si>
  <si>
    <t xml:space="preserve"> 7/8 2:1</t>
  </si>
  <si>
    <t xml:space="preserve"> 7/8"</t>
  </si>
  <si>
    <t xml:space="preserve"> 01/2" 3:1 com 26000 anéis</t>
  </si>
  <si>
    <t>18mm</t>
  </si>
  <si>
    <t>9mm</t>
  </si>
  <si>
    <t>25mm x 50m</t>
  </si>
  <si>
    <t>Fita Hot Stamping</t>
  </si>
  <si>
    <t>8º Bé</t>
  </si>
  <si>
    <t>14º Bé</t>
  </si>
  <si>
    <t>23/10</t>
  </si>
  <si>
    <t>26/6</t>
  </si>
  <si>
    <t>23/13</t>
  </si>
  <si>
    <t>Graxa</t>
  </si>
  <si>
    <t>Alta Performance (NSK)</t>
  </si>
  <si>
    <t>Larga (18mm)</t>
  </si>
  <si>
    <t>Branca</t>
  </si>
  <si>
    <t>Vermelha</t>
  </si>
  <si>
    <t>n. 2</t>
  </si>
  <si>
    <t xml:space="preserve">Papel </t>
  </si>
  <si>
    <t>75g</t>
  </si>
  <si>
    <t>Pct</t>
  </si>
  <si>
    <t>Chapa</t>
  </si>
  <si>
    <t>0,15 mm</t>
  </si>
  <si>
    <t>IBF</t>
  </si>
  <si>
    <t>Niquelado</t>
  </si>
  <si>
    <t>Liga elástica (Liguinha)</t>
  </si>
  <si>
    <t>Separata</t>
  </si>
  <si>
    <t xml:space="preserve">Kraft  </t>
  </si>
  <si>
    <t>Pardo</t>
  </si>
  <si>
    <t>Grande</t>
  </si>
  <si>
    <t>Filmoplast</t>
  </si>
  <si>
    <t>Bobina</t>
  </si>
  <si>
    <t>Transparente (Durex)</t>
  </si>
  <si>
    <t>Crepe para Empacotamento</t>
  </si>
  <si>
    <t>Verde e Amarela</t>
  </si>
  <si>
    <t>EK Feboclean</t>
  </si>
  <si>
    <t>Rolaria Fria (Gel Lubrificante para Rolo Vazio)</t>
  </si>
  <si>
    <t>Grampeador Manual</t>
  </si>
  <si>
    <t>Rocama</t>
  </si>
  <si>
    <t>(HHS2000)</t>
  </si>
  <si>
    <t>Tamb</t>
  </si>
  <si>
    <t>Tambor</t>
  </si>
  <si>
    <t xml:space="preserve"> Centoplex</t>
  </si>
  <si>
    <t xml:space="preserve"> Longterm</t>
  </si>
  <si>
    <t xml:space="preserve"> Promex</t>
  </si>
  <si>
    <t>Mídia para Plotter</t>
  </si>
  <si>
    <t>Gloss 230g</t>
  </si>
  <si>
    <t xml:space="preserve"> Shell</t>
  </si>
  <si>
    <t xml:space="preserve">Lubrax </t>
  </si>
  <si>
    <t>Pralim</t>
  </si>
  <si>
    <t>Costurado</t>
  </si>
  <si>
    <t xml:space="preserve"> Barra</t>
  </si>
  <si>
    <t>Amarela</t>
  </si>
  <si>
    <t>?</t>
  </si>
  <si>
    <t>Crepel</t>
  </si>
  <si>
    <t>Azul Marinho</t>
  </si>
  <si>
    <t xml:space="preserve">Vulcapel </t>
  </si>
  <si>
    <t>Azul Royal</t>
  </si>
  <si>
    <t xml:space="preserve"> Ciano</t>
  </si>
  <si>
    <t>Tinta para Plotter DesignJet 5500</t>
  </si>
  <si>
    <t xml:space="preserve"> Magenta</t>
  </si>
  <si>
    <t>Gde (100 x 170mm)</t>
  </si>
  <si>
    <t>Peq (80 x 120mm)</t>
  </si>
  <si>
    <t>Brilho</t>
  </si>
  <si>
    <t>Fosco</t>
  </si>
  <si>
    <t>176 x 250mm</t>
  </si>
  <si>
    <t>250 x 353mm</t>
  </si>
  <si>
    <t>70 x 33</t>
  </si>
  <si>
    <t>9mm x 30m</t>
  </si>
  <si>
    <t>12mm x 30m</t>
  </si>
  <si>
    <t>18mm x 30m</t>
  </si>
  <si>
    <t>100mm</t>
  </si>
  <si>
    <t>200mm</t>
  </si>
  <si>
    <t>Estreita (10mm x 10m)</t>
  </si>
  <si>
    <t>Larga (15mm x 10m)</t>
  </si>
  <si>
    <t>51 A</t>
  </si>
  <si>
    <t>Estreita (9mm)</t>
  </si>
  <si>
    <t>BB (660 x 960mm)</t>
  </si>
  <si>
    <t>AA (1120 x 760mm)</t>
  </si>
  <si>
    <t>90mm</t>
  </si>
  <si>
    <t>Cabeceado</t>
  </si>
  <si>
    <t>Grampo</t>
  </si>
  <si>
    <t>Lâmina</t>
  </si>
  <si>
    <t>para Estilete</t>
  </si>
  <si>
    <t>Papel</t>
  </si>
  <si>
    <t>Silicone</t>
  </si>
  <si>
    <t>Tesoura</t>
  </si>
  <si>
    <t>Dupla Face</t>
  </si>
  <si>
    <t>para Empacotamento</t>
  </si>
  <si>
    <t>para Documento</t>
  </si>
  <si>
    <t>Alta Aderência</t>
  </si>
  <si>
    <t>Vinil Adesivo</t>
  </si>
  <si>
    <t>Lona</t>
  </si>
  <si>
    <t>Ácido fosfórico</t>
  </si>
  <si>
    <t>Água destilada</t>
  </si>
  <si>
    <t>Álcool isopropílico</t>
  </si>
  <si>
    <t>Almofada para carimbo</t>
  </si>
  <si>
    <t>Apagador para quadro branco</t>
  </si>
  <si>
    <t>Arame para grampeador elétrico</t>
  </si>
  <si>
    <t>Bandeja para papeis de expediente</t>
  </si>
  <si>
    <t>Barbante fio de algodão</t>
  </si>
  <si>
    <t>Borracha para lápis</t>
  </si>
  <si>
    <t>Borracha para tinta</t>
  </si>
  <si>
    <t>Cabo de madeira</t>
  </si>
  <si>
    <t>Caixa arquivo</t>
  </si>
  <si>
    <t>Câmara de ar</t>
  </si>
  <si>
    <t>Camisa de moleton</t>
  </si>
  <si>
    <t>Canaleta para corte e vinco</t>
  </si>
  <si>
    <t>Caneta corretora</t>
  </si>
  <si>
    <t>Caneta marcadora permanente para identificação de CDs</t>
  </si>
  <si>
    <t>Capa PVC para encadernaçao</t>
  </si>
  <si>
    <t>Capa PVC para encardenação</t>
  </si>
  <si>
    <t>CD-RW Regravável</t>
  </si>
  <si>
    <t>Cera limpadora</t>
  </si>
  <si>
    <t>UV</t>
  </si>
  <si>
    <t>Clipe de papel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</si>
  <si>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</si>
  <si>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</si>
  <si>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</si>
  <si>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</si>
  <si>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</si>
  <si>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</si>
  <si>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</si>
  <si>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</t>
  </si>
  <si>
    <t>Composto para limp. do sist. de água Hydroclean</t>
  </si>
  <si>
    <t>2,50mm</t>
  </si>
  <si>
    <t>branco</t>
  </si>
  <si>
    <t>Cordão polipropileno</t>
  </si>
  <si>
    <t>Corretivo em fita</t>
  </si>
  <si>
    <t>Corretivo líquido para datilografia</t>
  </si>
  <si>
    <t>Corretor de chapa positiva</t>
  </si>
  <si>
    <t>Couro de porco</t>
  </si>
  <si>
    <t>Creme para mãos (Remov Pastoso p/Serigrafia)</t>
  </si>
  <si>
    <t>Dispensador de copos descartáveis</t>
  </si>
  <si>
    <t>Elástico de borracha</t>
  </si>
  <si>
    <t>Espiral plástica para encadernação</t>
  </si>
  <si>
    <t>Esponja litográfica</t>
  </si>
  <si>
    <t xml:space="preserve">Espuma para encadernação </t>
  </si>
  <si>
    <t>D-20 (5mm)</t>
  </si>
  <si>
    <t>Estilete</t>
  </si>
  <si>
    <t>Estopa</t>
  </si>
  <si>
    <t>Etiqueta adesiva para Impressora</t>
  </si>
  <si>
    <t>Extrator de grampos</t>
  </si>
  <si>
    <t>Filme de polietileno tipo stretch</t>
  </si>
  <si>
    <t>Fita adesiva</t>
  </si>
  <si>
    <t>Fita para máquina de arquear</t>
  </si>
  <si>
    <t>Fita de cetim</t>
  </si>
  <si>
    <t>Pó Anti-Maculador para Impressao Offset</t>
  </si>
  <si>
    <t>Tinta para Offset</t>
  </si>
  <si>
    <t>Gel descalcificante p/ rolos embor. Offset</t>
  </si>
  <si>
    <t>Pasta lubrificante</t>
  </si>
  <si>
    <t>Goma protetora para Chapa</t>
  </si>
  <si>
    <t>Grampo encadernador tipo trilho</t>
  </si>
  <si>
    <t>Lápis preto</t>
  </si>
  <si>
    <t>Limpador de chapa</t>
  </si>
  <si>
    <t>Limpador de contato a seco</t>
  </si>
  <si>
    <t>Limpador de rolos do sistema de revelação</t>
  </si>
  <si>
    <t>Linha de nailon</t>
  </si>
  <si>
    <t>Massa para polir</t>
  </si>
  <si>
    <t>Papel Matte 150g</t>
  </si>
  <si>
    <t>Photo High Gloss 220g</t>
  </si>
  <si>
    <t>Sulfite 75g/m2</t>
  </si>
  <si>
    <t>Viscosidade 90</t>
  </si>
  <si>
    <t>Viscosidade 150</t>
  </si>
  <si>
    <t>Tellus 46</t>
  </si>
  <si>
    <t>EGF 460</t>
  </si>
  <si>
    <t>MA-75 EP</t>
  </si>
  <si>
    <t>Maxi Lub</t>
  </si>
  <si>
    <t>SAE 80 Hipóide Tipo API-GL4</t>
  </si>
  <si>
    <t>Óleo lubrificante</t>
  </si>
  <si>
    <t>Óleo lubrificante hidráulico</t>
  </si>
  <si>
    <t>Óleo lubrificante semi-hidráulico</t>
  </si>
  <si>
    <t>Pano para limpeza de máquinas</t>
  </si>
  <si>
    <t>Papel (Sulfite)</t>
  </si>
  <si>
    <t>297 x 420mm</t>
  </si>
  <si>
    <t>Papel adesivo</t>
  </si>
  <si>
    <t>170g</t>
  </si>
  <si>
    <t>90g</t>
  </si>
  <si>
    <t>CodUn</t>
  </si>
  <si>
    <t>UnAbrev</t>
  </si>
  <si>
    <t>UnDescriçao</t>
  </si>
  <si>
    <t>Ampola</t>
  </si>
  <si>
    <t>Balde</t>
  </si>
  <si>
    <t>Barra</t>
  </si>
  <si>
    <t>Bisnaga</t>
  </si>
  <si>
    <t>Bloco</t>
  </si>
  <si>
    <t>Bombona</t>
  </si>
  <si>
    <t>Caixa</t>
  </si>
  <si>
    <t>Capsula</t>
  </si>
  <si>
    <t>Cartela</t>
  </si>
  <si>
    <t>Cento</t>
  </si>
  <si>
    <t>Comprimido</t>
  </si>
  <si>
    <t>Conjunto</t>
  </si>
  <si>
    <t>Drágea</t>
  </si>
  <si>
    <t>Fardo</t>
  </si>
  <si>
    <t>Ficha</t>
  </si>
  <si>
    <t>Folha</t>
  </si>
  <si>
    <t>Frasco</t>
  </si>
  <si>
    <t>Galão</t>
  </si>
  <si>
    <t>Garrafa</t>
  </si>
  <si>
    <t>Grama</t>
  </si>
  <si>
    <t>Jogo</t>
  </si>
  <si>
    <t>Lata</t>
  </si>
  <si>
    <t>Litro</t>
  </si>
  <si>
    <t>Metro</t>
  </si>
  <si>
    <t>Metro cúbico</t>
  </si>
  <si>
    <t>Metro quadrado</t>
  </si>
  <si>
    <t>Óvulo</t>
  </si>
  <si>
    <t>Pacote</t>
  </si>
  <si>
    <t>Par</t>
  </si>
  <si>
    <t>Pote</t>
  </si>
  <si>
    <t>Quilograma</t>
  </si>
  <si>
    <t>Resma</t>
  </si>
  <si>
    <t>Rolo</t>
  </si>
  <si>
    <t>Sachê</t>
  </si>
  <si>
    <t>Saco</t>
  </si>
  <si>
    <t>Supositório</t>
  </si>
  <si>
    <t>Tonelada</t>
  </si>
  <si>
    <t>Tubo</t>
  </si>
  <si>
    <t>Ap</t>
  </si>
  <si>
    <t>Bd</t>
  </si>
  <si>
    <t>Br</t>
  </si>
  <si>
    <t>Bs</t>
  </si>
  <si>
    <t>Bl</t>
  </si>
  <si>
    <t>Bb</t>
  </si>
  <si>
    <t>Cr</t>
  </si>
  <si>
    <t>Ct</t>
  </si>
  <si>
    <t>Cp</t>
  </si>
  <si>
    <t>Cj</t>
  </si>
  <si>
    <t>Dg</t>
  </si>
  <si>
    <t>Fa</t>
  </si>
  <si>
    <t>Fi</t>
  </si>
  <si>
    <t>Fl</t>
  </si>
  <si>
    <t>Gl</t>
  </si>
  <si>
    <t>Jg</t>
  </si>
  <si>
    <t>m3</t>
  </si>
  <si>
    <t>m2</t>
  </si>
  <si>
    <t>Ov</t>
  </si>
  <si>
    <t>Pr</t>
  </si>
  <si>
    <t>Pt</t>
  </si>
  <si>
    <t>Rm</t>
  </si>
  <si>
    <t>Sc</t>
  </si>
  <si>
    <t>Sp</t>
  </si>
  <si>
    <t>Ta</t>
  </si>
  <si>
    <t>Un</t>
  </si>
  <si>
    <t>Cs</t>
  </si>
  <si>
    <t>Bn</t>
  </si>
  <si>
    <t xml:space="preserve">En </t>
  </si>
  <si>
    <t>Mouse pad</t>
  </si>
  <si>
    <t>PM52 (460 x 535)</t>
  </si>
  <si>
    <t>SM74 (627 x 722)</t>
  </si>
  <si>
    <t>Komori (670 x 770mm)</t>
  </si>
  <si>
    <t>Komori (760 x 605mm)</t>
  </si>
  <si>
    <t xml:space="preserve">Un </t>
  </si>
  <si>
    <t>Catu (660 x 605mm)</t>
  </si>
  <si>
    <t>PM52 (459 x 525mm)</t>
  </si>
  <si>
    <t>D-33 (3mm)</t>
  </si>
  <si>
    <t>Graxa (Tambor 170kg)</t>
  </si>
  <si>
    <t>Base d'água</t>
  </si>
  <si>
    <t>0,914 x 50m</t>
  </si>
  <si>
    <t>120g</t>
  </si>
  <si>
    <t>150g</t>
  </si>
  <si>
    <t>180g</t>
  </si>
  <si>
    <t>240g</t>
  </si>
  <si>
    <t>Autocopiativo CB</t>
  </si>
  <si>
    <t>Autocopiativo CF</t>
  </si>
  <si>
    <t>Cartolina Cor Ouro</t>
  </si>
  <si>
    <t>Cartolina Cor Palha</t>
  </si>
  <si>
    <t>Casca de Ovo</t>
  </si>
  <si>
    <t>Couchê Brilho</t>
  </si>
  <si>
    <t>Couchê Fosco</t>
  </si>
  <si>
    <t>115g</t>
  </si>
  <si>
    <t>250g</t>
  </si>
  <si>
    <t>300g</t>
  </si>
  <si>
    <t>Kraft Natural</t>
  </si>
  <si>
    <t>Linho</t>
  </si>
  <si>
    <t>Reciclado</t>
  </si>
  <si>
    <t>Supremo Alta Alvura</t>
  </si>
  <si>
    <t>Supremo Duodesign</t>
  </si>
  <si>
    <t>Telado</t>
  </si>
  <si>
    <t>350g</t>
  </si>
  <si>
    <t>Papelão Calandrado</t>
  </si>
  <si>
    <t>532 x 352mm</t>
  </si>
  <si>
    <t>Pasta com Ferragem</t>
  </si>
  <si>
    <t>Pasta de Limpeza e Manut. de Rolaria Feboclean RE</t>
  </si>
  <si>
    <t>228 x 343mm</t>
  </si>
  <si>
    <t>Pasta PVC Capa Cristal Porta Dossiê</t>
  </si>
  <si>
    <t>Pasta Registradora Oficio Lombada</t>
  </si>
  <si>
    <t>Estreita (280x350mm)</t>
  </si>
  <si>
    <t>Larga (280x350mm)</t>
  </si>
  <si>
    <t>Pelíca</t>
  </si>
  <si>
    <t>Marrom</t>
  </si>
  <si>
    <t>Dourada</t>
  </si>
  <si>
    <t>Prata</t>
  </si>
  <si>
    <t>Película para Gravação</t>
  </si>
  <si>
    <t>38mm</t>
  </si>
  <si>
    <t>50mm</t>
  </si>
  <si>
    <t>Pincel para Blocagem</t>
  </si>
  <si>
    <t>Ponteira de PVC</t>
  </si>
  <si>
    <t>3/4</t>
  </si>
  <si>
    <t>5/8 16mm</t>
  </si>
  <si>
    <t>7/8 22mm</t>
  </si>
  <si>
    <t>Komori</t>
  </si>
  <si>
    <t>Refil para limpeza de blanqueta</t>
  </si>
  <si>
    <t>Refil para limpeza do contra cilindro</t>
  </si>
  <si>
    <t>Reforço adesivo para perfurar papel</t>
  </si>
  <si>
    <t>Régua PVC em tira para perfuradora corta</t>
  </si>
  <si>
    <t>Régua de Aço</t>
  </si>
  <si>
    <t>60cm</t>
  </si>
  <si>
    <t>Regua Guilhotina Trilateral</t>
  </si>
  <si>
    <t>1000 x 23 x 4mm</t>
  </si>
  <si>
    <t>340 x 41 x 4</t>
  </si>
  <si>
    <t>400mm</t>
  </si>
  <si>
    <t>500mm</t>
  </si>
  <si>
    <t>Regua Plástica</t>
  </si>
  <si>
    <t>830 x 180 x 40mm</t>
  </si>
  <si>
    <t>Régua PVC em Tiras para guilhotina</t>
  </si>
  <si>
    <t>Regua PVC em Tiras para guilhotina</t>
  </si>
  <si>
    <t>Wohlemberg</t>
  </si>
  <si>
    <t>Melmaq 1370 TC</t>
  </si>
  <si>
    <t>Melmaq 800 TM</t>
  </si>
  <si>
    <t>Restaurador de blanqueta</t>
  </si>
  <si>
    <t>Regua PVC para guilhotina</t>
  </si>
  <si>
    <t>Retalho de malha</t>
  </si>
  <si>
    <t>Revelador de chapa positivo</t>
  </si>
  <si>
    <t>Rolo de lâ</t>
  </si>
  <si>
    <t>Sabão de côco</t>
  </si>
  <si>
    <t>Separador 5 projeções</t>
  </si>
  <si>
    <t>230 x 353mm</t>
  </si>
  <si>
    <t>em Aerossol</t>
  </si>
  <si>
    <t>Líquido</t>
  </si>
  <si>
    <t>Solução de fonte</t>
  </si>
  <si>
    <t>Solvente para limpeza de máquinas</t>
  </si>
  <si>
    <t>Solvente para limpeza de rolos offset</t>
  </si>
  <si>
    <t>Rolomatic</t>
  </si>
  <si>
    <t>Tarugo em madeira</t>
  </si>
  <si>
    <t>Tecido cetim</t>
  </si>
  <si>
    <t>Umedecedor de dedos</t>
  </si>
  <si>
    <t>Verniz transparente para Offset</t>
  </si>
  <si>
    <t>Média</t>
  </si>
  <si>
    <t>em aço inoxidável</t>
  </si>
  <si>
    <t>de Carneiro com Garfo</t>
  </si>
  <si>
    <t>BOPP</t>
  </si>
  <si>
    <t>Rapid</t>
  </si>
  <si>
    <t>Grampeador Elétrico</t>
  </si>
  <si>
    <t>Alta Performance</t>
  </si>
  <si>
    <t>para estofamento</t>
  </si>
  <si>
    <t>para Grampeador Manual</t>
  </si>
  <si>
    <t>para Grampeador Elétrico</t>
  </si>
  <si>
    <t>para Alceadeira</t>
  </si>
  <si>
    <t>para Dobradeira</t>
  </si>
  <si>
    <t>Escritório</t>
  </si>
  <si>
    <t>Informática</t>
  </si>
  <si>
    <t>Suprimento Impressão</t>
  </si>
  <si>
    <t>Offset</t>
  </si>
  <si>
    <t>Speed (745 x 605mm)</t>
  </si>
  <si>
    <t>Anti-Secativo Spray</t>
  </si>
  <si>
    <t>Inativo</t>
  </si>
  <si>
    <t>Manutenção</t>
  </si>
  <si>
    <t>Inflamáveis</t>
  </si>
  <si>
    <t>Setor</t>
  </si>
  <si>
    <t>SEIMP</t>
  </si>
  <si>
    <t>Aplicação</t>
  </si>
  <si>
    <t>Empilhadeira</t>
  </si>
  <si>
    <t>Impressoras</t>
  </si>
  <si>
    <t>Almox</t>
  </si>
  <si>
    <t>div</t>
  </si>
  <si>
    <t>Máquinas</t>
  </si>
  <si>
    <t>SEPAC</t>
  </si>
  <si>
    <t>Suprimento</t>
  </si>
  <si>
    <t>Laminadora</t>
  </si>
  <si>
    <t>Encadenação</t>
  </si>
  <si>
    <t>Acabamento de Livros</t>
  </si>
  <si>
    <t>Caixa papelão corte diagonal (revisteiro)</t>
  </si>
  <si>
    <t>Carrinho de transporte</t>
  </si>
  <si>
    <t>Catu</t>
  </si>
  <si>
    <t>Depósito 1 (galpão na entrada da CGraf)</t>
  </si>
  <si>
    <t xml:space="preserve">Galpão SIA </t>
  </si>
  <si>
    <t>500 x 660</t>
  </si>
  <si>
    <t>Novo Rio</t>
  </si>
  <si>
    <t>Suzano</t>
  </si>
  <si>
    <t>Tinta Offset</t>
  </si>
  <si>
    <t>Armaz.</t>
  </si>
  <si>
    <t>Ch</t>
  </si>
  <si>
    <t>Qtd mín. de Pcts.</t>
  </si>
  <si>
    <t>Pço Pct.</t>
  </si>
  <si>
    <t>Qtd /
Prod.</t>
  </si>
  <si>
    <t>Pço Clc
do Pct.</t>
  </si>
  <si>
    <t>Pço do
Prod.</t>
  </si>
  <si>
    <t>Pço Un.
de Cons.</t>
  </si>
  <si>
    <t>Prod. c/ Fte</t>
  </si>
  <si>
    <t>Un. Cons.
c/ Fte</t>
  </si>
  <si>
    <t>Un. do
Prod.</t>
  </si>
  <si>
    <t>Un. de
Cons.</t>
  </si>
  <si>
    <t>Qtd na
Emb.</t>
  </si>
  <si>
    <t>Un. da
Emb.</t>
  </si>
  <si>
    <t>Prods.
/ Emb.</t>
  </si>
  <si>
    <t>n/a</t>
  </si>
  <si>
    <t>Frm Apres.</t>
  </si>
  <si>
    <t>Desodorante</t>
  </si>
  <si>
    <t>Situação do pedido</t>
  </si>
  <si>
    <t>Entregue</t>
  </si>
  <si>
    <t>Cancelado</t>
  </si>
  <si>
    <t>Pendente de Entrega</t>
  </si>
  <si>
    <t>Pendente de Suprimento</t>
  </si>
  <si>
    <t>Setores Soliciantes</t>
  </si>
  <si>
    <t>Prod Calc</t>
  </si>
  <si>
    <t>Álcool</t>
  </si>
  <si>
    <t>92,8º</t>
  </si>
  <si>
    <t>Isopropílico</t>
  </si>
  <si>
    <t>Medida</t>
  </si>
  <si>
    <t>?? medida</t>
  </si>
  <si>
    <t>670 x 770mm</t>
  </si>
  <si>
    <t>PM52</t>
  </si>
  <si>
    <t>460 x 535</t>
  </si>
  <si>
    <t>SM74</t>
  </si>
  <si>
    <t>627 x 722</t>
  </si>
  <si>
    <t>Cor</t>
  </si>
  <si>
    <t>Cabeçote para Plotter</t>
  </si>
  <si>
    <t>DesignJet 5500</t>
  </si>
  <si>
    <t>corte diagonal (revisteiro)</t>
  </si>
  <si>
    <t>Caixa papelão</t>
  </si>
  <si>
    <t>Caneta esferográfica</t>
  </si>
  <si>
    <t>granulada Hot-Melt</t>
  </si>
  <si>
    <t>para blocagem e encadernaçao</t>
  </si>
  <si>
    <t>para envelopadora</t>
  </si>
  <si>
    <t>plástica</t>
  </si>
  <si>
    <t>Cola</t>
  </si>
  <si>
    <t>em bastão</t>
  </si>
  <si>
    <t>vinil</t>
  </si>
  <si>
    <t>75gr</t>
  </si>
  <si>
    <t>bigode</t>
  </si>
  <si>
    <t>Composto para limp. do sist. de água</t>
  </si>
  <si>
    <t>Hydroclean</t>
  </si>
  <si>
    <t>Corretor de chapa</t>
  </si>
  <si>
    <t>positiva</t>
  </si>
  <si>
    <t xml:space="preserve">Creme para mãos </t>
  </si>
  <si>
    <t>(Remov Pastoso p/Serigrafia)</t>
  </si>
  <si>
    <t>D-20</t>
  </si>
  <si>
    <t>(5mm)</t>
  </si>
  <si>
    <t>D-33</t>
  </si>
  <si>
    <t>(3mm)</t>
  </si>
  <si>
    <t>Rolaria Fria</t>
  </si>
  <si>
    <t>(Gel Lubrificante para Rolo Vazio)</t>
  </si>
  <si>
    <t>Grafite</t>
  </si>
  <si>
    <t>0,5mm</t>
  </si>
  <si>
    <t>encadernador tipo trilho</t>
  </si>
  <si>
    <t>HHS2000</t>
  </si>
  <si>
    <t>170kg</t>
  </si>
  <si>
    <t xml:space="preserve">Tambor </t>
  </si>
  <si>
    <t>preto</t>
  </si>
  <si>
    <t>Lápis</t>
  </si>
  <si>
    <t>Morim</t>
  </si>
  <si>
    <t>hidráulico</t>
  </si>
  <si>
    <t>semi-hidráulico</t>
  </si>
  <si>
    <t>ComplDesc</t>
  </si>
  <si>
    <t>Pano</t>
  </si>
  <si>
    <t>para limpeza de máquinas</t>
  </si>
  <si>
    <t>(Sulfite)</t>
  </si>
  <si>
    <t>(A3 297 x 420mm)</t>
  </si>
  <si>
    <t>AP  75g</t>
  </si>
  <si>
    <t>AP 90g</t>
  </si>
  <si>
    <t>AP 120g</t>
  </si>
  <si>
    <t>AP 150g</t>
  </si>
  <si>
    <t>AP 180g</t>
  </si>
  <si>
    <t>AP 240g</t>
  </si>
  <si>
    <t>Autocopiativo</t>
  </si>
  <si>
    <t>CB</t>
  </si>
  <si>
    <t>CF</t>
  </si>
  <si>
    <t>Cor Ouro</t>
  </si>
  <si>
    <t>Cor Palha</t>
  </si>
  <si>
    <t>para Xerox</t>
  </si>
  <si>
    <t xml:space="preserve">Oficio II </t>
  </si>
  <si>
    <t>Cartolina 150g</t>
  </si>
  <si>
    <t>Cartolina 180g</t>
  </si>
  <si>
    <t>Casca de Ovo 240g</t>
  </si>
  <si>
    <t>Couchê Brilho 115g</t>
  </si>
  <si>
    <t>Couchê Fosco 90g</t>
  </si>
  <si>
    <t>Couchê Fosco 115g</t>
  </si>
  <si>
    <t>Couchê Fosco 170g</t>
  </si>
  <si>
    <t>Couchê Fosco 250g</t>
  </si>
  <si>
    <t>Couchê Fosco 300g</t>
  </si>
  <si>
    <t>Kraft Natural 120g</t>
  </si>
  <si>
    <t>Kraft Natural 300g</t>
  </si>
  <si>
    <t>Linho 180g</t>
  </si>
  <si>
    <t>A4</t>
  </si>
  <si>
    <t>Past. Cáustica p/descristaliz. dos rol. Emborr.</t>
  </si>
  <si>
    <t>Roll-O-Past</t>
  </si>
  <si>
    <t>Pasta</t>
  </si>
  <si>
    <t>Cartolina Abas e Elastico 240x350mm</t>
  </si>
  <si>
    <t>com Ferragem</t>
  </si>
  <si>
    <t>PVC Capa Cristal Porta Dossiê</t>
  </si>
  <si>
    <t>Registradora Oficio Lombada</t>
  </si>
  <si>
    <t>Suspensa Pendular Modelo 4113</t>
  </si>
  <si>
    <t>Pasta de Limpeza e Manut. de Rolaria</t>
  </si>
  <si>
    <t>Feboclean RE</t>
  </si>
  <si>
    <t>Pen Drive</t>
  </si>
  <si>
    <t>16GB</t>
  </si>
  <si>
    <t>Perfil C em PVC Branco para Banner</t>
  </si>
  <si>
    <t xml:space="preserve">Pincel </t>
  </si>
  <si>
    <t>Broxinha para Restauração</t>
  </si>
  <si>
    <t>para Blocagem</t>
  </si>
  <si>
    <t>Pincel</t>
  </si>
  <si>
    <t>para Quadro Magnético (Branco)</t>
  </si>
  <si>
    <t>Chato Pelo Sintético</t>
  </si>
  <si>
    <t>n. 12</t>
  </si>
  <si>
    <t>Sintético</t>
  </si>
  <si>
    <t>n. 16</t>
  </si>
  <si>
    <t>Polidor</t>
  </si>
  <si>
    <t>Brasso</t>
  </si>
  <si>
    <t>Pano para limpeza automática</t>
  </si>
  <si>
    <t>de blanqueta</t>
  </si>
  <si>
    <t>do contra cilindro</t>
  </si>
  <si>
    <t>Régua PVC</t>
  </si>
  <si>
    <t xml:space="preserve">Régua </t>
  </si>
  <si>
    <t>de Aço</t>
  </si>
  <si>
    <t>Plástica</t>
  </si>
  <si>
    <t xml:space="preserve">Régua PVC </t>
  </si>
  <si>
    <t>em tiras para Guilhotina Trilateral</t>
  </si>
  <si>
    <t>em tiras para perfuradora corta</t>
  </si>
  <si>
    <t>em tTiras para Guilhotina</t>
  </si>
  <si>
    <t>em tiras para Guilhotina</t>
  </si>
  <si>
    <t>Revelador de chapa</t>
  </si>
  <si>
    <t>positivo</t>
  </si>
  <si>
    <t>Rolo de lâ de Carneiro com Garfo</t>
  </si>
  <si>
    <t>Divisória de Pasta 5 projeções</t>
  </si>
  <si>
    <t xml:space="preserve"> de máquinas</t>
  </si>
  <si>
    <t>de rolos offset</t>
  </si>
  <si>
    <t>para limpeza</t>
  </si>
  <si>
    <t>Solvente</t>
  </si>
  <si>
    <t>Tinta para Plotter</t>
  </si>
  <si>
    <t>Verniz transparente</t>
  </si>
  <si>
    <t>para Offset</t>
  </si>
  <si>
    <t>Químico</t>
  </si>
  <si>
    <t>de limpeza</t>
  </si>
  <si>
    <t>Impressoras Digitais</t>
  </si>
  <si>
    <t>Papelaria</t>
  </si>
  <si>
    <t>Anti-Corrosivo</t>
  </si>
  <si>
    <t>(WD)</t>
  </si>
  <si>
    <t>Lubrificante</t>
  </si>
  <si>
    <t>Insumo Gráfico</t>
  </si>
  <si>
    <t>Acabamento</t>
  </si>
  <si>
    <t>Pç Reposição</t>
  </si>
  <si>
    <t>para chapa Offset positiva</t>
  </si>
  <si>
    <t>Gravação de Chapas</t>
  </si>
  <si>
    <t>para Banner</t>
  </si>
  <si>
    <t>Offset e Gravação</t>
  </si>
  <si>
    <t>para restauração de Livr.</t>
  </si>
  <si>
    <t>Ferramenta</t>
  </si>
  <si>
    <t>Maquinário</t>
  </si>
  <si>
    <t>Plotter</t>
  </si>
  <si>
    <t>Impressão</t>
  </si>
  <si>
    <t>Película para Hot Stamping</t>
  </si>
  <si>
    <t>Tinta</t>
  </si>
  <si>
    <t>SEALG</t>
  </si>
  <si>
    <t>SIELT e Gr. Rápida</t>
  </si>
  <si>
    <t>Todos</t>
  </si>
  <si>
    <t>SEPIM</t>
  </si>
  <si>
    <t>_SEPAC e SEIMP</t>
  </si>
  <si>
    <t>_SEPIM e SEIMP</t>
  </si>
  <si>
    <t>_SEPIM e SEIMP e SEPAC</t>
  </si>
  <si>
    <t>_SIELT e SEIMP</t>
  </si>
  <si>
    <t>_SIELT e SEIMP e SEPAC</t>
  </si>
  <si>
    <t>azul</t>
  </si>
  <si>
    <t>Papel AP 075 rolo</t>
  </si>
  <si>
    <t>Papel AP 075 0660x960 100fls</t>
  </si>
  <si>
    <t>Pap. higienico</t>
  </si>
  <si>
    <t>Un. da Emb.
(p/ Compra</t>
  </si>
  <si>
    <t>Un. de Pedido</t>
  </si>
  <si>
    <t>Qtd de Cons. /
Prod.</t>
  </si>
  <si>
    <t>Mult. do Prod. / Pedido
(calculado)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</si>
</sst>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[hh]:mm\ ;\ \-[hh]:mm\ ;[hh]:mm\ ;@"/>
    <numFmt numFmtId="165" formatCode="0\ "/>
    <numFmt numFmtId="166" formatCode="@\ "/>
    <numFmt numFmtId="167" formatCode="[hh]:mm"/>
    <numFmt numFmtId="168" formatCode="#,##0.00;\ \-#,##0.00\ ;\ &quot;-&quot;"/>
    <numFmt numFmtId="169" formatCode="#,##0.000;\ \-#,##0.000\ ;\ &quot;-&quot;"/>
    <numFmt numFmtId="170" formatCode="#,##0.0"/>
    <numFmt numFmtId="171" formatCode="#,##0.0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onsolas"/>
      <family val="3"/>
    </font>
    <font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794F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2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AC8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882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mediumGray">
        <fgColor theme="0" tint="-0.499984740745262"/>
        <bgColor theme="8" tint="0.39997558519241921"/>
      </patternFill>
    </fill>
    <fill>
      <patternFill patternType="solid">
        <fgColor rgb="FFFF5353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B900"/>
        <bgColor indexed="64"/>
      </patternFill>
    </fill>
    <fill>
      <patternFill patternType="solid">
        <fgColor rgb="FFFF4A11"/>
        <bgColor indexed="64"/>
      </patternFill>
    </fill>
    <fill>
      <patternFill patternType="solid">
        <fgColor theme="7" tint="0.59999389629810485"/>
        <bgColor indexed="64"/>
      </patternFill>
    </fill>
  </fills>
  <borders count="81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medium">
        <color theme="2" tint="-9.9795525986510814E-2"/>
      </left>
      <right/>
      <top style="medium">
        <color theme="2" tint="-9.9795525986510814E-2"/>
      </top>
      <bottom/>
      <diagonal/>
    </border>
    <border>
      <left/>
      <right/>
      <top style="medium">
        <color theme="2" tint="-9.9795525986510814E-2"/>
      </top>
      <bottom/>
      <diagonal/>
    </border>
    <border>
      <left/>
      <right style="medium">
        <color theme="2" tint="-0.499984740745262"/>
      </right>
      <top style="medium">
        <color theme="2" tint="-9.9795525986510814E-2"/>
      </top>
      <bottom/>
      <diagonal/>
    </border>
    <border>
      <left style="medium">
        <color theme="2" tint="-9.9795525986510814E-2"/>
      </left>
      <right/>
      <top/>
      <bottom/>
      <diagonal/>
    </border>
    <border>
      <left style="medium">
        <color rgb="FFFADC78"/>
      </left>
      <right/>
      <top style="medium">
        <color rgb="FFFADC78"/>
      </top>
      <bottom/>
      <diagonal/>
    </border>
    <border>
      <left/>
      <right/>
      <top style="medium">
        <color rgb="FFFADC78"/>
      </top>
      <bottom/>
      <diagonal/>
    </border>
    <border>
      <left/>
      <right style="medium">
        <color rgb="FFFAB419"/>
      </right>
      <top style="medium">
        <color rgb="FFFADC78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FADC78"/>
      </left>
      <right/>
      <top/>
      <bottom/>
      <diagonal/>
    </border>
    <border>
      <left/>
      <right style="medium">
        <color rgb="FFFAB419"/>
      </right>
      <top/>
      <bottom/>
      <diagonal/>
    </border>
    <border>
      <left style="medium">
        <color rgb="FFFADC78"/>
      </left>
      <right/>
      <top/>
      <bottom style="medium">
        <color rgb="FFFAB419"/>
      </bottom>
      <diagonal/>
    </border>
    <border>
      <left/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/>
      <top/>
      <bottom style="medium">
        <color rgb="FFFAB419"/>
      </bottom>
      <diagonal/>
    </border>
    <border>
      <left/>
      <right style="medium">
        <color rgb="FFFAB419"/>
      </right>
      <top/>
      <bottom style="medium">
        <color rgb="FFFAB419"/>
      </bottom>
      <diagonal/>
    </border>
    <border>
      <left style="medium">
        <color theme="2" tint="-0.499984740745262"/>
      </left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/>
      <top style="thin">
        <color theme="2" tint="-0.49998474074526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thin">
        <color theme="2" tint="-0.499984740745262"/>
      </top>
      <bottom style="dashed">
        <color theme="0" tint="-4.9989318521683403E-2"/>
      </bottom>
      <diagonal/>
    </border>
    <border>
      <left style="medium">
        <color theme="2" tint="-0.49998474074526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/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/>
      <diagonal/>
    </border>
    <border>
      <left style="medium">
        <color theme="2" tint="-9.9795525986510814E-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auto="1"/>
      </left>
      <right style="double">
        <color auto="1"/>
      </right>
      <top style="dashed">
        <color auto="1"/>
      </top>
      <bottom/>
      <diagonal/>
    </border>
    <border>
      <left style="double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auto="1"/>
      </left>
      <right style="double">
        <color auto="1"/>
      </right>
      <top style="dashed">
        <color auto="1"/>
      </top>
      <bottom/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 style="thin">
        <color rgb="FFFF4A11"/>
      </left>
      <right/>
      <top style="thin">
        <color theme="4" tint="0.39997558519241921"/>
      </top>
      <bottom/>
      <diagonal/>
    </border>
    <border>
      <left style="thin">
        <color rgb="FFFF4A1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/>
      <top style="thin">
        <color theme="4" tint="0.39997558519241921"/>
      </top>
      <bottom/>
      <diagonal/>
    </border>
    <border>
      <left style="thin">
        <color theme="2" tint="-0.24994659260841701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 tint="-0.24994659260841701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/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-0.24994659260841701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-0.24994659260841701"/>
      </right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499984740745262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14">
    <xf numFmtId="0" fontId="0" fillId="0" borderId="0" xfId="0"/>
    <xf numFmtId="0" fontId="4" fillId="0" borderId="0" xfId="0" applyFont="1" applyAlignment="1">
      <alignment horizontal="centerContinuous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3" borderId="3" xfId="0" applyFill="1" applyBorder="1"/>
    <xf numFmtId="0" fontId="0" fillId="3" borderId="4" xfId="0" applyFill="1" applyBorder="1" applyAlignment="1">
      <alignment horizontal="centerContinuous"/>
    </xf>
    <xf numFmtId="0" fontId="0" fillId="3" borderId="5" xfId="0" applyFill="1" applyBorder="1"/>
    <xf numFmtId="0" fontId="0" fillId="3" borderId="6" xfId="0" applyFill="1" applyBorder="1"/>
    <xf numFmtId="0" fontId="5" fillId="4" borderId="7" xfId="0" applyFont="1" applyFill="1" applyBorder="1" applyAlignment="1">
      <alignment horizontal="centerContinuous"/>
    </xf>
    <xf numFmtId="0" fontId="5" fillId="4" borderId="8" xfId="0" applyFont="1" applyFill="1" applyBorder="1" applyAlignment="1">
      <alignment horizontal="centerContinuous" wrapText="1"/>
    </xf>
    <xf numFmtId="0" fontId="5" fillId="4" borderId="9" xfId="0" applyFont="1" applyFill="1" applyBorder="1" applyAlignment="1">
      <alignment horizontal="centerContinuous" wrapText="1"/>
    </xf>
    <xf numFmtId="0" fontId="0" fillId="3" borderId="10" xfId="0" applyFill="1" applyBorder="1"/>
    <xf numFmtId="4" fontId="6" fillId="0" borderId="0" xfId="0" applyNumberFormat="1" applyFont="1" applyProtection="1">
      <protection locked="0"/>
    </xf>
    <xf numFmtId="0" fontId="7" fillId="4" borderId="11" xfId="0" applyFont="1" applyFill="1" applyBorder="1" applyAlignment="1">
      <alignment horizontal="centerContinuous"/>
    </xf>
    <xf numFmtId="0" fontId="7" fillId="4" borderId="0" xfId="0" applyFont="1" applyFill="1" applyAlignment="1">
      <alignment horizontal="centerContinuous" wrapText="1"/>
    </xf>
    <xf numFmtId="0" fontId="7" fillId="4" borderId="12" xfId="0" applyFont="1" applyFill="1" applyBorder="1" applyAlignment="1">
      <alignment horizontal="centerContinuous" wrapText="1"/>
    </xf>
    <xf numFmtId="49" fontId="8" fillId="4" borderId="13" xfId="0" applyNumberFormat="1" applyFont="1" applyFill="1" applyBorder="1" applyAlignment="1">
      <alignment horizontal="centerContinuous"/>
    </xf>
    <xf numFmtId="49" fontId="6" fillId="4" borderId="14" xfId="0" applyNumberFormat="1" applyFont="1" applyFill="1" applyBorder="1" applyAlignment="1">
      <alignment horizontal="center" wrapText="1"/>
    </xf>
    <xf numFmtId="49" fontId="6" fillId="4" borderId="15" xfId="0" applyNumberFormat="1" applyFont="1" applyFill="1" applyBorder="1" applyAlignment="1">
      <alignment horizontal="center" wrapText="1"/>
    </xf>
    <xf numFmtId="49" fontId="6" fillId="4" borderId="16" xfId="0" applyNumberFormat="1" applyFont="1" applyFill="1" applyBorder="1" applyAlignment="1">
      <alignment horizontal="center" wrapText="1"/>
    </xf>
    <xf numFmtId="49" fontId="8" fillId="4" borderId="17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centerContinuous"/>
    </xf>
    <xf numFmtId="164" fontId="3" fillId="5" borderId="18" xfId="0" applyNumberFormat="1" applyFont="1" applyFill="1" applyBorder="1" applyProtection="1">
      <protection locked="0"/>
    </xf>
    <xf numFmtId="165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Alignment="1" applyProtection="1">
      <alignment horizontal="right"/>
      <protection locked="0"/>
    </xf>
    <xf numFmtId="166" fontId="3" fillId="5" borderId="20" xfId="0" applyNumberFormat="1" applyFont="1" applyFill="1" applyBorder="1" applyAlignment="1" applyProtection="1">
      <alignment horizontal="right"/>
      <protection locked="0"/>
    </xf>
    <xf numFmtId="166" fontId="3" fillId="5" borderId="2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6" fillId="3" borderId="6" xfId="0" applyFont="1" applyFill="1" applyBorder="1"/>
    <xf numFmtId="4" fontId="6" fillId="5" borderId="22" xfId="0" applyNumberFormat="1" applyFont="1" applyFill="1" applyBorder="1" applyProtection="1">
      <protection locked="0"/>
    </xf>
    <xf numFmtId="165" fontId="6" fillId="5" borderId="23" xfId="0" applyNumberFormat="1" applyFont="1" applyFill="1" applyBorder="1" applyProtection="1">
      <protection locked="0"/>
    </xf>
    <xf numFmtId="166" fontId="6" fillId="5" borderId="23" xfId="0" applyNumberFormat="1" applyFont="1" applyFill="1" applyBorder="1" applyProtection="1">
      <protection locked="0"/>
    </xf>
    <xf numFmtId="166" fontId="6" fillId="5" borderId="24" xfId="2" applyNumberFormat="1" applyFont="1" applyFill="1" applyBorder="1" applyProtection="1">
      <protection locked="0"/>
    </xf>
    <xf numFmtId="166" fontId="6" fillId="5" borderId="23" xfId="0" applyNumberFormat="1" applyFont="1" applyFill="1" applyBorder="1" applyAlignment="1" applyProtection="1">
      <alignment horizontal="right"/>
      <protection locked="0"/>
    </xf>
    <xf numFmtId="166" fontId="6" fillId="5" borderId="25" xfId="0" applyNumberFormat="1" applyFont="1" applyFill="1" applyBorder="1" applyAlignment="1" applyProtection="1">
      <alignment horizontal="right"/>
      <protection locked="0"/>
    </xf>
    <xf numFmtId="166" fontId="6" fillId="5" borderId="26" xfId="0" applyNumberFormat="1" applyFont="1" applyFill="1" applyBorder="1" applyProtection="1">
      <protection locked="0"/>
    </xf>
    <xf numFmtId="0" fontId="6" fillId="3" borderId="10" xfId="0" applyFont="1" applyFill="1" applyBorder="1"/>
    <xf numFmtId="164" fontId="6" fillId="0" borderId="0" xfId="0" applyNumberFormat="1" applyFont="1" applyProtection="1">
      <protection locked="0"/>
    </xf>
    <xf numFmtId="20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0" fillId="5" borderId="22" xfId="0" applyNumberFormat="1" applyFill="1" applyBorder="1" applyProtection="1">
      <protection locked="0"/>
    </xf>
    <xf numFmtId="165" fontId="0" fillId="5" borderId="24" xfId="0" applyNumberFormat="1" applyFill="1" applyBorder="1" applyProtection="1">
      <protection locked="0"/>
    </xf>
    <xf numFmtId="166" fontId="0" fillId="5" borderId="24" xfId="0" applyNumberFormat="1" applyFill="1" applyBorder="1" applyProtection="1">
      <protection locked="0"/>
    </xf>
    <xf numFmtId="166" fontId="6" fillId="5" borderId="24" xfId="0" applyNumberFormat="1" applyFont="1" applyFill="1" applyBorder="1" applyProtection="1">
      <protection locked="0"/>
    </xf>
    <xf numFmtId="166" fontId="0" fillId="5" borderId="24" xfId="0" applyNumberFormat="1" applyFill="1" applyBorder="1" applyAlignment="1" applyProtection="1">
      <alignment horizontal="right"/>
      <protection locked="0"/>
    </xf>
    <xf numFmtId="166" fontId="0" fillId="5" borderId="27" xfId="0" applyNumberFormat="1" applyFill="1" applyBorder="1" applyAlignment="1" applyProtection="1">
      <alignment horizontal="right"/>
      <protection locked="0"/>
    </xf>
    <xf numFmtId="166" fontId="0" fillId="5" borderId="26" xfId="0" applyNumberFormat="1" applyFill="1" applyBorder="1" applyProtection="1">
      <protection locked="0"/>
    </xf>
    <xf numFmtId="43" fontId="2" fillId="0" borderId="0" xfId="1" applyFont="1" applyProtection="1">
      <protection locked="0"/>
    </xf>
    <xf numFmtId="0" fontId="0" fillId="3" borderId="28" xfId="0" applyFill="1" applyBorder="1"/>
    <xf numFmtId="0" fontId="0" fillId="3" borderId="0" xfId="0" applyFill="1"/>
    <xf numFmtId="0" fontId="0" fillId="3" borderId="29" xfId="0" applyFill="1" applyBorder="1"/>
    <xf numFmtId="167" fontId="0" fillId="3" borderId="30" xfId="0" applyNumberFormat="1" applyFill="1" applyBorder="1"/>
    <xf numFmtId="0" fontId="0" fillId="3" borderId="30" xfId="0" applyFill="1" applyBorder="1"/>
    <xf numFmtId="0" fontId="0" fillId="3" borderId="31" xfId="0" applyFill="1" applyBorder="1"/>
    <xf numFmtId="3" fontId="0" fillId="0" borderId="0" xfId="0" applyNumberFormat="1" applyProtection="1">
      <protection locked="0"/>
    </xf>
    <xf numFmtId="4" fontId="0" fillId="0" borderId="0" xfId="1" applyNumberFormat="1" applyFont="1" applyProtection="1">
      <protection locked="0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6" borderId="1" xfId="0" applyFill="1" applyBorder="1"/>
    <xf numFmtId="0" fontId="0" fillId="6" borderId="2" xfId="0" applyFill="1" applyBorder="1"/>
    <xf numFmtId="0" fontId="11" fillId="0" borderId="0" xfId="0" applyFont="1"/>
    <xf numFmtId="0" fontId="0" fillId="10" borderId="0" xfId="0" applyFill="1"/>
    <xf numFmtId="0" fontId="12" fillId="0" borderId="0" xfId="0" applyFont="1" applyAlignment="1">
      <alignment horizontal="left" vertical="center" indent="1"/>
    </xf>
    <xf numFmtId="0" fontId="0" fillId="11" borderId="0" xfId="0" applyFill="1"/>
    <xf numFmtId="0" fontId="0" fillId="0" borderId="0" xfId="0" applyFill="1"/>
    <xf numFmtId="0" fontId="0" fillId="0" borderId="0" xfId="0" applyAlignment="1">
      <alignment horizontal="right"/>
    </xf>
    <xf numFmtId="4" fontId="0" fillId="0" borderId="0" xfId="0" applyNumberFormat="1"/>
    <xf numFmtId="164" fontId="0" fillId="0" borderId="0" xfId="0" applyNumberFormat="1"/>
    <xf numFmtId="165" fontId="5" fillId="0" borderId="0" xfId="0" applyNumberFormat="1" applyFont="1" applyAlignment="1" applyProtection="1">
      <alignment horizontal="centerContinuous"/>
      <protection locked="0"/>
    </xf>
    <xf numFmtId="166" fontId="6" fillId="0" borderId="0" xfId="0" applyNumberFormat="1" applyFont="1" applyAlignment="1" applyProtection="1">
      <alignment horizontal="centerContinuous"/>
      <protection locked="0"/>
    </xf>
    <xf numFmtId="166" fontId="0" fillId="0" borderId="0" xfId="0" applyNumberFormat="1" applyAlignment="1" applyProtection="1">
      <alignment horizontal="centerContinuous"/>
      <protection locked="0"/>
    </xf>
    <xf numFmtId="0" fontId="0" fillId="14" borderId="0" xfId="0" applyFill="1" applyAlignment="1">
      <alignment horizontal="left"/>
    </xf>
    <xf numFmtId="0" fontId="0" fillId="15" borderId="0" xfId="0" applyFill="1"/>
    <xf numFmtId="0" fontId="0" fillId="16" borderId="0" xfId="0" applyFill="1"/>
    <xf numFmtId="0" fontId="0" fillId="12" borderId="0" xfId="0" applyFill="1" applyAlignment="1">
      <alignment horizontal="right"/>
    </xf>
    <xf numFmtId="9" fontId="0" fillId="13" borderId="0" xfId="3" applyFont="1" applyFill="1" applyAlignment="1">
      <alignment horizontal="right"/>
    </xf>
    <xf numFmtId="0" fontId="0" fillId="17" borderId="0" xfId="0" applyFill="1"/>
    <xf numFmtId="0" fontId="1" fillId="2" borderId="33" xfId="0" applyFont="1" applyFill="1" applyBorder="1" applyAlignment="1">
      <alignment horizontal="center" wrapText="1"/>
    </xf>
    <xf numFmtId="0" fontId="1" fillId="2" borderId="34" xfId="0" applyFont="1" applyFill="1" applyBorder="1" applyAlignment="1">
      <alignment horizontal="center" wrapText="1"/>
    </xf>
    <xf numFmtId="4" fontId="0" fillId="10" borderId="35" xfId="0" applyNumberFormat="1" applyFill="1" applyBorder="1" applyAlignment="1">
      <alignment horizontal="center"/>
    </xf>
    <xf numFmtId="4" fontId="0" fillId="10" borderId="36" xfId="0" applyNumberFormat="1" applyFill="1" applyBorder="1"/>
    <xf numFmtId="4" fontId="0" fillId="5" borderId="37" xfId="0" applyNumberFormat="1" applyFill="1" applyBorder="1" applyAlignment="1">
      <alignment horizontal="center"/>
    </xf>
    <xf numFmtId="4" fontId="0" fillId="5" borderId="36" xfId="0" applyNumberFormat="1" applyFill="1" applyBorder="1"/>
    <xf numFmtId="0" fontId="0" fillId="0" borderId="38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left"/>
    </xf>
    <xf numFmtId="0" fontId="0" fillId="19" borderId="37" xfId="0" applyFill="1" applyBorder="1" applyAlignment="1">
      <alignment horizontal="center"/>
    </xf>
    <xf numFmtId="0" fontId="0" fillId="0" borderId="37" xfId="0" applyBorder="1"/>
    <xf numFmtId="0" fontId="0" fillId="0" borderId="36" xfId="0" applyBorder="1" applyAlignment="1">
      <alignment horizontal="center"/>
    </xf>
    <xf numFmtId="0" fontId="0" fillId="0" borderId="39" xfId="0" applyBorder="1"/>
    <xf numFmtId="4" fontId="0" fillId="10" borderId="40" xfId="0" applyNumberFormat="1" applyFill="1" applyBorder="1" applyAlignment="1">
      <alignment horizontal="center"/>
    </xf>
    <xf numFmtId="4" fontId="0" fillId="10" borderId="41" xfId="0" applyNumberFormat="1" applyFill="1" applyBorder="1"/>
    <xf numFmtId="4" fontId="0" fillId="5" borderId="42" xfId="0" applyNumberFormat="1" applyFill="1" applyBorder="1" applyAlignment="1">
      <alignment horizontal="center"/>
    </xf>
    <xf numFmtId="4" fontId="0" fillId="5" borderId="41" xfId="0" applyNumberFormat="1" applyFill="1" applyBorder="1"/>
    <xf numFmtId="0" fontId="0" fillId="0" borderId="43" xfId="0" applyBorder="1"/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0" xfId="0" applyBorder="1" applyAlignment="1">
      <alignment horizontal="left"/>
    </xf>
    <xf numFmtId="0" fontId="0" fillId="19" borderId="42" xfId="0" applyFill="1" applyBorder="1" applyAlignment="1">
      <alignment horizontal="center"/>
    </xf>
    <xf numFmtId="0" fontId="0" fillId="0" borderId="42" xfId="0" applyBorder="1"/>
    <xf numFmtId="0" fontId="0" fillId="0" borderId="41" xfId="0" applyBorder="1" applyAlignment="1">
      <alignment horizontal="center"/>
    </xf>
    <xf numFmtId="0" fontId="0" fillId="0" borderId="44" xfId="0" applyBorder="1"/>
    <xf numFmtId="4" fontId="0" fillId="0" borderId="44" xfId="0" applyNumberFormat="1" applyBorder="1"/>
    <xf numFmtId="0" fontId="6" fillId="12" borderId="45" xfId="0" applyFont="1" applyFill="1" applyBorder="1" applyAlignment="1">
      <alignment horizontal="center"/>
    </xf>
    <xf numFmtId="0" fontId="6" fillId="12" borderId="46" xfId="0" applyFont="1" applyFill="1" applyBorder="1" applyAlignment="1">
      <alignment horizontal="center"/>
    </xf>
    <xf numFmtId="0" fontId="6" fillId="12" borderId="32" xfId="0" applyFont="1" applyFill="1" applyBorder="1" applyAlignment="1">
      <alignment horizontal="center"/>
    </xf>
    <xf numFmtId="0" fontId="14" fillId="20" borderId="45" xfId="0" applyFont="1" applyFill="1" applyBorder="1" applyAlignment="1">
      <alignment horizontal="centerContinuous"/>
    </xf>
    <xf numFmtId="0" fontId="14" fillId="20" borderId="46" xfId="0" applyFont="1" applyFill="1" applyBorder="1" applyAlignment="1">
      <alignment horizontal="centerContinuous"/>
    </xf>
    <xf numFmtId="0" fontId="14" fillId="20" borderId="45" xfId="0" applyFont="1" applyFill="1" applyBorder="1" applyAlignment="1">
      <alignment horizontal="center"/>
    </xf>
    <xf numFmtId="0" fontId="14" fillId="20" borderId="32" xfId="0" applyFont="1" applyFill="1" applyBorder="1" applyAlignment="1">
      <alignment horizontal="center"/>
    </xf>
    <xf numFmtId="0" fontId="14" fillId="20" borderId="46" xfId="0" applyFont="1" applyFill="1" applyBorder="1" applyAlignment="1">
      <alignment horizontal="center"/>
    </xf>
    <xf numFmtId="0" fontId="7" fillId="21" borderId="47" xfId="0" applyFont="1" applyFill="1" applyBorder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7" fillId="12" borderId="47" xfId="0" applyFont="1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14" fillId="22" borderId="48" xfId="0" applyFont="1" applyFill="1" applyBorder="1" applyAlignment="1">
      <alignment horizontal="centerContinuous"/>
    </xf>
    <xf numFmtId="0" fontId="14" fillId="22" borderId="49" xfId="0" applyFont="1" applyFill="1" applyBorder="1" applyAlignment="1">
      <alignment horizontal="centerContinuous"/>
    </xf>
    <xf numFmtId="0" fontId="14" fillId="22" borderId="0" xfId="0" applyFont="1" applyFill="1" applyAlignment="1">
      <alignment horizontal="centerContinuous"/>
    </xf>
    <xf numFmtId="0" fontId="0" fillId="12" borderId="0" xfId="0" applyFill="1"/>
    <xf numFmtId="167" fontId="0" fillId="0" borderId="0" xfId="0" applyNumberFormat="1" applyAlignment="1">
      <alignment horizontal="center"/>
    </xf>
    <xf numFmtId="3" fontId="0" fillId="0" borderId="0" xfId="0" applyNumberFormat="1"/>
    <xf numFmtId="4" fontId="0" fillId="0" borderId="0" xfId="0" applyNumberFormat="1" applyAlignment="1" applyProtection="1">
      <alignment horizontal="center"/>
      <protection locked="0"/>
    </xf>
    <xf numFmtId="0" fontId="1" fillId="7" borderId="5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8" borderId="52" xfId="0" applyFont="1" applyFill="1" applyBorder="1" applyAlignment="1">
      <alignment horizontal="center" vertical="center" wrapText="1"/>
    </xf>
    <xf numFmtId="0" fontId="1" fillId="8" borderId="60" xfId="0" applyFont="1" applyFill="1" applyBorder="1" applyAlignment="1">
      <alignment horizontal="center" vertical="center" wrapText="1"/>
    </xf>
    <xf numFmtId="0" fontId="1" fillId="23" borderId="60" xfId="0" applyFont="1" applyFill="1" applyBorder="1" applyAlignment="1">
      <alignment horizontal="center" vertical="center" wrapText="1"/>
    </xf>
    <xf numFmtId="0" fontId="1" fillId="23" borderId="61" xfId="0" applyFont="1" applyFill="1" applyBorder="1" applyAlignment="1">
      <alignment horizontal="center" vertical="center" wrapText="1"/>
    </xf>
    <xf numFmtId="0" fontId="15" fillId="8" borderId="59" xfId="0" applyFont="1" applyFill="1" applyBorder="1" applyAlignment="1">
      <alignment horizontal="center" vertical="center" wrapText="1"/>
    </xf>
    <xf numFmtId="0" fontId="15" fillId="8" borderId="60" xfId="0" applyFont="1" applyFill="1" applyBorder="1" applyAlignment="1">
      <alignment horizontal="center" vertical="center" wrapText="1"/>
    </xf>
    <xf numFmtId="4" fontId="0" fillId="0" borderId="54" xfId="0" applyNumberFormat="1" applyFont="1" applyFill="1" applyBorder="1"/>
    <xf numFmtId="0" fontId="0" fillId="0" borderId="53" xfId="0" applyFont="1" applyFill="1" applyBorder="1"/>
    <xf numFmtId="0" fontId="0" fillId="0" borderId="54" xfId="0" applyFont="1" applyFill="1" applyBorder="1"/>
    <xf numFmtId="4" fontId="0" fillId="0" borderId="54" xfId="0" applyNumberFormat="1" applyFill="1" applyBorder="1"/>
    <xf numFmtId="4" fontId="0" fillId="0" borderId="63" xfId="0" applyNumberFormat="1" applyFill="1" applyBorder="1"/>
    <xf numFmtId="3" fontId="0" fillId="0" borderId="65" xfId="0" applyNumberFormat="1" applyFill="1" applyBorder="1"/>
    <xf numFmtId="3" fontId="0" fillId="0" borderId="64" xfId="0" applyNumberFormat="1" applyFill="1" applyBorder="1"/>
    <xf numFmtId="3" fontId="0" fillId="0" borderId="63" xfId="0" applyNumberFormat="1" applyFill="1" applyBorder="1"/>
    <xf numFmtId="170" fontId="0" fillId="0" borderId="62" xfId="0" applyNumberFormat="1" applyFill="1" applyBorder="1"/>
    <xf numFmtId="4" fontId="0" fillId="0" borderId="64" xfId="0" applyNumberFormat="1" applyFont="1" applyFill="1" applyBorder="1"/>
    <xf numFmtId="14" fontId="0" fillId="0" borderId="55" xfId="0" applyNumberFormat="1" applyFont="1" applyFill="1" applyBorder="1"/>
    <xf numFmtId="3" fontId="0" fillId="0" borderId="54" xfId="0" applyNumberFormat="1" applyFont="1" applyFill="1" applyBorder="1" applyAlignment="1">
      <alignment horizontal="center"/>
    </xf>
    <xf numFmtId="4" fontId="0" fillId="0" borderId="63" xfId="0" applyNumberFormat="1" applyFont="1" applyFill="1" applyBorder="1" applyAlignment="1">
      <alignment horizontal="right"/>
    </xf>
    <xf numFmtId="4" fontId="0" fillId="0" borderId="65" xfId="0" applyNumberFormat="1" applyFont="1" applyFill="1" applyBorder="1" applyAlignment="1">
      <alignment horizontal="right"/>
    </xf>
    <xf numFmtId="171" fontId="0" fillId="0" borderId="65" xfId="0" applyNumberFormat="1" applyFont="1" applyFill="1" applyBorder="1" applyAlignment="1">
      <alignment horizontal="right"/>
    </xf>
    <xf numFmtId="168" fontId="0" fillId="0" borderId="56" xfId="0" applyNumberFormat="1" applyFont="1" applyFill="1" applyBorder="1" applyAlignment="1">
      <alignment horizontal="right"/>
    </xf>
    <xf numFmtId="169" fontId="0" fillId="0" borderId="57" xfId="0" applyNumberFormat="1" applyFont="1" applyFill="1" applyBorder="1" applyAlignment="1">
      <alignment horizontal="right"/>
    </xf>
    <xf numFmtId="171" fontId="0" fillId="0" borderId="58" xfId="0" applyNumberFormat="1" applyFont="1" applyFill="1" applyBorder="1" applyAlignment="1">
      <alignment horizontal="right"/>
    </xf>
    <xf numFmtId="14" fontId="0" fillId="0" borderId="54" xfId="0" applyNumberFormat="1" applyFont="1" applyFill="1" applyBorder="1"/>
    <xf numFmtId="0" fontId="0" fillId="0" borderId="54" xfId="0" applyNumberFormat="1" applyFill="1" applyBorder="1"/>
    <xf numFmtId="14" fontId="16" fillId="0" borderId="54" xfId="0" applyNumberFormat="1" applyFont="1" applyFill="1" applyBorder="1"/>
    <xf numFmtId="14" fontId="16" fillId="0" borderId="66" xfId="0" applyNumberFormat="1" applyFont="1" applyFill="1" applyBorder="1"/>
    <xf numFmtId="0" fontId="16" fillId="0" borderId="53" xfId="0" applyFont="1" applyFill="1" applyBorder="1"/>
    <xf numFmtId="0" fontId="16" fillId="0" borderId="67" xfId="0" applyFont="1" applyFill="1" applyBorder="1"/>
    <xf numFmtId="0" fontId="16" fillId="0" borderId="54" xfId="0" applyFont="1" applyFill="1" applyBorder="1"/>
    <xf numFmtId="0" fontId="16" fillId="0" borderId="66" xfId="0" applyFont="1" applyFill="1" applyBorder="1"/>
    <xf numFmtId="0" fontId="0" fillId="0" borderId="66" xfId="0" applyNumberFormat="1" applyFill="1" applyBorder="1"/>
    <xf numFmtId="4" fontId="0" fillId="0" borderId="66" xfId="0" applyNumberFormat="1" applyFill="1" applyBorder="1"/>
    <xf numFmtId="4" fontId="0" fillId="0" borderId="68" xfId="0" applyNumberFormat="1" applyFill="1" applyBorder="1"/>
    <xf numFmtId="3" fontId="0" fillId="0" borderId="69" xfId="0" applyNumberFormat="1" applyFill="1" applyBorder="1"/>
    <xf numFmtId="3" fontId="0" fillId="0" borderId="70" xfId="0" applyNumberFormat="1" applyFill="1" applyBorder="1"/>
    <xf numFmtId="3" fontId="0" fillId="0" borderId="68" xfId="0" applyNumberFormat="1" applyFill="1" applyBorder="1"/>
    <xf numFmtId="170" fontId="0" fillId="0" borderId="71" xfId="0" applyNumberFormat="1" applyFill="1" applyBorder="1"/>
    <xf numFmtId="4" fontId="16" fillId="0" borderId="70" xfId="0" applyNumberFormat="1" applyFont="1" applyFill="1" applyBorder="1"/>
    <xf numFmtId="4" fontId="16" fillId="0" borderId="54" xfId="0" applyNumberFormat="1" applyFont="1" applyFill="1" applyBorder="1"/>
    <xf numFmtId="4" fontId="16" fillId="0" borderId="66" xfId="0" applyNumberFormat="1" applyFont="1" applyFill="1" applyBorder="1"/>
    <xf numFmtId="14" fontId="16" fillId="0" borderId="55" xfId="0" applyNumberFormat="1" applyFont="1" applyFill="1" applyBorder="1"/>
    <xf numFmtId="14" fontId="16" fillId="0" borderId="72" xfId="0" applyNumberFormat="1" applyFont="1" applyFill="1" applyBorder="1"/>
    <xf numFmtId="3" fontId="16" fillId="0" borderId="54" xfId="0" applyNumberFormat="1" applyFont="1" applyFill="1" applyBorder="1" applyAlignment="1">
      <alignment horizontal="center"/>
    </xf>
    <xf numFmtId="3" fontId="16" fillId="0" borderId="66" xfId="0" applyNumberFormat="1" applyFont="1" applyFill="1" applyBorder="1" applyAlignment="1">
      <alignment horizontal="center"/>
    </xf>
    <xf numFmtId="4" fontId="16" fillId="0" borderId="63" xfId="0" applyNumberFormat="1" applyFont="1" applyFill="1" applyBorder="1" applyAlignment="1">
      <alignment horizontal="right"/>
    </xf>
    <xf numFmtId="4" fontId="16" fillId="0" borderId="68" xfId="0" applyNumberFormat="1" applyFont="1" applyFill="1" applyBorder="1" applyAlignment="1">
      <alignment horizontal="right"/>
    </xf>
    <xf numFmtId="4" fontId="16" fillId="0" borderId="65" xfId="0" applyNumberFormat="1" applyFont="1" applyFill="1" applyBorder="1" applyAlignment="1">
      <alignment horizontal="right"/>
    </xf>
    <xf numFmtId="4" fontId="16" fillId="0" borderId="69" xfId="0" applyNumberFormat="1" applyFont="1" applyFill="1" applyBorder="1" applyAlignment="1">
      <alignment horizontal="right"/>
    </xf>
    <xf numFmtId="171" fontId="16" fillId="0" borderId="65" xfId="0" applyNumberFormat="1" applyFont="1" applyFill="1" applyBorder="1" applyAlignment="1">
      <alignment horizontal="right"/>
    </xf>
    <xf numFmtId="171" fontId="16" fillId="0" borderId="69" xfId="0" applyNumberFormat="1" applyFont="1" applyFill="1" applyBorder="1" applyAlignment="1">
      <alignment horizontal="right"/>
    </xf>
    <xf numFmtId="168" fontId="16" fillId="0" borderId="56" xfId="0" applyNumberFormat="1" applyFont="1" applyFill="1" applyBorder="1" applyAlignment="1">
      <alignment horizontal="right"/>
    </xf>
    <xf numFmtId="168" fontId="16" fillId="0" borderId="73" xfId="0" applyNumberFormat="1" applyFont="1" applyFill="1" applyBorder="1" applyAlignment="1">
      <alignment horizontal="right"/>
    </xf>
    <xf numFmtId="169" fontId="16" fillId="0" borderId="57" xfId="0" applyNumberFormat="1" applyFont="1" applyFill="1" applyBorder="1" applyAlignment="1">
      <alignment horizontal="right"/>
    </xf>
    <xf numFmtId="169" fontId="16" fillId="0" borderId="74" xfId="0" applyNumberFormat="1" applyFont="1" applyFill="1" applyBorder="1" applyAlignment="1">
      <alignment horizontal="right"/>
    </xf>
    <xf numFmtId="171" fontId="16" fillId="0" borderId="58" xfId="0" applyNumberFormat="1" applyFont="1" applyFill="1" applyBorder="1" applyAlignment="1">
      <alignment horizontal="right"/>
    </xf>
    <xf numFmtId="171" fontId="16" fillId="0" borderId="75" xfId="0" applyNumberFormat="1" applyFont="1" applyFill="1" applyBorder="1" applyAlignment="1">
      <alignment horizontal="right"/>
    </xf>
    <xf numFmtId="0" fontId="0" fillId="0" borderId="66" xfId="0" applyFont="1" applyFill="1" applyBorder="1"/>
    <xf numFmtId="0" fontId="0" fillId="0" borderId="66" xfId="0" quotePrefix="1" applyFont="1" applyFill="1" applyBorder="1"/>
    <xf numFmtId="0" fontId="0" fillId="13" borderId="0" xfId="0" applyFill="1"/>
    <xf numFmtId="4" fontId="0" fillId="0" borderId="0" xfId="0" applyNumberFormat="1" applyAlignment="1" applyProtection="1">
      <alignment horizontal="left"/>
      <protection locked="0"/>
    </xf>
    <xf numFmtId="0" fontId="0" fillId="0" borderId="67" xfId="0" applyFont="1" applyFill="1" applyBorder="1"/>
    <xf numFmtId="0" fontId="0" fillId="0" borderId="67" xfId="0" quotePrefix="1" applyFont="1" applyFill="1" applyBorder="1"/>
    <xf numFmtId="14" fontId="0" fillId="0" borderId="66" xfId="0" applyNumberFormat="1" applyFont="1" applyFill="1" applyBorder="1"/>
    <xf numFmtId="0" fontId="0" fillId="0" borderId="76" xfId="0" applyBorder="1"/>
    <xf numFmtId="0" fontId="0" fillId="0" borderId="0" xfId="0" applyAlignment="1">
      <alignment horizontal="centerContinuous" wrapText="1"/>
    </xf>
    <xf numFmtId="0" fontId="0" fillId="0" borderId="0" xfId="0" applyAlignment="1">
      <alignment horizontal="center" wrapText="1"/>
    </xf>
    <xf numFmtId="0" fontId="3" fillId="0" borderId="76" xfId="0" applyFont="1" applyBorder="1"/>
    <xf numFmtId="0" fontId="17" fillId="0" borderId="76" xfId="0" applyFont="1" applyBorder="1"/>
    <xf numFmtId="4" fontId="0" fillId="0" borderId="70" xfId="0" applyNumberFormat="1" applyFont="1" applyFill="1" applyBorder="1"/>
    <xf numFmtId="0" fontId="14" fillId="9" borderId="0" xfId="0" applyFont="1" applyFill="1"/>
    <xf numFmtId="0" fontId="0" fillId="0" borderId="0" xfId="0" applyFill="1" applyAlignment="1">
      <alignment horizontal="center"/>
    </xf>
    <xf numFmtId="0" fontId="0" fillId="0" borderId="77" xfId="0" applyFill="1" applyBorder="1"/>
    <xf numFmtId="0" fontId="0" fillId="0" borderId="78" xfId="0" applyFill="1" applyBorder="1"/>
    <xf numFmtId="0" fontId="0" fillId="0" borderId="79" xfId="0" applyFill="1" applyBorder="1"/>
    <xf numFmtId="0" fontId="0" fillId="9" borderId="0" xfId="0" applyFill="1" applyAlignment="1">
      <alignment horizontal="center"/>
    </xf>
    <xf numFmtId="0" fontId="0" fillId="24" borderId="0" xfId="0" applyFill="1" applyAlignment="1">
      <alignment horizontal="center"/>
    </xf>
    <xf numFmtId="3" fontId="0" fillId="0" borderId="80" xfId="0" applyNumberFormat="1" applyFill="1" applyBorder="1"/>
    <xf numFmtId="3" fontId="0" fillId="0" borderId="0" xfId="0" applyNumberFormat="1" applyFill="1" applyBorder="1"/>
    <xf numFmtId="3" fontId="0" fillId="0" borderId="71" xfId="0" applyNumberFormat="1" applyFill="1" applyBorder="1"/>
    <xf numFmtId="0" fontId="7" fillId="23" borderId="60" xfId="0" applyFont="1" applyFill="1" applyBorder="1" applyAlignment="1">
      <alignment horizontal="center" vertical="center" wrapText="1"/>
    </xf>
    <xf numFmtId="0" fontId="7" fillId="25" borderId="60" xfId="0" applyFont="1" applyFill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Porcentagem" xfId="3" builtinId="5"/>
    <cellStyle name="Vírgula" xfId="1" builtinId="3"/>
  </cellStyles>
  <dxfs count="109"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/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left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mediumGray">
          <fgColor rgb="FF215967"/>
        </patternFill>
      </fill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" formatCode="#,##0"/>
      <protection locked="0" hidden="0"/>
    </dxf>
    <dxf>
      <numFmt numFmtId="4" formatCode="#,##0.00"/>
      <protection locked="0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0;\ \-#,##0.0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,##0.00;\ \-#,##0.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170" formatCode="#,##0.0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mediumGray">
          <fgColor theme="0" tint="-0.34998626667073579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3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8" tint="-0.249977111117893"/>
          <bgColor theme="8" tint="-0.249977111117893"/>
        </patternFill>
      </fill>
    </dxf>
    <dxf>
      <fill>
        <patternFill patternType="solid">
          <fgColor theme="8" tint="-0.249977111117893"/>
          <bgColor theme="8" tint="-0.249977111117893"/>
        </patternFill>
      </fill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theme="0"/>
      </font>
      <fill>
        <patternFill patternType="solid">
          <fgColor theme="8"/>
          <bgColor theme="8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46B4C8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theme="4"/>
          <bgColor rgb="FF288296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-0.249977111117893"/>
          <bgColor theme="9" tint="0.39994506668294322"/>
        </patternFill>
      </fill>
    </dxf>
    <dxf>
      <fill>
        <patternFill patternType="solid">
          <fgColor theme="4" tint="-0.249977111117893"/>
          <bgColor rgb="FF78963C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auto="1"/>
      </font>
      <fill>
        <patternFill patternType="solid">
          <fgColor theme="4"/>
          <bgColor rgb="FF9BBE5A"/>
        </patternFill>
      </fill>
      <border>
        <vertical style="thin">
          <color theme="1" tint="0.34998626667073579"/>
        </vertical>
        <horizontal style="thin">
          <color theme="1" tint="0.34998626667073579"/>
        </horizontal>
      </border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auto="1"/>
          <bgColor rgb="FFFF5353"/>
        </patternFill>
      </fill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C0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rgb="FFC00000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rgb="FFA20000"/>
          <bgColor rgb="FFC00000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Red" pivot="0" count="7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TableStyleDark2 2 2" pivot="0" count="7">
      <tableStyleElement type="wholeTable" dxfId="101"/>
      <tableStyleElement type="headerRow" dxfId="100"/>
      <tableStyleElement type="totalRow" dxfId="99"/>
      <tableStyleElement type="firstColumn" dxfId="98"/>
      <tableStyleElement type="lastColumn" dxfId="97"/>
      <tableStyleElement type="firstRowStripe" dxfId="96"/>
      <tableStyleElement type="firstColumnStripe" dxfId="95"/>
    </tableStyle>
    <tableStyle name="TableStyleDark2 2 2 2" pivot="0" count="7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  <tableStyle name="TableStyleDark6 2" pivot="0" count="7">
      <tableStyleElement type="wholeTable" dxfId="87"/>
      <tableStyleElement type="headerRow" dxfId="86"/>
      <tableStyleElement type="totalRow" dxfId="85"/>
      <tableStyleElement type="firstColumn" dxfId="84"/>
      <tableStyleElement type="lastColumn" dxfId="83"/>
      <tableStyleElement type="firstRowStripe" dxfId="82"/>
      <tableStyleElement type="firstColumnStripe" dxfId="81"/>
    </tableStyle>
    <tableStyle name="TableStyleMedium2 2" pivot="0" count="7">
      <tableStyleElement type="wholeTable" dxfId="80"/>
      <tableStyleElement type="headerRow" dxfId="79"/>
      <tableStyleElement type="totalRow" dxfId="78"/>
      <tableStyleElement type="firstColumn" dxfId="77"/>
      <tableStyleElement type="lastColumn" dxfId="76"/>
      <tableStyleElement type="firstRowStripe" dxfId="75"/>
      <tableStyleElement type="firstColumnStripe" dxfId="74"/>
    </tableStyle>
    <tableStyle name="TableStyleMedium3 2" pivot="0" count="7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firstRowStripe" dxfId="68"/>
      <tableStyleElement type="firstColumnStripe" dxfId="67"/>
    </tableStyle>
  </tableStyles>
  <colors>
    <mruColors>
      <color rgb="FFFAB900"/>
      <color rgb="FFFF4A11"/>
      <color rgb="FFFF794F"/>
      <color rgb="FFA20000"/>
      <color rgb="FFEA0000"/>
      <color rgb="FFFF5353"/>
      <color rgb="FFFFABAB"/>
      <color rgb="FFFFB7B7"/>
      <color rgb="FFFF9999"/>
      <color rgb="FF2882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9446" y="115957"/>
    <xdr:ext cx="691430" cy="240414"/>
    <xdr:sp macro="[0]!LinhasIncluir0x0" textlink="">
      <xdr:nvSpPr>
        <xdr:cNvPr id="2" name="DelLines">
          <a:extLst>
            <a:ext uri="{FF2B5EF4-FFF2-40B4-BE49-F238E27FC236}">
              <a16:creationId xmlns="" xmlns:a16="http://schemas.microsoft.com/office/drawing/2014/main" id="{924A1C94-2754-4432-82F6-B1DC5BC15650}"/>
            </a:ext>
          </a:extLst>
        </xdr:cNvPr>
        <xdr:cNvSpPr/>
      </xdr:nvSpPr>
      <xdr:spPr>
        <a:xfrm>
          <a:off x="1079446" y="115957"/>
          <a:ext cx="691430" cy="240414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+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  <xdr:absoluteAnchor>
    <xdr:pos x="314740" y="115957"/>
    <xdr:ext cx="684517" cy="240414"/>
    <xdr:sp macro="[0]!LinhasExcluir0x0" textlink="">
      <xdr:nvSpPr>
        <xdr:cNvPr id="3" name="AddLines">
          <a:extLst>
            <a:ext uri="{FF2B5EF4-FFF2-40B4-BE49-F238E27FC236}">
              <a16:creationId xmlns="" xmlns:a16="http://schemas.microsoft.com/office/drawing/2014/main" id="{372CD504-BBDE-4862-A5C1-F7997E7483B3}"/>
            </a:ext>
          </a:extLst>
        </xdr:cNvPr>
        <xdr:cNvSpPr/>
      </xdr:nvSpPr>
      <xdr:spPr>
        <a:xfrm>
          <a:off x="314740" y="115957"/>
          <a:ext cx="684517" cy="240414"/>
        </a:xfrm>
        <a:prstGeom prst="roundRect">
          <a:avLst/>
        </a:prstGeom>
        <a:solidFill>
          <a:srgbClr val="EA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-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2</xdr:col>
      <xdr:colOff>13660</xdr:colOff>
      <xdr:row>0</xdr:row>
      <xdr:rowOff>336686</xdr:rowOff>
    </xdr:to>
    <xdr:sp macro="[0]!LinhasExcluir0x0" textlink="">
      <xdr:nvSpPr>
        <xdr:cNvPr id="2" name="BotLinesAdd">
          <a:extLst>
            <a:ext uri="{FF2B5EF4-FFF2-40B4-BE49-F238E27FC236}">
              <a16:creationId xmlns="" xmlns:a16="http://schemas.microsoft.com/office/drawing/2014/main" id="{DAB0D751-293C-4303-AD88-29C1BADB5311}"/>
            </a:ext>
          </a:extLst>
        </xdr:cNvPr>
        <xdr:cNvSpPr/>
      </xdr:nvSpPr>
      <xdr:spPr>
        <a:xfrm>
          <a:off x="133350" y="104775"/>
          <a:ext cx="764064" cy="23191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-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  <xdr:twoCellAnchor editAs="absolute">
    <xdr:from>
      <xdr:col>2</xdr:col>
      <xdr:colOff>79097</xdr:colOff>
      <xdr:row>0</xdr:row>
      <xdr:rowOff>104775</xdr:rowOff>
    </xdr:from>
    <xdr:to>
      <xdr:col>2</xdr:col>
      <xdr:colOff>841091</xdr:colOff>
      <xdr:row>0</xdr:row>
      <xdr:rowOff>336686</xdr:rowOff>
    </xdr:to>
    <xdr:sp macro="[0]!LinhasIncluir0x0" textlink="">
      <xdr:nvSpPr>
        <xdr:cNvPr id="3" name="BotLinesDel">
          <a:extLst>
            <a:ext uri="{FF2B5EF4-FFF2-40B4-BE49-F238E27FC236}">
              <a16:creationId xmlns="" xmlns:a16="http://schemas.microsoft.com/office/drawing/2014/main" id="{AF910C14-0F95-4A52-9329-9BB7066B0AB5}"/>
            </a:ext>
          </a:extLst>
        </xdr:cNvPr>
        <xdr:cNvSpPr/>
      </xdr:nvSpPr>
      <xdr:spPr>
        <a:xfrm>
          <a:off x="964094" y="104775"/>
          <a:ext cx="761994" cy="231911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+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D%203TB%20-%20Docs%20(H)\Finan&#231;as\Finan&#231;as\Felipe\Claudete%20UNIMED\2021%20Mes01%2023%20-%20UNIMED%20Boletos%20-v2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letos"/>
      <sheetName val="Pagtos"/>
      <sheetName val="Rateio"/>
      <sheetName val="Presentes"/>
      <sheetName val="Ag.Contas"/>
    </sheetNames>
    <sheetDataSet>
      <sheetData sheetId="0"/>
      <sheetData sheetId="1">
        <row r="9">
          <cell r="C9" t="str">
            <v>Categoria</v>
          </cell>
          <cell r="F9" t="str">
            <v>Valor</v>
          </cell>
          <cell r="G9" t="str">
            <v>Participante</v>
          </cell>
          <cell r="H9" t="str">
            <v>Ref.</v>
          </cell>
        </row>
        <row r="10">
          <cell r="C10" t="str">
            <v>Pagamento</v>
          </cell>
          <cell r="F10">
            <v>1000</v>
          </cell>
          <cell r="G10" t="str">
            <v>Claudete</v>
          </cell>
          <cell r="H10" t="str">
            <v>Adesão</v>
          </cell>
        </row>
        <row r="11">
          <cell r="C11" t="str">
            <v>Contribuição</v>
          </cell>
          <cell r="F11">
            <v>143</v>
          </cell>
          <cell r="G11" t="str">
            <v>Claudete</v>
          </cell>
          <cell r="H11" t="str">
            <v>Adesão</v>
          </cell>
        </row>
        <row r="12">
          <cell r="C12" t="str">
            <v>Depósito</v>
          </cell>
          <cell r="F12">
            <v>143</v>
          </cell>
          <cell r="G12" t="str">
            <v>Josimar</v>
          </cell>
        </row>
        <row r="13">
          <cell r="C13" t="str">
            <v>Contribuição</v>
          </cell>
          <cell r="F13">
            <v>143</v>
          </cell>
          <cell r="G13" t="str">
            <v>Josimar</v>
          </cell>
          <cell r="H13" t="str">
            <v>Adesão</v>
          </cell>
        </row>
        <row r="14">
          <cell r="C14" t="str">
            <v>Depósito</v>
          </cell>
          <cell r="F14">
            <v>250</v>
          </cell>
          <cell r="G14" t="str">
            <v>Rosane</v>
          </cell>
        </row>
        <row r="15">
          <cell r="C15" t="str">
            <v>Contribuição</v>
          </cell>
          <cell r="F15">
            <v>143</v>
          </cell>
          <cell r="G15" t="str">
            <v>Rosane</v>
          </cell>
          <cell r="H15" t="str">
            <v>Adesão</v>
          </cell>
        </row>
        <row r="16">
          <cell r="C16" t="str">
            <v>Contribuição</v>
          </cell>
          <cell r="F16">
            <v>80.31</v>
          </cell>
          <cell r="G16" t="str">
            <v>Rosane</v>
          </cell>
          <cell r="H16">
            <v>43862</v>
          </cell>
        </row>
        <row r="17">
          <cell r="C17" t="str">
            <v>Contribuição</v>
          </cell>
          <cell r="F17">
            <v>26.69</v>
          </cell>
          <cell r="G17" t="str">
            <v>Rosane</v>
          </cell>
          <cell r="H17">
            <v>43891</v>
          </cell>
        </row>
        <row r="18">
          <cell r="C18" t="str">
            <v>Depósito</v>
          </cell>
          <cell r="F18">
            <v>200</v>
          </cell>
          <cell r="G18" t="str">
            <v>Marli</v>
          </cell>
        </row>
        <row r="19">
          <cell r="C19" t="str">
            <v>Contribuição</v>
          </cell>
          <cell r="F19">
            <v>143</v>
          </cell>
          <cell r="G19" t="str">
            <v>Marli</v>
          </cell>
          <cell r="H19" t="str">
            <v>Adesão</v>
          </cell>
        </row>
        <row r="20">
          <cell r="C20" t="str">
            <v>Contribuição</v>
          </cell>
          <cell r="F20">
            <v>57</v>
          </cell>
          <cell r="G20" t="str">
            <v>Marli</v>
          </cell>
          <cell r="H20">
            <v>43862</v>
          </cell>
        </row>
        <row r="21">
          <cell r="C21" t="str">
            <v>Pagamento</v>
          </cell>
          <cell r="F21">
            <v>562.17999999999995</v>
          </cell>
          <cell r="G21" t="str">
            <v>Claudete</v>
          </cell>
          <cell r="H21">
            <v>43863</v>
          </cell>
        </row>
        <row r="22">
          <cell r="C22" t="str">
            <v>Contribuição</v>
          </cell>
          <cell r="F22">
            <v>80.31</v>
          </cell>
          <cell r="G22" t="str">
            <v>Claudete</v>
          </cell>
          <cell r="H22">
            <v>43862</v>
          </cell>
        </row>
        <row r="23">
          <cell r="C23" t="str">
            <v>Depósito</v>
          </cell>
          <cell r="F23">
            <v>526</v>
          </cell>
          <cell r="G23" t="str">
            <v>Josimar</v>
          </cell>
        </row>
        <row r="24">
          <cell r="C24" t="str">
            <v>Contribuição</v>
          </cell>
          <cell r="F24">
            <v>143</v>
          </cell>
          <cell r="G24" t="str">
            <v>João</v>
          </cell>
          <cell r="H24" t="str">
            <v>Adesão</v>
          </cell>
        </row>
        <row r="25">
          <cell r="C25" t="str">
            <v>Contribuição</v>
          </cell>
          <cell r="F25">
            <v>143</v>
          </cell>
          <cell r="G25" t="str">
            <v>Ignez</v>
          </cell>
          <cell r="H25" t="str">
            <v>Adesão</v>
          </cell>
        </row>
        <row r="26">
          <cell r="C26" t="str">
            <v>Contribuição</v>
          </cell>
          <cell r="F26">
            <v>80</v>
          </cell>
          <cell r="G26" t="str">
            <v>Josimar</v>
          </cell>
          <cell r="H26">
            <v>43862</v>
          </cell>
        </row>
        <row r="27">
          <cell r="C27" t="str">
            <v>Contribuição</v>
          </cell>
          <cell r="F27">
            <v>80</v>
          </cell>
          <cell r="G27" t="str">
            <v>João</v>
          </cell>
          <cell r="H27">
            <v>43862</v>
          </cell>
        </row>
        <row r="28">
          <cell r="C28" t="str">
            <v>Contribuição</v>
          </cell>
          <cell r="F28">
            <v>80</v>
          </cell>
          <cell r="G28" t="str">
            <v>Ignez</v>
          </cell>
          <cell r="H28">
            <v>43862</v>
          </cell>
        </row>
        <row r="29">
          <cell r="C29" t="str">
            <v>Pagamento</v>
          </cell>
          <cell r="F29">
            <v>959.02</v>
          </cell>
          <cell r="G29" t="str">
            <v>Claudete</v>
          </cell>
          <cell r="H29">
            <v>43891</v>
          </cell>
        </row>
        <row r="30">
          <cell r="C30" t="str">
            <v>Depósito</v>
          </cell>
          <cell r="F30">
            <v>300</v>
          </cell>
          <cell r="G30" t="str">
            <v>Rosane</v>
          </cell>
        </row>
        <row r="31">
          <cell r="C31" t="str">
            <v>Contribuição</v>
          </cell>
          <cell r="F31">
            <v>110.31</v>
          </cell>
          <cell r="G31" t="str">
            <v>Rosane</v>
          </cell>
          <cell r="H31">
            <v>43891</v>
          </cell>
        </row>
        <row r="32">
          <cell r="C32" t="str">
            <v>Contribuição</v>
          </cell>
          <cell r="F32">
            <v>137</v>
          </cell>
          <cell r="G32" t="str">
            <v>Rosane</v>
          </cell>
          <cell r="H32">
            <v>43922</v>
          </cell>
        </row>
        <row r="33">
          <cell r="C33" t="str">
            <v>Contribuição</v>
          </cell>
          <cell r="F33">
            <v>52.69</v>
          </cell>
          <cell r="G33" t="str">
            <v>Rosane</v>
          </cell>
          <cell r="H33">
            <v>43952</v>
          </cell>
        </row>
        <row r="34">
          <cell r="C34" t="str">
            <v>Depósito</v>
          </cell>
          <cell r="F34">
            <v>411</v>
          </cell>
          <cell r="G34" t="str">
            <v>Josimar</v>
          </cell>
        </row>
        <row r="35">
          <cell r="C35" t="str">
            <v>Contribuição</v>
          </cell>
          <cell r="F35">
            <v>137</v>
          </cell>
          <cell r="G35" t="str">
            <v>Josimar</v>
          </cell>
          <cell r="H35">
            <v>43891</v>
          </cell>
        </row>
        <row r="36">
          <cell r="C36" t="str">
            <v>Contribuição</v>
          </cell>
          <cell r="F36">
            <v>137</v>
          </cell>
          <cell r="G36" t="str">
            <v>João</v>
          </cell>
          <cell r="H36">
            <v>43891</v>
          </cell>
        </row>
        <row r="37">
          <cell r="C37" t="str">
            <v>Contribuição</v>
          </cell>
          <cell r="F37">
            <v>137</v>
          </cell>
          <cell r="G37" t="str">
            <v>Ignez</v>
          </cell>
          <cell r="H37">
            <v>43891</v>
          </cell>
        </row>
        <row r="38">
          <cell r="C38" t="str">
            <v>Contribuição</v>
          </cell>
          <cell r="F38">
            <v>137</v>
          </cell>
          <cell r="G38" t="str">
            <v>Claudete</v>
          </cell>
          <cell r="H38">
            <v>43891</v>
          </cell>
        </row>
        <row r="39">
          <cell r="C39" t="str">
            <v>Pagamento</v>
          </cell>
          <cell r="F39">
            <v>959.02</v>
          </cell>
          <cell r="G39" t="str">
            <v>Claudete</v>
          </cell>
          <cell r="H39">
            <v>43922</v>
          </cell>
        </row>
        <row r="40">
          <cell r="C40" t="str">
            <v>Contribuição</v>
          </cell>
          <cell r="F40">
            <v>137</v>
          </cell>
          <cell r="G40" t="str">
            <v>Claudete</v>
          </cell>
          <cell r="H40">
            <v>43922</v>
          </cell>
        </row>
        <row r="41">
          <cell r="C41" t="str">
            <v>Depósito</v>
          </cell>
          <cell r="F41">
            <v>411</v>
          </cell>
          <cell r="G41" t="str">
            <v>Josimar</v>
          </cell>
        </row>
        <row r="42">
          <cell r="C42" t="str">
            <v>Contribuição</v>
          </cell>
          <cell r="F42">
            <v>137</v>
          </cell>
          <cell r="G42" t="str">
            <v>Josimar</v>
          </cell>
          <cell r="H42">
            <v>43922</v>
          </cell>
        </row>
        <row r="43">
          <cell r="C43" t="str">
            <v>Contribuição</v>
          </cell>
          <cell r="F43">
            <v>137</v>
          </cell>
          <cell r="G43" t="str">
            <v>João</v>
          </cell>
          <cell r="H43">
            <v>43922</v>
          </cell>
        </row>
        <row r="44">
          <cell r="C44" t="str">
            <v>Contribuição</v>
          </cell>
          <cell r="F44">
            <v>137</v>
          </cell>
          <cell r="G44" t="str">
            <v>Ignez</v>
          </cell>
          <cell r="H44">
            <v>43922</v>
          </cell>
        </row>
        <row r="45">
          <cell r="C45" t="str">
            <v>Pagamento</v>
          </cell>
          <cell r="F45">
            <v>992.02</v>
          </cell>
          <cell r="G45" t="str">
            <v>Claudete</v>
          </cell>
          <cell r="H45">
            <v>43952</v>
          </cell>
        </row>
        <row r="46">
          <cell r="C46" t="str">
            <v>Depósito</v>
          </cell>
          <cell r="F46">
            <v>497</v>
          </cell>
          <cell r="G46" t="str">
            <v>Marli</v>
          </cell>
        </row>
        <row r="47">
          <cell r="C47" t="str">
            <v>Contribuição</v>
          </cell>
          <cell r="F47">
            <v>137</v>
          </cell>
          <cell r="G47" t="str">
            <v>Marli</v>
          </cell>
          <cell r="H47">
            <v>43862</v>
          </cell>
        </row>
        <row r="48">
          <cell r="C48" t="str">
            <v>Contribuição</v>
          </cell>
          <cell r="F48">
            <v>137</v>
          </cell>
          <cell r="G48" t="str">
            <v>Marli</v>
          </cell>
          <cell r="H48">
            <v>43891</v>
          </cell>
        </row>
        <row r="49">
          <cell r="C49" t="str">
            <v>Contribuição</v>
          </cell>
          <cell r="F49">
            <v>137</v>
          </cell>
          <cell r="G49" t="str">
            <v>Marli</v>
          </cell>
          <cell r="H49">
            <v>43922</v>
          </cell>
        </row>
        <row r="50">
          <cell r="C50" t="str">
            <v>Contribuição</v>
          </cell>
          <cell r="F50">
            <v>23.31</v>
          </cell>
          <cell r="G50" t="str">
            <v>Marli</v>
          </cell>
          <cell r="H50">
            <v>43952</v>
          </cell>
        </row>
        <row r="51">
          <cell r="C51" t="str">
            <v>Contribuição</v>
          </cell>
          <cell r="F51">
            <v>62.69</v>
          </cell>
          <cell r="G51" t="str">
            <v>Marli</v>
          </cell>
          <cell r="H51">
            <v>43952</v>
          </cell>
        </row>
        <row r="52">
          <cell r="C52" t="str">
            <v>Depósito</v>
          </cell>
          <cell r="F52">
            <v>286</v>
          </cell>
          <cell r="G52" t="str">
            <v>Décio</v>
          </cell>
        </row>
        <row r="53">
          <cell r="C53" t="str">
            <v>Contribuição</v>
          </cell>
          <cell r="F53">
            <v>12</v>
          </cell>
          <cell r="G53" t="str">
            <v>Décio</v>
          </cell>
          <cell r="H53">
            <v>43862</v>
          </cell>
        </row>
        <row r="54">
          <cell r="C54" t="str">
            <v>Contribuição</v>
          </cell>
          <cell r="F54">
            <v>137</v>
          </cell>
          <cell r="G54" t="str">
            <v>Décio</v>
          </cell>
          <cell r="H54">
            <v>43891</v>
          </cell>
        </row>
        <row r="55">
          <cell r="C55" t="str">
            <v>Contribuição</v>
          </cell>
          <cell r="F55">
            <v>137</v>
          </cell>
          <cell r="G55" t="str">
            <v>Décio</v>
          </cell>
          <cell r="H55">
            <v>43922</v>
          </cell>
        </row>
        <row r="56">
          <cell r="C56" t="str">
            <v>Contribuição</v>
          </cell>
          <cell r="F56">
            <v>137</v>
          </cell>
          <cell r="G56" t="str">
            <v>Claudete</v>
          </cell>
          <cell r="H56">
            <v>43952</v>
          </cell>
        </row>
        <row r="57">
          <cell r="C57" t="str">
            <v>Contribuição</v>
          </cell>
          <cell r="F57">
            <v>9</v>
          </cell>
          <cell r="G57" t="str">
            <v>Claudete</v>
          </cell>
          <cell r="H57">
            <v>43952</v>
          </cell>
        </row>
        <row r="58">
          <cell r="C58" t="str">
            <v>Depósito</v>
          </cell>
          <cell r="F58">
            <v>426</v>
          </cell>
          <cell r="G58" t="str">
            <v>Josimar</v>
          </cell>
        </row>
        <row r="59">
          <cell r="C59" t="str">
            <v>Contribuição</v>
          </cell>
          <cell r="F59">
            <v>137</v>
          </cell>
          <cell r="G59" t="str">
            <v>Josimar</v>
          </cell>
          <cell r="H59">
            <v>43952</v>
          </cell>
        </row>
        <row r="60">
          <cell r="C60" t="str">
            <v>Contribuição</v>
          </cell>
          <cell r="F60">
            <v>5</v>
          </cell>
          <cell r="G60" t="str">
            <v>Josimar</v>
          </cell>
          <cell r="H60">
            <v>43952</v>
          </cell>
        </row>
        <row r="61">
          <cell r="C61" t="str">
            <v>Contribuição</v>
          </cell>
          <cell r="F61">
            <v>137</v>
          </cell>
          <cell r="G61" t="str">
            <v>João</v>
          </cell>
          <cell r="H61">
            <v>43952</v>
          </cell>
        </row>
        <row r="62">
          <cell r="C62" t="str">
            <v>Contribuição</v>
          </cell>
          <cell r="F62">
            <v>5</v>
          </cell>
          <cell r="G62" t="str">
            <v>João</v>
          </cell>
          <cell r="H62">
            <v>43952</v>
          </cell>
        </row>
        <row r="63">
          <cell r="C63" t="str">
            <v>Contribuição</v>
          </cell>
          <cell r="F63">
            <v>137</v>
          </cell>
          <cell r="G63" t="str">
            <v>Ignez</v>
          </cell>
          <cell r="H63">
            <v>43952</v>
          </cell>
        </row>
        <row r="64">
          <cell r="C64" t="str">
            <v>Contribuição</v>
          </cell>
          <cell r="F64">
            <v>5</v>
          </cell>
          <cell r="G64" t="str">
            <v>Ignez</v>
          </cell>
          <cell r="H64">
            <v>43952</v>
          </cell>
        </row>
        <row r="65">
          <cell r="C65" t="str">
            <v>Depósito</v>
          </cell>
          <cell r="F65">
            <v>137</v>
          </cell>
          <cell r="G65" t="str">
            <v>Décio</v>
          </cell>
        </row>
        <row r="66">
          <cell r="C66" t="str">
            <v>Contribuição</v>
          </cell>
          <cell r="F66">
            <v>137</v>
          </cell>
          <cell r="G66" t="str">
            <v>Décio</v>
          </cell>
          <cell r="H66">
            <v>43952</v>
          </cell>
        </row>
        <row r="67">
          <cell r="C67" t="str">
            <v>Depósito</v>
          </cell>
          <cell r="F67">
            <v>137</v>
          </cell>
          <cell r="G67" t="str">
            <v>Rosane</v>
          </cell>
        </row>
        <row r="68">
          <cell r="C68" t="str">
            <v>Contribuição</v>
          </cell>
          <cell r="F68">
            <v>84.31</v>
          </cell>
          <cell r="G68" t="str">
            <v>Rosane</v>
          </cell>
          <cell r="H68">
            <v>43952</v>
          </cell>
        </row>
        <row r="69">
          <cell r="C69" t="str">
            <v>Contribuição</v>
          </cell>
          <cell r="F69">
            <v>9</v>
          </cell>
          <cell r="G69" t="str">
            <v>Rosane</v>
          </cell>
          <cell r="H69">
            <v>43952</v>
          </cell>
        </row>
        <row r="70">
          <cell r="C70" t="str">
            <v>Contribuição</v>
          </cell>
          <cell r="F70">
            <v>43.69</v>
          </cell>
          <cell r="G70" t="str">
            <v>Rosane</v>
          </cell>
          <cell r="H70">
            <v>43983</v>
          </cell>
        </row>
        <row r="71">
          <cell r="C71" t="str">
            <v>Pagamento</v>
          </cell>
          <cell r="F71">
            <v>959.02</v>
          </cell>
          <cell r="G71" t="str">
            <v>Claudete</v>
          </cell>
          <cell r="H71">
            <v>43983</v>
          </cell>
        </row>
        <row r="72">
          <cell r="C72" t="str">
            <v>Depósito</v>
          </cell>
          <cell r="F72">
            <v>302</v>
          </cell>
          <cell r="G72" t="str">
            <v>Josimar</v>
          </cell>
          <cell r="H72">
            <v>43983</v>
          </cell>
        </row>
        <row r="73">
          <cell r="C73" t="str">
            <v>Contribuição</v>
          </cell>
          <cell r="F73">
            <v>137</v>
          </cell>
          <cell r="G73" t="str">
            <v>Josimar</v>
          </cell>
          <cell r="H73">
            <v>43983</v>
          </cell>
        </row>
        <row r="74">
          <cell r="C74" t="str">
            <v>Contribuição</v>
          </cell>
          <cell r="F74">
            <v>137</v>
          </cell>
          <cell r="G74" t="str">
            <v>João</v>
          </cell>
          <cell r="H74">
            <v>43983</v>
          </cell>
        </row>
        <row r="75">
          <cell r="C75" t="str">
            <v>Contribuição</v>
          </cell>
          <cell r="F75">
            <v>28</v>
          </cell>
          <cell r="G75" t="str">
            <v>Josimar</v>
          </cell>
          <cell r="H75">
            <v>44013</v>
          </cell>
        </row>
        <row r="76">
          <cell r="C76" t="str">
            <v>Contribuição</v>
          </cell>
          <cell r="F76">
            <v>274</v>
          </cell>
          <cell r="G76" t="str">
            <v>Claudete</v>
          </cell>
          <cell r="H76">
            <v>43983</v>
          </cell>
        </row>
        <row r="77">
          <cell r="C77" t="str">
            <v>Depósito</v>
          </cell>
          <cell r="F77">
            <v>137</v>
          </cell>
          <cell r="G77" t="str">
            <v>Décio</v>
          </cell>
        </row>
        <row r="78">
          <cell r="C78" t="str">
            <v>Contribuição</v>
          </cell>
          <cell r="F78">
            <v>137</v>
          </cell>
          <cell r="G78" t="str">
            <v>Décio</v>
          </cell>
          <cell r="H78">
            <v>43983</v>
          </cell>
        </row>
        <row r="79">
          <cell r="C79" t="str">
            <v>Depósito</v>
          </cell>
          <cell r="F79">
            <v>84</v>
          </cell>
          <cell r="G79" t="str">
            <v>Marli</v>
          </cell>
        </row>
        <row r="80">
          <cell r="C80" t="str">
            <v>Contribuição</v>
          </cell>
          <cell r="F80">
            <v>51</v>
          </cell>
          <cell r="G80" t="str">
            <v>Marli</v>
          </cell>
          <cell r="H80">
            <v>43952</v>
          </cell>
        </row>
        <row r="81">
          <cell r="C81" t="str">
            <v>Contribuição</v>
          </cell>
          <cell r="F81">
            <v>33</v>
          </cell>
          <cell r="G81" t="str">
            <v>Marli</v>
          </cell>
          <cell r="H81">
            <v>43983</v>
          </cell>
        </row>
        <row r="82">
          <cell r="C82" t="str">
            <v>Depósito</v>
          </cell>
          <cell r="F82">
            <v>84.31</v>
          </cell>
          <cell r="G82" t="str">
            <v>Rosane</v>
          </cell>
        </row>
        <row r="83">
          <cell r="C83" t="str">
            <v>Contribuição</v>
          </cell>
          <cell r="F83">
            <v>84.31</v>
          </cell>
          <cell r="G83" t="str">
            <v>Rosane</v>
          </cell>
          <cell r="H83">
            <v>43983</v>
          </cell>
        </row>
        <row r="84">
          <cell r="C84" t="str">
            <v>Pagamento</v>
          </cell>
          <cell r="F84">
            <v>959.02</v>
          </cell>
          <cell r="G84" t="str">
            <v>Claudete</v>
          </cell>
          <cell r="H84">
            <v>44013</v>
          </cell>
        </row>
        <row r="85">
          <cell r="C85" t="str">
            <v>Depósito</v>
          </cell>
          <cell r="F85">
            <v>300.5</v>
          </cell>
          <cell r="G85" t="str">
            <v>Josimar</v>
          </cell>
        </row>
        <row r="86">
          <cell r="C86" t="str">
            <v>Contribuição</v>
          </cell>
          <cell r="F86">
            <v>137</v>
          </cell>
          <cell r="G86" t="str">
            <v>Josimar</v>
          </cell>
          <cell r="H86">
            <v>44013</v>
          </cell>
        </row>
        <row r="87">
          <cell r="C87" t="str">
            <v>Contribuição</v>
          </cell>
          <cell r="F87">
            <v>137</v>
          </cell>
          <cell r="G87" t="str">
            <v>João</v>
          </cell>
          <cell r="H87">
            <v>44013</v>
          </cell>
        </row>
        <row r="88">
          <cell r="C88" t="str">
            <v>Contribuição</v>
          </cell>
          <cell r="F88">
            <v>26.5</v>
          </cell>
          <cell r="G88" t="str">
            <v>Josimar</v>
          </cell>
          <cell r="H88">
            <v>44044</v>
          </cell>
        </row>
        <row r="89">
          <cell r="C89" t="str">
            <v>Depósito</v>
          </cell>
          <cell r="F89">
            <v>137</v>
          </cell>
          <cell r="G89" t="str">
            <v>Rosane</v>
          </cell>
        </row>
        <row r="90">
          <cell r="C90" t="str">
            <v>Contribuição</v>
          </cell>
          <cell r="F90">
            <v>137</v>
          </cell>
          <cell r="G90" t="str">
            <v>Rosane</v>
          </cell>
          <cell r="H90">
            <v>44013</v>
          </cell>
        </row>
        <row r="91">
          <cell r="C91" t="str">
            <v>Contribuição</v>
          </cell>
          <cell r="F91">
            <v>274</v>
          </cell>
          <cell r="G91" t="str">
            <v>Claudete</v>
          </cell>
          <cell r="H91">
            <v>44013</v>
          </cell>
        </row>
        <row r="92">
          <cell r="C92" t="str">
            <v>Depósito</v>
          </cell>
          <cell r="F92">
            <v>137</v>
          </cell>
          <cell r="G92" t="str">
            <v>Décio</v>
          </cell>
        </row>
        <row r="93">
          <cell r="C93" t="str">
            <v>Contribuição</v>
          </cell>
          <cell r="F93">
            <v>137</v>
          </cell>
          <cell r="G93" t="str">
            <v>Décio</v>
          </cell>
          <cell r="H93">
            <v>44013</v>
          </cell>
        </row>
        <row r="94">
          <cell r="C94" t="str">
            <v>Pagamento</v>
          </cell>
          <cell r="F94">
            <v>959.02</v>
          </cell>
          <cell r="G94" t="str">
            <v>Claudete</v>
          </cell>
          <cell r="H94">
            <v>44044</v>
          </cell>
        </row>
        <row r="95">
          <cell r="C95" t="str">
            <v>Depósito</v>
          </cell>
          <cell r="F95">
            <v>302</v>
          </cell>
          <cell r="G95" t="str">
            <v>Josimar</v>
          </cell>
        </row>
        <row r="96">
          <cell r="C96" t="str">
            <v>Contribuição</v>
          </cell>
          <cell r="F96">
            <v>137</v>
          </cell>
          <cell r="G96" t="str">
            <v>Josimar</v>
          </cell>
          <cell r="H96">
            <v>44044</v>
          </cell>
        </row>
        <row r="97">
          <cell r="C97" t="str">
            <v>Contribuição</v>
          </cell>
          <cell r="F97">
            <v>137</v>
          </cell>
          <cell r="G97" t="str">
            <v>João</v>
          </cell>
          <cell r="H97">
            <v>44044</v>
          </cell>
        </row>
        <row r="98">
          <cell r="C98" t="str">
            <v>Contribuição</v>
          </cell>
          <cell r="F98">
            <v>28</v>
          </cell>
          <cell r="G98" t="str">
            <v>Josimar</v>
          </cell>
          <cell r="H98">
            <v>44075</v>
          </cell>
        </row>
        <row r="99">
          <cell r="C99" t="str">
            <v>Depósito</v>
          </cell>
          <cell r="F99">
            <v>137</v>
          </cell>
          <cell r="G99" t="str">
            <v>Rosane</v>
          </cell>
        </row>
        <row r="100">
          <cell r="C100" t="str">
            <v>Contribuição</v>
          </cell>
          <cell r="F100">
            <v>274</v>
          </cell>
          <cell r="G100" t="str">
            <v>Claudete</v>
          </cell>
          <cell r="H100">
            <v>44044</v>
          </cell>
        </row>
        <row r="101">
          <cell r="C101" t="str">
            <v>Contribuição</v>
          </cell>
          <cell r="F101">
            <v>137</v>
          </cell>
          <cell r="G101" t="str">
            <v>Rosane</v>
          </cell>
          <cell r="H101">
            <v>44044</v>
          </cell>
        </row>
        <row r="102">
          <cell r="C102" t="str">
            <v>Depósito</v>
          </cell>
          <cell r="F102">
            <v>274</v>
          </cell>
          <cell r="G102" t="str">
            <v>Marli</v>
          </cell>
        </row>
        <row r="103">
          <cell r="C103" t="str">
            <v>Contribuição</v>
          </cell>
          <cell r="F103">
            <v>137</v>
          </cell>
          <cell r="G103" t="str">
            <v>Marli</v>
          </cell>
          <cell r="H103">
            <v>44013</v>
          </cell>
        </row>
        <row r="104">
          <cell r="C104" t="str">
            <v>Contribuição</v>
          </cell>
          <cell r="F104">
            <v>137</v>
          </cell>
          <cell r="G104" t="str">
            <v>Marli</v>
          </cell>
          <cell r="H104">
            <v>44044</v>
          </cell>
        </row>
        <row r="105">
          <cell r="C105" t="str">
            <v>Depósito</v>
          </cell>
          <cell r="F105">
            <v>74.31</v>
          </cell>
          <cell r="G105" t="str">
            <v>Marli</v>
          </cell>
        </row>
        <row r="106">
          <cell r="C106" t="str">
            <v>Contribuição</v>
          </cell>
          <cell r="F106">
            <v>74.31</v>
          </cell>
          <cell r="G106" t="str">
            <v>Marli</v>
          </cell>
          <cell r="H106">
            <v>43983</v>
          </cell>
        </row>
        <row r="107">
          <cell r="C107" t="str">
            <v>Depósito</v>
          </cell>
          <cell r="F107">
            <v>137</v>
          </cell>
          <cell r="G107" t="str">
            <v>Décio</v>
          </cell>
        </row>
        <row r="108">
          <cell r="C108" t="str">
            <v>Contribuição</v>
          </cell>
          <cell r="F108">
            <v>137</v>
          </cell>
          <cell r="G108" t="str">
            <v>Décio</v>
          </cell>
          <cell r="H108">
            <v>44044</v>
          </cell>
        </row>
        <row r="109">
          <cell r="C109" t="str">
            <v>Pagamento</v>
          </cell>
          <cell r="F109">
            <v>1143.82</v>
          </cell>
          <cell r="G109" t="str">
            <v>Claudete</v>
          </cell>
          <cell r="H109">
            <v>44075</v>
          </cell>
        </row>
        <row r="110">
          <cell r="C110" t="str">
            <v>Contribuição</v>
          </cell>
          <cell r="F110">
            <v>274</v>
          </cell>
          <cell r="G110" t="str">
            <v>Claudete</v>
          </cell>
          <cell r="H110">
            <v>44075</v>
          </cell>
        </row>
        <row r="111">
          <cell r="C111" t="str">
            <v>Contribuição</v>
          </cell>
          <cell r="F111">
            <v>184.84</v>
          </cell>
          <cell r="G111" t="str">
            <v>Claudete</v>
          </cell>
          <cell r="H111">
            <v>44075</v>
          </cell>
        </row>
        <row r="112">
          <cell r="C112" t="str">
            <v>Depósito</v>
          </cell>
          <cell r="F112">
            <v>137</v>
          </cell>
          <cell r="G112" t="str">
            <v>Rosane</v>
          </cell>
        </row>
        <row r="113">
          <cell r="C113" t="str">
            <v>Contribuição</v>
          </cell>
          <cell r="F113">
            <v>137</v>
          </cell>
          <cell r="G113" t="str">
            <v>Rosane</v>
          </cell>
          <cell r="H113">
            <v>44075</v>
          </cell>
        </row>
        <row r="114">
          <cell r="C114" t="str">
            <v>Depósito</v>
          </cell>
          <cell r="F114">
            <v>137</v>
          </cell>
          <cell r="G114" t="str">
            <v>Marli</v>
          </cell>
        </row>
        <row r="115">
          <cell r="C115" t="str">
            <v>Contribuição</v>
          </cell>
          <cell r="F115">
            <v>137</v>
          </cell>
          <cell r="G115" t="str">
            <v>Marli</v>
          </cell>
          <cell r="H115">
            <v>44075</v>
          </cell>
        </row>
        <row r="116">
          <cell r="C116" t="str">
            <v>Depósito</v>
          </cell>
          <cell r="G116" t="str">
            <v>Josimar</v>
          </cell>
          <cell r="H116">
            <v>44075</v>
          </cell>
        </row>
        <row r="117">
          <cell r="C117" t="str">
            <v>Contribuição</v>
          </cell>
          <cell r="G117" t="str">
            <v>Josimar</v>
          </cell>
        </row>
        <row r="118">
          <cell r="C118" t="str">
            <v>Contribuição</v>
          </cell>
          <cell r="G118" t="str">
            <v>João</v>
          </cell>
        </row>
        <row r="119">
          <cell r="C119" t="str">
            <v>Pagamento</v>
          </cell>
          <cell r="F119">
            <v>937.68</v>
          </cell>
          <cell r="G119" t="str">
            <v>Claudete</v>
          </cell>
          <cell r="H119">
            <v>44105</v>
          </cell>
        </row>
        <row r="120">
          <cell r="C120" t="str">
            <v>Contribuição</v>
          </cell>
          <cell r="F120">
            <v>89.16</v>
          </cell>
          <cell r="G120" t="str">
            <v>Claudete</v>
          </cell>
          <cell r="H120">
            <v>44105</v>
          </cell>
        </row>
        <row r="121">
          <cell r="C121" t="str">
            <v>Depósito</v>
          </cell>
          <cell r="F121">
            <v>680</v>
          </cell>
          <cell r="G121" t="str">
            <v>Josimar</v>
          </cell>
        </row>
        <row r="122">
          <cell r="C122" t="str">
            <v>Contribuição</v>
          </cell>
          <cell r="F122">
            <v>137</v>
          </cell>
          <cell r="G122" t="str">
            <v>Josimar</v>
          </cell>
          <cell r="H122">
            <v>44105</v>
          </cell>
        </row>
        <row r="123">
          <cell r="C123" t="str">
            <v>Contribuição</v>
          </cell>
          <cell r="F123">
            <v>137</v>
          </cell>
          <cell r="G123" t="str">
            <v>João</v>
          </cell>
          <cell r="H123">
            <v>44105</v>
          </cell>
        </row>
        <row r="124">
          <cell r="C124" t="str">
            <v>Coparticipação</v>
          </cell>
          <cell r="F124">
            <v>163.5</v>
          </cell>
          <cell r="G124" t="str">
            <v>Ignez</v>
          </cell>
          <cell r="H124">
            <v>44105</v>
          </cell>
        </row>
        <row r="125">
          <cell r="C125" t="str">
            <v>Depósito</v>
          </cell>
          <cell r="F125">
            <v>137</v>
          </cell>
          <cell r="G125" t="str">
            <v>Rosane</v>
          </cell>
        </row>
        <row r="126">
          <cell r="C126" t="str">
            <v>Contribuição</v>
          </cell>
          <cell r="F126">
            <v>137</v>
          </cell>
          <cell r="G126" t="str">
            <v>Rosane</v>
          </cell>
          <cell r="H126">
            <v>44105</v>
          </cell>
        </row>
        <row r="127">
          <cell r="C127" t="str">
            <v>Depósito</v>
          </cell>
          <cell r="F127">
            <v>268</v>
          </cell>
          <cell r="G127" t="str">
            <v>Décio</v>
          </cell>
        </row>
        <row r="128">
          <cell r="C128" t="str">
            <v>Contribuição</v>
          </cell>
          <cell r="F128">
            <v>131</v>
          </cell>
          <cell r="G128" t="str">
            <v>Décio</v>
          </cell>
          <cell r="H128">
            <v>44075</v>
          </cell>
        </row>
        <row r="129">
          <cell r="C129" t="str">
            <v>Contribuição</v>
          </cell>
          <cell r="F129">
            <v>137</v>
          </cell>
          <cell r="G129" t="str">
            <v>Décio</v>
          </cell>
          <cell r="H129">
            <v>44105</v>
          </cell>
        </row>
        <row r="130">
          <cell r="C130" t="str">
            <v>Pagamento</v>
          </cell>
          <cell r="F130">
            <v>1211.23</v>
          </cell>
          <cell r="G130" t="str">
            <v>Claudete</v>
          </cell>
          <cell r="H130">
            <v>44136</v>
          </cell>
        </row>
        <row r="131">
          <cell r="C131" t="str">
            <v>Contribuição</v>
          </cell>
          <cell r="F131">
            <v>274</v>
          </cell>
          <cell r="G131" t="str">
            <v>Claudete</v>
          </cell>
          <cell r="H131">
            <v>44136</v>
          </cell>
        </row>
        <row r="132">
          <cell r="C132" t="str">
            <v>Depósito</v>
          </cell>
          <cell r="F132">
            <v>552</v>
          </cell>
          <cell r="G132" t="str">
            <v>Josimar</v>
          </cell>
        </row>
        <row r="133">
          <cell r="C133" t="str">
            <v>Contribuição</v>
          </cell>
          <cell r="F133">
            <v>137</v>
          </cell>
          <cell r="G133" t="str">
            <v>Josimar</v>
          </cell>
          <cell r="H133">
            <v>44136</v>
          </cell>
        </row>
        <row r="134">
          <cell r="C134" t="str">
            <v>Contribuição</v>
          </cell>
          <cell r="F134">
            <v>137</v>
          </cell>
          <cell r="G134" t="str">
            <v>João</v>
          </cell>
          <cell r="H134">
            <v>44136</v>
          </cell>
        </row>
        <row r="135">
          <cell r="C135" t="str">
            <v>Coparticipação</v>
          </cell>
          <cell r="F135">
            <v>252.21</v>
          </cell>
          <cell r="G135" t="str">
            <v>Ignez</v>
          </cell>
          <cell r="H135">
            <v>44136</v>
          </cell>
        </row>
        <row r="136">
          <cell r="C136" t="str">
            <v>Depósito</v>
          </cell>
          <cell r="F136">
            <v>137</v>
          </cell>
          <cell r="G136" t="str">
            <v>Rosane</v>
          </cell>
        </row>
        <row r="137">
          <cell r="C137" t="str">
            <v>Contribuição</v>
          </cell>
          <cell r="F137">
            <v>137</v>
          </cell>
          <cell r="G137" t="str">
            <v>Rosane</v>
          </cell>
          <cell r="H137">
            <v>44136</v>
          </cell>
        </row>
        <row r="138">
          <cell r="C138" t="str">
            <v>Depósito</v>
          </cell>
          <cell r="F138">
            <v>274</v>
          </cell>
          <cell r="G138" t="str">
            <v>Marli</v>
          </cell>
        </row>
        <row r="139">
          <cell r="C139" t="str">
            <v>Contribuição</v>
          </cell>
          <cell r="F139">
            <v>137</v>
          </cell>
          <cell r="G139" t="str">
            <v>Marli</v>
          </cell>
          <cell r="H139">
            <v>44105</v>
          </cell>
        </row>
        <row r="140">
          <cell r="C140" t="str">
            <v>Contribuição</v>
          </cell>
          <cell r="F140">
            <v>137</v>
          </cell>
          <cell r="G140" t="str">
            <v>Marli</v>
          </cell>
          <cell r="H140">
            <v>44136</v>
          </cell>
        </row>
        <row r="141">
          <cell r="C141" t="str">
            <v>Depósito</v>
          </cell>
          <cell r="F141">
            <v>137</v>
          </cell>
          <cell r="G141" t="str">
            <v>Décio</v>
          </cell>
        </row>
        <row r="142">
          <cell r="C142" t="str">
            <v>Contribuição</v>
          </cell>
          <cell r="F142">
            <v>137</v>
          </cell>
          <cell r="G142" t="str">
            <v>Décio</v>
          </cell>
          <cell r="H142">
            <v>44136</v>
          </cell>
        </row>
        <row r="143">
          <cell r="C143" t="str">
            <v>Pagamento</v>
          </cell>
          <cell r="F143">
            <v>1028.82</v>
          </cell>
          <cell r="G143" t="str">
            <v>Claudete</v>
          </cell>
          <cell r="H143">
            <v>44166</v>
          </cell>
        </row>
        <row r="144">
          <cell r="C144" t="str">
            <v>Contribuição</v>
          </cell>
          <cell r="F144">
            <v>274</v>
          </cell>
          <cell r="G144" t="str">
            <v>Claudete</v>
          </cell>
          <cell r="H144">
            <v>44166</v>
          </cell>
        </row>
        <row r="145">
          <cell r="C145" t="str">
            <v>Depósito</v>
          </cell>
          <cell r="F145">
            <v>137</v>
          </cell>
          <cell r="G145" t="str">
            <v>Décio</v>
          </cell>
        </row>
        <row r="146">
          <cell r="C146" t="str">
            <v>Contribuição</v>
          </cell>
          <cell r="F146">
            <v>137</v>
          </cell>
          <cell r="G146" t="str">
            <v>Décio</v>
          </cell>
          <cell r="H146">
            <v>44166</v>
          </cell>
        </row>
        <row r="147">
          <cell r="C147" t="str">
            <v>Depósito</v>
          </cell>
          <cell r="F147">
            <v>137</v>
          </cell>
          <cell r="G147" t="str">
            <v>Rosane</v>
          </cell>
        </row>
        <row r="148">
          <cell r="C148" t="str">
            <v>Contribuição</v>
          </cell>
          <cell r="F148">
            <v>137</v>
          </cell>
          <cell r="G148" t="str">
            <v>Rosane</v>
          </cell>
          <cell r="H148">
            <v>44166</v>
          </cell>
        </row>
        <row r="149">
          <cell r="C149" t="str">
            <v>Depósito</v>
          </cell>
          <cell r="F149">
            <v>343</v>
          </cell>
          <cell r="G149" t="str">
            <v>Josimar</v>
          </cell>
        </row>
        <row r="150">
          <cell r="C150" t="str">
            <v>Contribuição</v>
          </cell>
          <cell r="F150">
            <v>137</v>
          </cell>
          <cell r="G150" t="str">
            <v>Josimar</v>
          </cell>
          <cell r="H150">
            <v>44166</v>
          </cell>
        </row>
        <row r="151">
          <cell r="C151" t="str">
            <v>Contribuição</v>
          </cell>
          <cell r="F151">
            <v>137</v>
          </cell>
          <cell r="G151" t="str">
            <v>Josimar</v>
          </cell>
          <cell r="H151">
            <v>44166</v>
          </cell>
        </row>
        <row r="152">
          <cell r="C152" t="str">
            <v>Coparticipação</v>
          </cell>
          <cell r="F152">
            <v>69</v>
          </cell>
          <cell r="G152" t="str">
            <v>Ignez</v>
          </cell>
          <cell r="H152">
            <v>44166</v>
          </cell>
        </row>
        <row r="153">
          <cell r="C153" t="str">
            <v>Depósito</v>
          </cell>
          <cell r="F153">
            <v>137</v>
          </cell>
          <cell r="G153" t="str">
            <v>Marli</v>
          </cell>
        </row>
        <row r="154">
          <cell r="C154" t="str">
            <v>Contribuição</v>
          </cell>
          <cell r="F154">
            <v>137</v>
          </cell>
          <cell r="G154" t="str">
            <v>Marli</v>
          </cell>
          <cell r="H154">
            <v>44166</v>
          </cell>
        </row>
        <row r="155">
          <cell r="C155" t="str">
            <v>Pagamento</v>
          </cell>
          <cell r="F155">
            <v>1295.54</v>
          </cell>
          <cell r="G155" t="str">
            <v>Claudete</v>
          </cell>
          <cell r="H155">
            <v>44197</v>
          </cell>
        </row>
        <row r="156">
          <cell r="C156" t="str">
            <v>Contribuição</v>
          </cell>
          <cell r="F156">
            <v>172.5</v>
          </cell>
          <cell r="G156" t="str">
            <v>Claudete</v>
          </cell>
          <cell r="H156">
            <v>44197</v>
          </cell>
        </row>
        <row r="157">
          <cell r="C157" t="str">
            <v>Depósito</v>
          </cell>
          <cell r="F157">
            <v>345</v>
          </cell>
          <cell r="G157" t="str">
            <v>Josimar</v>
          </cell>
        </row>
        <row r="158">
          <cell r="C158" t="str">
            <v>Contribuição</v>
          </cell>
          <cell r="F158">
            <v>172.5</v>
          </cell>
          <cell r="G158" t="str">
            <v>Josimar</v>
          </cell>
          <cell r="H158">
            <v>44197</v>
          </cell>
        </row>
        <row r="159">
          <cell r="C159" t="str">
            <v>Contribuição</v>
          </cell>
          <cell r="F159">
            <v>172.5</v>
          </cell>
          <cell r="G159" t="str">
            <v>João</v>
          </cell>
          <cell r="H159">
            <v>44197</v>
          </cell>
        </row>
        <row r="160">
          <cell r="C160" t="str">
            <v>Depósito</v>
          </cell>
          <cell r="F160">
            <v>374.5</v>
          </cell>
          <cell r="G160" t="str">
            <v>Décio</v>
          </cell>
        </row>
        <row r="161">
          <cell r="C161" t="str">
            <v>Contribuição</v>
          </cell>
          <cell r="F161">
            <v>172.5</v>
          </cell>
          <cell r="G161" t="str">
            <v>Décio</v>
          </cell>
          <cell r="H161">
            <v>44197</v>
          </cell>
        </row>
        <row r="162">
          <cell r="C162" t="str">
            <v>Contribuição</v>
          </cell>
          <cell r="F162">
            <v>172.5</v>
          </cell>
          <cell r="G162" t="str">
            <v>Ignez</v>
          </cell>
          <cell r="H162">
            <v>44197</v>
          </cell>
        </row>
        <row r="163">
          <cell r="C163" t="str">
            <v>Coparticipação</v>
          </cell>
          <cell r="F163">
            <v>29.5</v>
          </cell>
          <cell r="G163" t="str">
            <v>Ignez</v>
          </cell>
          <cell r="H163">
            <v>44197</v>
          </cell>
        </row>
        <row r="164">
          <cell r="C164" t="str">
            <v>Depósito</v>
          </cell>
          <cell r="F164">
            <v>172.5</v>
          </cell>
          <cell r="G164" t="str">
            <v>Rosane</v>
          </cell>
        </row>
        <row r="165">
          <cell r="C165" t="str">
            <v>Contribuição</v>
          </cell>
          <cell r="F165">
            <v>172.5</v>
          </cell>
          <cell r="G165" t="str">
            <v>Rosane</v>
          </cell>
          <cell r="H165">
            <v>44197</v>
          </cell>
        </row>
        <row r="166">
          <cell r="C166" t="str">
            <v>Depósito</v>
          </cell>
          <cell r="G166" t="str">
            <v>Marli</v>
          </cell>
        </row>
        <row r="167">
          <cell r="C167" t="str">
            <v>Contribuição</v>
          </cell>
          <cell r="G167" t="str">
            <v>Marli</v>
          </cell>
          <cell r="H167">
            <v>43983</v>
          </cell>
        </row>
        <row r="168">
          <cell r="C168" t="str">
            <v>Pagamento</v>
          </cell>
          <cell r="G168" t="str">
            <v>Claudete</v>
          </cell>
          <cell r="H168">
            <v>44228</v>
          </cell>
        </row>
        <row r="169">
          <cell r="C169" t="str">
            <v>Contribuição</v>
          </cell>
          <cell r="F169">
            <v>172.5</v>
          </cell>
          <cell r="G169" t="str">
            <v>Claudete</v>
          </cell>
          <cell r="H169">
            <v>44228</v>
          </cell>
        </row>
        <row r="170">
          <cell r="C170" t="str">
            <v>Depósito</v>
          </cell>
          <cell r="G170" t="str">
            <v>Josimar</v>
          </cell>
        </row>
        <row r="171">
          <cell r="C171" t="str">
            <v>Contribuição</v>
          </cell>
          <cell r="G171" t="str">
            <v>Josimar</v>
          </cell>
          <cell r="H171">
            <v>44228</v>
          </cell>
        </row>
        <row r="172">
          <cell r="C172" t="str">
            <v>Contribuição</v>
          </cell>
          <cell r="G172" t="str">
            <v>João</v>
          </cell>
          <cell r="H172">
            <v>44228</v>
          </cell>
        </row>
        <row r="173">
          <cell r="C173" t="str">
            <v>Depósito</v>
          </cell>
          <cell r="G173" t="str">
            <v>Décio</v>
          </cell>
        </row>
        <row r="174">
          <cell r="C174" t="str">
            <v>Contribuição</v>
          </cell>
          <cell r="G174" t="str">
            <v>Décio</v>
          </cell>
          <cell r="H174">
            <v>44228</v>
          </cell>
        </row>
        <row r="175">
          <cell r="C175" t="str">
            <v>Contribuição</v>
          </cell>
          <cell r="G175" t="str">
            <v>Ignez</v>
          </cell>
          <cell r="H175">
            <v>44228</v>
          </cell>
        </row>
        <row r="176">
          <cell r="C176" t="str">
            <v>Coparticipação</v>
          </cell>
          <cell r="G176" t="str">
            <v>Ignez</v>
          </cell>
          <cell r="H176">
            <v>44228</v>
          </cell>
        </row>
        <row r="177">
          <cell r="C177" t="str">
            <v>Depósito</v>
          </cell>
          <cell r="G177" t="str">
            <v>Rosane</v>
          </cell>
        </row>
        <row r="178">
          <cell r="C178" t="str">
            <v>Contribuição</v>
          </cell>
          <cell r="G178" t="str">
            <v>Rosane</v>
          </cell>
          <cell r="H178">
            <v>44228</v>
          </cell>
        </row>
        <row r="179">
          <cell r="C179" t="str">
            <v>Depósito</v>
          </cell>
          <cell r="G179" t="str">
            <v>Marli</v>
          </cell>
        </row>
        <row r="180">
          <cell r="C180" t="str">
            <v>Contribuição</v>
          </cell>
          <cell r="G180" t="str">
            <v>Marli</v>
          </cell>
          <cell r="H180">
            <v>44210</v>
          </cell>
        </row>
        <row r="181">
          <cell r="C181" t="str">
            <v>Pagamento</v>
          </cell>
          <cell r="G181" t="str">
            <v>Claudete</v>
          </cell>
          <cell r="H181">
            <v>44256</v>
          </cell>
        </row>
        <row r="182">
          <cell r="C182" t="str">
            <v>Contribuição</v>
          </cell>
          <cell r="F182">
            <v>172.5</v>
          </cell>
          <cell r="G182" t="str">
            <v>Claudete</v>
          </cell>
          <cell r="H182">
            <v>44256</v>
          </cell>
        </row>
        <row r="183">
          <cell r="C183" t="str">
            <v>Depósito</v>
          </cell>
          <cell r="G183" t="str">
            <v>Josimar</v>
          </cell>
        </row>
        <row r="184">
          <cell r="C184" t="str">
            <v>Contribuição</v>
          </cell>
          <cell r="G184" t="str">
            <v>Josimar</v>
          </cell>
          <cell r="H184">
            <v>44256</v>
          </cell>
        </row>
        <row r="185">
          <cell r="C185" t="str">
            <v>Contribuição</v>
          </cell>
          <cell r="G185" t="str">
            <v>João</v>
          </cell>
          <cell r="H185">
            <v>44256</v>
          </cell>
        </row>
        <row r="186">
          <cell r="C186" t="str">
            <v>Depósito</v>
          </cell>
          <cell r="G186" t="str">
            <v>Décio</v>
          </cell>
        </row>
        <row r="187">
          <cell r="C187" t="str">
            <v>Contribuição</v>
          </cell>
          <cell r="G187" t="str">
            <v>Décio</v>
          </cell>
          <cell r="H187">
            <v>44256</v>
          </cell>
        </row>
        <row r="188">
          <cell r="C188" t="str">
            <v>Contribuição</v>
          </cell>
          <cell r="G188" t="str">
            <v>Ignez</v>
          </cell>
          <cell r="H188">
            <v>44256</v>
          </cell>
        </row>
        <row r="189">
          <cell r="C189" t="str">
            <v>Coparticipação</v>
          </cell>
          <cell r="G189" t="str">
            <v>Ignez</v>
          </cell>
          <cell r="H189">
            <v>44256</v>
          </cell>
        </row>
        <row r="190">
          <cell r="C190" t="str">
            <v>Depósito</v>
          </cell>
          <cell r="G190" t="str">
            <v>Rosane</v>
          </cell>
        </row>
        <row r="191">
          <cell r="C191" t="str">
            <v>Contribuição</v>
          </cell>
          <cell r="G191" t="str">
            <v>Rosane</v>
          </cell>
          <cell r="H191">
            <v>44256</v>
          </cell>
        </row>
        <row r="192">
          <cell r="C192" t="str">
            <v>Depósito</v>
          </cell>
          <cell r="G192" t="str">
            <v>Marli</v>
          </cell>
        </row>
        <row r="193">
          <cell r="C193" t="str">
            <v>Contribuição</v>
          </cell>
          <cell r="G193" t="str">
            <v>Marli</v>
          </cell>
          <cell r="H193">
            <v>44228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Tabela5" displayName="Tabela5" ref="B20:AG369" totalsRowShown="0">
  <tableColumns count="32">
    <tableColumn id="1" name="Produto Original" dataDxfId="65"/>
    <tableColumn id="4" name="Inativo" dataDxfId="64"/>
    <tableColumn id="5" name="Produto" dataDxfId="63"/>
    <tableColumn id="6" name="Tipo" dataDxfId="62"/>
    <tableColumn id="7" name="Modelo" dataDxfId="61"/>
    <tableColumn id="8" name="Descrição" dataDxfId="60"/>
    <tableColumn id="2" name="Marca" dataDxfId="59"/>
    <tableColumn id="3" name="Categoria" dataDxfId="58"/>
    <tableColumn id="30" name="Aplicação" dataDxfId="57"/>
    <tableColumn id="14" name="Un. da Emb._x000a_(p/ Compra" dataDxfId="56"/>
    <tableColumn id="15" name="Prods._x000a_/ Emb." dataDxfId="55"/>
    <tableColumn id="16" name="Un. do_x000a_Prod." dataDxfId="54"/>
    <tableColumn id="32" name="Un. de Pedido" dataDxfId="53"/>
    <tableColumn id="33" name="Mult. do Prod. / Pedido_x000a_(calculado)" dataDxfId="52"/>
    <tableColumn id="18" name="Un. de_x000a_Cons." dataDxfId="51"/>
    <tableColumn id="17" name="Qtd de Cons. /_x000a_Prod." dataDxfId="50"/>
    <tableColumn id="29" name="Setores Soliciantes" dataDxfId="49"/>
    <tableColumn id="9" name="Armaz." dataDxfId="48"/>
    <tableColumn id="10" name="Qtd mín. de Pcts." dataDxfId="47"/>
    <tableColumn id="11" name="Pço Total" dataDxfId="46"/>
    <tableColumn id="12" name="Pço Pct." dataDxfId="45"/>
    <tableColumn id="13" name="Qtd na_x000a_Emb." dataDxfId="44"/>
    <tableColumn id="19" name="Fte" dataDxfId="43"/>
    <tableColumn id="20" name="Pzo" dataDxfId="42"/>
    <tableColumn id="21" name="Rank" dataDxfId="41"/>
    <tableColumn id="22" name="Pço_x000a_Total" dataDxfId="40">
      <calculatedColumnFormula>IF( ISNUMBER($U21), $U21, IF( ISNUMBER($T21), $T21 * IF( $V21="", 1,  $V21),            IF( ISNUMBER($V21), $V21 * IF( $W21="", 1,  $W21), " - ")           ) )</calculatedColumnFormula>
    </tableColumn>
    <tableColumn id="23" name="Pço Clc_x000a_do Pct." dataDxfId="39">
      <calculatedColumnFormula>IF( ISNUMBER($V21), $V21, IF( ISNUMBER($U21), $U21 / IF( $W21 &lt;&gt;"",  $W21, 1), " - ") )</calculatedColumnFormula>
    </tableColumn>
    <tableColumn id="24" name="Pço do_x000a_Prod." dataDxfId="38">
      <calculatedColumnFormula>IF($L21&gt;0,$AB21/$L21, " - " )</calculatedColumnFormula>
    </tableColumn>
    <tableColumn id="25" name="Pço Un._x000a_de Cons." dataDxfId="37">
      <calculatedColumnFormula>IF($Q21&gt;0,$AC21/$Q21, " - " )</calculatedColumnFormula>
    </tableColumn>
    <tableColumn id="26" name="Prod. c/ Fte" dataDxfId="36">
      <calculatedColumnFormula>IFERROR(   (IF(ISNUMBER( $U21 ), $U21, IF( ISNUMBER( $V21 ),$V21, 0 ) ) + $X21 ) /  (  IF(ISNUMBER( $W21), $W21, 1) * IF(ISNUMBER( $L21), $L21, 1) ), "-")</calculatedColumnFormula>
    </tableColumn>
    <tableColumn id="27" name="Un. Cons._x000a_c/ Fte" dataDxfId="35">
      <calculatedColumnFormula>AE21 / IF( ISNUMBER($Q21),  $Q21, 1)</calculatedColumnFormula>
    </tableColumn>
    <tableColumn id="28" name="&lt; Pço" dataDxfId="34">
      <calculatedColumnFormula array="1" xml:space="preserve"> IFERROR( IF( D21="", "-", _xlfn.AGGREGATE(15,6, ( ( ($D$22:$D$49 = D21) * IF($D$19&lt;&gt;"", --($E$22:$E$49 = E21), 1) * IF($H$19&lt;&gt;"", --($F$22:$F$49 = F21), 1)  ) / ( ( $D$22:$D$49 = D21) * IF($D$19&lt;&gt;"", --($E$22:$E$49 = E21), 1)  * IF($H$19&lt;&gt;"", --($F$22:$F$49 = F21), 1) ) ) * $AF$22:$AF$49,1)    ), "-")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id="2" name="Tabela4" displayName="Tabela4" ref="B5:E11" totalsRowShown="0" headerRowDxfId="33" dataDxfId="32">
  <tableColumns count="4">
    <tableColumn id="1" name="Un. do Vol" dataDxfId="31"/>
    <tableColumn id="4" name="Conv. p/ Gdeza" dataDxfId="30"/>
    <tableColumn id="3" name="&gt; Gdeza" dataDxfId="29"/>
    <tableColumn id="2" name="Fator de conversão" dataDxfId="28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3" name="Tabela43" displayName="Tabela43" ref="B16:C58" totalsRowShown="0" headerRowDxfId="27" dataDxfId="26">
  <tableColumns count="2">
    <tableColumn id="1" name="Un. " dataDxfId="25"/>
    <tableColumn id="4" name="Descrição" dataDxfId="24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id="1" name="Tabela432" displayName="Tabela432" ref="C7:D49" totalsRowShown="0" headerRowDxfId="22" dataDxfId="21">
  <tableColumns count="2">
    <tableColumn id="1" name="UnAbrev" dataDxfId="20"/>
    <tableColumn id="4" name="UnDescriçao" dataDxfId="19"/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id="6" name="Tabela6" displayName="Tabela6" ref="B1:R338" totalsRowShown="0" headerRowDxfId="18" dataDxfId="17">
  <autoFilter ref="B1:R338"/>
  <tableColumns count="17">
    <tableColumn id="1" name="Produto Original" dataDxfId="16"/>
    <tableColumn id="14" name="Prod Calc" dataDxfId="15">
      <calculatedColumnFormula>E2 &amp; " "  &amp; F2 &amp;   " " &amp; G2 &amp; " "  &amp; " - " &amp; H2 &amp; " " &amp; I2 &amp; " " &amp; "(" &amp; J2 &amp; ")"</calculatedColumnFormula>
    </tableColumn>
    <tableColumn id="2" name="Inativo" dataDxfId="14"/>
    <tableColumn id="3" name="Produto" dataDxfId="13"/>
    <tableColumn id="4" name="Tipo" dataDxfId="12"/>
    <tableColumn id="6" name="ComplDesc" dataDxfId="11"/>
    <tableColumn id="15" name="Cor" dataDxfId="10"/>
    <tableColumn id="5" name="Medida" dataDxfId="9"/>
    <tableColumn id="7" name="Marca" dataDxfId="8"/>
    <tableColumn id="17" name="Setor" dataDxfId="7"/>
    <tableColumn id="16" name="Categoria" dataDxfId="6"/>
    <tableColumn id="8" name="Aplicação" dataDxfId="5"/>
    <tableColumn id="9" name="Un. da_x000a_Emb." dataDxfId="4"/>
    <tableColumn id="10" name="Prods._x000a_/ Emb." dataDxfId="3"/>
    <tableColumn id="11" name="Un. do_x000a_Prod." dataDxfId="2"/>
    <tableColumn id="12" name="Qtd /_x000a_Prod." dataDxfId="1"/>
    <tableColumn id="13" name="Un. de_x000a_Cons.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C00000"/>
  </sheetPr>
  <dimension ref="B2:AE70"/>
  <sheetViews>
    <sheetView zoomScale="115" zoomScaleNormal="115" workbookViewId="0">
      <pane xSplit="2" ySplit="9" topLeftCell="C73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defaultRowHeight="15" x14ac:dyDescent="0.25"/>
  <cols>
    <col min="1" max="1" width="1.42578125" customWidth="1"/>
    <col min="2" max="2" width="17.42578125" hidden="1" customWidth="1"/>
    <col min="3" max="3" width="9.85546875" customWidth="1"/>
    <col min="4" max="4" width="0" hidden="1" customWidth="1"/>
    <col min="5" max="5" width="17.42578125" hidden="1" customWidth="1"/>
    <col min="6" max="6" width="14.140625" customWidth="1"/>
    <col min="7" max="7" width="17.42578125" hidden="1" customWidth="1"/>
    <col min="8" max="8" width="8.42578125" customWidth="1"/>
    <col min="9" max="9" width="11.85546875" bestFit="1" customWidth="1"/>
    <col min="10" max="10" width="13.42578125" hidden="1" customWidth="1"/>
    <col min="11" max="11" width="12.5703125" customWidth="1"/>
    <col min="12" max="12" width="9.85546875" bestFit="1" customWidth="1"/>
    <col min="13" max="13" width="11.28515625" hidden="1" customWidth="1"/>
    <col min="14" max="14" width="12.140625" bestFit="1" customWidth="1"/>
    <col min="15" max="15" width="1.42578125" customWidth="1"/>
    <col min="16" max="16" width="7.28515625" bestFit="1" customWidth="1"/>
    <col min="17" max="17" width="1.42578125" customWidth="1"/>
    <col min="18" max="19" width="5.42578125" hidden="1" customWidth="1"/>
    <col min="20" max="20" width="4.140625" hidden="1" customWidth="1"/>
    <col min="21" max="21" width="16.5703125" hidden="1" customWidth="1"/>
    <col min="22" max="22" width="1.42578125" customWidth="1"/>
    <col min="23" max="23" width="8.85546875" bestFit="1" customWidth="1"/>
    <col min="24" max="24" width="10.140625" bestFit="1" customWidth="1"/>
    <col min="25" max="25" width="1.42578125" customWidth="1"/>
    <col min="26" max="26" width="4.42578125" hidden="1" customWidth="1"/>
    <col min="27" max="27" width="1.42578125" customWidth="1"/>
    <col min="28" max="28" width="7.7109375" bestFit="1" customWidth="1"/>
    <col min="29" max="29" width="6.7109375" bestFit="1" customWidth="1"/>
    <col min="30" max="30" width="8.85546875" bestFit="1" customWidth="1"/>
    <col min="31" max="31" width="7.42578125" bestFit="1" customWidth="1"/>
    <col min="32" max="32" width="1.42578125" customWidth="1"/>
  </cols>
  <sheetData>
    <row r="2" spans="2:31" x14ac:dyDescent="0.25">
      <c r="F2" s="51"/>
      <c r="J2" t="s">
        <v>169</v>
      </c>
    </row>
    <row r="3" spans="2:31" x14ac:dyDescent="0.25">
      <c r="F3" s="116" t="s">
        <v>46</v>
      </c>
      <c r="J3" t="s">
        <v>168</v>
      </c>
    </row>
    <row r="4" spans="2:31" x14ac:dyDescent="0.25">
      <c r="F4" s="118" t="s">
        <v>167</v>
      </c>
      <c r="J4" t="s">
        <v>166</v>
      </c>
    </row>
    <row r="6" spans="2:31" x14ac:dyDescent="0.25">
      <c r="C6" s="59"/>
      <c r="D6" s="59"/>
      <c r="E6" s="59"/>
      <c r="F6" s="59" t="s">
        <v>20</v>
      </c>
      <c r="G6" s="59"/>
      <c r="H6" s="59" t="s">
        <v>20</v>
      </c>
      <c r="I6" s="59" t="s">
        <v>20</v>
      </c>
      <c r="J6" s="59"/>
      <c r="K6" s="59"/>
      <c r="L6" s="59" t="s">
        <v>20</v>
      </c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</row>
    <row r="7" spans="2:31" x14ac:dyDescent="0.25">
      <c r="J7" s="124"/>
      <c r="M7" s="124"/>
      <c r="R7" s="124"/>
      <c r="S7" s="124"/>
      <c r="T7" s="124"/>
      <c r="U7" s="124"/>
      <c r="Z7" s="124"/>
    </row>
    <row r="8" spans="2:31" x14ac:dyDescent="0.25">
      <c r="B8" s="118"/>
      <c r="C8" s="118"/>
      <c r="D8" s="116"/>
      <c r="E8" s="116"/>
      <c r="F8" s="116"/>
      <c r="G8" s="118"/>
      <c r="H8" s="116"/>
      <c r="I8" s="116"/>
      <c r="J8" s="123" t="s">
        <v>165</v>
      </c>
      <c r="K8" s="123"/>
      <c r="L8" s="116"/>
      <c r="M8" s="116"/>
      <c r="N8" s="116"/>
      <c r="P8" s="115"/>
      <c r="R8" s="122" t="s">
        <v>164</v>
      </c>
      <c r="S8" s="123"/>
      <c r="T8" s="123"/>
      <c r="U8" s="121"/>
      <c r="W8" s="122" t="s">
        <v>163</v>
      </c>
      <c r="X8" s="121"/>
      <c r="Z8" s="120" t="s">
        <v>31</v>
      </c>
      <c r="AB8" s="119" t="s">
        <v>162</v>
      </c>
      <c r="AC8" s="119"/>
      <c r="AD8" s="119" t="s">
        <v>161</v>
      </c>
      <c r="AE8" s="119"/>
    </row>
    <row r="9" spans="2:31" x14ac:dyDescent="0.25">
      <c r="B9" s="118" t="s">
        <v>160</v>
      </c>
      <c r="C9" s="118" t="s">
        <v>24</v>
      </c>
      <c r="D9" s="116" t="s">
        <v>159</v>
      </c>
      <c r="E9" s="116" t="s">
        <v>158</v>
      </c>
      <c r="F9" s="116" t="s">
        <v>23</v>
      </c>
      <c r="G9" s="118" t="s">
        <v>157</v>
      </c>
      <c r="H9" s="116" t="s">
        <v>156</v>
      </c>
      <c r="I9" s="116" t="s">
        <v>155</v>
      </c>
      <c r="J9" s="117" t="s">
        <v>154</v>
      </c>
      <c r="K9" s="117" t="s">
        <v>153</v>
      </c>
      <c r="L9" s="116" t="s">
        <v>152</v>
      </c>
      <c r="M9" s="116" t="s">
        <v>148</v>
      </c>
      <c r="N9" s="116" t="s">
        <v>25</v>
      </c>
      <c r="P9" s="115" t="s">
        <v>30</v>
      </c>
      <c r="R9" s="114" t="s">
        <v>151</v>
      </c>
      <c r="S9" s="113" t="s">
        <v>150</v>
      </c>
      <c r="T9" s="113" t="s">
        <v>149</v>
      </c>
      <c r="U9" s="112" t="s">
        <v>148</v>
      </c>
      <c r="W9" s="111" t="s">
        <v>147</v>
      </c>
      <c r="X9" s="110" t="s">
        <v>146</v>
      </c>
      <c r="Z9" s="51"/>
      <c r="AB9" s="108" t="s">
        <v>145</v>
      </c>
      <c r="AC9" s="109" t="s">
        <v>144</v>
      </c>
      <c r="AD9" s="108" t="s">
        <v>143</v>
      </c>
      <c r="AE9" s="107" t="s">
        <v>142</v>
      </c>
    </row>
    <row r="10" spans="2:31" x14ac:dyDescent="0.25">
      <c r="C10" s="98" t="s">
        <v>34</v>
      </c>
      <c r="D10" s="98"/>
      <c r="E10" s="98" t="s">
        <v>114</v>
      </c>
      <c r="F10" s="98" t="s">
        <v>113</v>
      </c>
      <c r="G10" s="98"/>
      <c r="H10" s="98" t="s">
        <v>137</v>
      </c>
      <c r="I10" s="98" t="s">
        <v>133</v>
      </c>
      <c r="J10" s="98"/>
      <c r="K10" s="98"/>
      <c r="L10" s="98" t="s">
        <v>117</v>
      </c>
      <c r="M10" s="98"/>
      <c r="N10" s="98" t="s">
        <v>122</v>
      </c>
      <c r="P10" s="106">
        <v>27.19</v>
      </c>
      <c r="R10" s="104"/>
      <c r="S10" s="103"/>
      <c r="T10" s="102" t="s">
        <v>112</v>
      </c>
      <c r="U10" s="101"/>
      <c r="W10" s="100">
        <v>200</v>
      </c>
      <c r="X10" s="99" t="s">
        <v>111</v>
      </c>
      <c r="Z10" s="98"/>
      <c r="AB10" s="97">
        <f t="shared" ref="AB10:AB41" si="0" xml:space="preserve"> IF(P10 &lt;&gt;"", IF( S10&lt;&gt;"",  P10/S10, P10   ), " - " )</f>
        <v>27.19</v>
      </c>
      <c r="AC10" s="96" t="str">
        <f t="shared" ref="AC10:AC44" si="1" xml:space="preserve"> IF( P10 &lt;&gt; "", IF( T10&lt;&gt;"", T10, " - "), " - ")</f>
        <v>Tb</v>
      </c>
      <c r="AD10" s="95">
        <f xml:space="preserve"> IF( AND(W10 &lt;&gt; "", P10 &lt;&gt; "" ),  AB10 / ( W10 /   (IFERROR( INDEX( BseDados!$B$5:$E$11, MATCH(X10, BseDados!$B$5:$B$11, 0 ), 4), 1)) ), " - ")</f>
        <v>135.94999999999999</v>
      </c>
      <c r="AE10" s="94" t="str">
        <f>IF( $X10 &lt;&gt;"", IFERROR( INDEX( BseDados!$B$5:$E$11, MATCH($X10, BseDados!$B$5:$B$11, 0 ), 3), X10 ), " - ")</f>
        <v>L</v>
      </c>
    </row>
    <row r="11" spans="2:31" x14ac:dyDescent="0.25">
      <c r="C11" s="98" t="s">
        <v>141</v>
      </c>
      <c r="D11" s="98"/>
      <c r="E11" s="98" t="s">
        <v>114</v>
      </c>
      <c r="F11" s="98" t="s">
        <v>113</v>
      </c>
      <c r="G11" s="98"/>
      <c r="H11" s="98" t="s">
        <v>137</v>
      </c>
      <c r="I11" s="98" t="s">
        <v>133</v>
      </c>
      <c r="J11" s="98"/>
      <c r="K11" s="98"/>
      <c r="L11" s="98" t="s">
        <v>117</v>
      </c>
      <c r="M11" s="98"/>
      <c r="N11" s="98" t="s">
        <v>122</v>
      </c>
      <c r="P11" s="106">
        <v>30.9</v>
      </c>
      <c r="R11" s="104"/>
      <c r="S11" s="103"/>
      <c r="T11" s="102" t="s">
        <v>112</v>
      </c>
      <c r="U11" s="101"/>
      <c r="W11" s="100">
        <v>200</v>
      </c>
      <c r="X11" s="99" t="s">
        <v>111</v>
      </c>
      <c r="Z11" s="98"/>
      <c r="AB11" s="97">
        <f t="shared" si="0"/>
        <v>30.9</v>
      </c>
      <c r="AC11" s="96" t="str">
        <f t="shared" si="1"/>
        <v>Tb</v>
      </c>
      <c r="AD11" s="95">
        <f xml:space="preserve"> IF( AND(W11 &lt;&gt; "", P11 &lt;&gt; "" ),  AB11 / ( W11 /   (IFERROR( INDEX( BseDados!$B$5:$E$11, MATCH(X11, BseDados!$B$5:$B$11, 0 ), 4), 1)) ), " - ")</f>
        <v>154.49999999999997</v>
      </c>
      <c r="AE11" s="94" t="str">
        <f>IF( $X11 &lt;&gt;"", IFERROR( INDEX( BseDados!$B$5:$E$11, MATCH($X11, BseDados!$B$5:$B$11, 0 ), 3), X11 ), " - ")</f>
        <v>L</v>
      </c>
    </row>
    <row r="12" spans="2:31" x14ac:dyDescent="0.25">
      <c r="C12" s="98" t="s">
        <v>121</v>
      </c>
      <c r="D12" s="98"/>
      <c r="E12" s="98" t="s">
        <v>114</v>
      </c>
      <c r="F12" s="98" t="s">
        <v>113</v>
      </c>
      <c r="G12" s="98"/>
      <c r="H12" s="98" t="s">
        <v>137</v>
      </c>
      <c r="I12" s="98" t="s">
        <v>133</v>
      </c>
      <c r="J12" s="98"/>
      <c r="K12" s="98"/>
      <c r="L12" s="98" t="s">
        <v>117</v>
      </c>
      <c r="M12" s="98"/>
      <c r="N12" s="98" t="s">
        <v>130</v>
      </c>
      <c r="P12" s="106">
        <v>74.849999999999994</v>
      </c>
      <c r="R12" s="104" t="s">
        <v>70</v>
      </c>
      <c r="S12" s="103">
        <v>2</v>
      </c>
      <c r="T12" s="102" t="s">
        <v>112</v>
      </c>
      <c r="U12" s="101"/>
      <c r="W12" s="100">
        <v>200</v>
      </c>
      <c r="X12" s="99" t="s">
        <v>111</v>
      </c>
      <c r="Z12" s="98"/>
      <c r="AB12" s="97">
        <f t="shared" si="0"/>
        <v>37.424999999999997</v>
      </c>
      <c r="AC12" s="96" t="str">
        <f t="shared" si="1"/>
        <v>Tb</v>
      </c>
      <c r="AD12" s="95">
        <f xml:space="preserve"> IF( AND(W12 &lt;&gt; "", P12 &lt;&gt; "" ),  AB12 / ( W12 /   (IFERROR( INDEX( BseDados!$B$5:$E$11, MATCH(X12, BseDados!$B$5:$B$11, 0 ), 4), 1)) ), " - ")</f>
        <v>187.12499999999997</v>
      </c>
      <c r="AE12" s="94" t="str">
        <f>IF( $X12 &lt;&gt;"", IFERROR( INDEX( BseDados!$B$5:$E$11, MATCH($X12, BseDados!$B$5:$B$11, 0 ), 3), X12 ), " - ")</f>
        <v>L</v>
      </c>
    </row>
    <row r="13" spans="2:31" x14ac:dyDescent="0.25">
      <c r="C13" s="98" t="s">
        <v>140</v>
      </c>
      <c r="D13" s="98"/>
      <c r="E13" s="98" t="s">
        <v>114</v>
      </c>
      <c r="F13" s="98" t="s">
        <v>113</v>
      </c>
      <c r="G13" s="98"/>
      <c r="H13" s="98" t="s">
        <v>137</v>
      </c>
      <c r="I13" s="98" t="s">
        <v>133</v>
      </c>
      <c r="J13" s="98"/>
      <c r="K13" s="98"/>
      <c r="L13" s="98" t="s">
        <v>117</v>
      </c>
      <c r="M13" s="98"/>
      <c r="N13" s="98" t="s">
        <v>135</v>
      </c>
      <c r="P13" s="106">
        <v>47.25</v>
      </c>
      <c r="R13" s="104"/>
      <c r="S13" s="103"/>
      <c r="T13" s="102" t="s">
        <v>112</v>
      </c>
      <c r="U13" s="101"/>
      <c r="W13" s="100">
        <v>200</v>
      </c>
      <c r="X13" s="99" t="s">
        <v>111</v>
      </c>
      <c r="Z13" s="98"/>
      <c r="AB13" s="97">
        <f t="shared" si="0"/>
        <v>47.25</v>
      </c>
      <c r="AC13" s="96" t="str">
        <f t="shared" si="1"/>
        <v>Tb</v>
      </c>
      <c r="AD13" s="95">
        <f xml:space="preserve"> IF( AND(W13 &lt;&gt; "", P13 &lt;&gt; "" ),  AB13 / ( W13 /   (IFERROR( INDEX( BseDados!$B$5:$E$11, MATCH(X13, BseDados!$B$5:$B$11, 0 ), 4), 1)) ), " - ")</f>
        <v>236.25</v>
      </c>
      <c r="AE13" s="94" t="str">
        <f>IF( $X13 &lt;&gt;"", IFERROR( INDEX( BseDados!$B$5:$E$11, MATCH($X13, BseDados!$B$5:$B$11, 0 ), 3), X13 ), " - ")</f>
        <v>L</v>
      </c>
    </row>
    <row r="14" spans="2:31" x14ac:dyDescent="0.25">
      <c r="C14" s="98" t="s">
        <v>121</v>
      </c>
      <c r="D14" s="98"/>
      <c r="E14" s="98" t="s">
        <v>114</v>
      </c>
      <c r="F14" s="98" t="s">
        <v>113</v>
      </c>
      <c r="G14" s="98"/>
      <c r="H14" s="98" t="s">
        <v>137</v>
      </c>
      <c r="I14" s="98" t="s">
        <v>133</v>
      </c>
      <c r="J14" s="98"/>
      <c r="K14" s="98"/>
      <c r="L14" s="98" t="s">
        <v>117</v>
      </c>
      <c r="M14" s="98"/>
      <c r="N14" s="98" t="s">
        <v>130</v>
      </c>
      <c r="P14" s="106">
        <v>74.849999999999994</v>
      </c>
      <c r="R14" s="104" t="s">
        <v>70</v>
      </c>
      <c r="S14" s="103">
        <v>2</v>
      </c>
      <c r="T14" s="102" t="s">
        <v>112</v>
      </c>
      <c r="U14" s="101"/>
      <c r="W14" s="100">
        <v>140</v>
      </c>
      <c r="X14" s="99" t="s">
        <v>115</v>
      </c>
      <c r="Z14" s="98"/>
      <c r="AB14" s="97">
        <f t="shared" si="0"/>
        <v>37.424999999999997</v>
      </c>
      <c r="AC14" s="96" t="str">
        <f t="shared" si="1"/>
        <v>Tb</v>
      </c>
      <c r="AD14" s="95">
        <f xml:space="preserve"> IF( AND(W14 &lt;&gt; "", P14 &lt;&gt; "" ),  AB14 / ( W14 /   (IFERROR( INDEX( BseDados!$B$5:$E$11, MATCH(X14, BseDados!$B$5:$B$11, 0 ), 4), 1)) ), " - ")</f>
        <v>267.3214285714285</v>
      </c>
      <c r="AE14" s="94" t="str">
        <f>IF( $X14 &lt;&gt;"", IFERROR( INDEX( BseDados!$B$5:$E$11, MATCH($X14, BseDados!$B$5:$B$11, 0 ), 3), X14 ), " - ")</f>
        <v>Kg</v>
      </c>
    </row>
    <row r="15" spans="2:31" x14ac:dyDescent="0.25">
      <c r="C15" s="98" t="s">
        <v>121</v>
      </c>
      <c r="D15" s="98"/>
      <c r="E15" s="98" t="s">
        <v>114</v>
      </c>
      <c r="F15" s="98" t="s">
        <v>113</v>
      </c>
      <c r="G15" s="98"/>
      <c r="H15" s="98" t="s">
        <v>137</v>
      </c>
      <c r="I15" s="98" t="s">
        <v>133</v>
      </c>
      <c r="J15" s="98"/>
      <c r="K15" s="98"/>
      <c r="L15" s="98" t="s">
        <v>117</v>
      </c>
      <c r="M15" s="98"/>
      <c r="N15" s="98" t="s">
        <v>135</v>
      </c>
      <c r="P15" s="106">
        <v>109.74</v>
      </c>
      <c r="R15" s="104" t="s">
        <v>70</v>
      </c>
      <c r="S15" s="103">
        <v>2</v>
      </c>
      <c r="T15" s="102" t="s">
        <v>112</v>
      </c>
      <c r="U15" s="101"/>
      <c r="W15" s="100">
        <v>200</v>
      </c>
      <c r="X15" s="99" t="s">
        <v>111</v>
      </c>
      <c r="Z15" s="98"/>
      <c r="AB15" s="97">
        <f t="shared" si="0"/>
        <v>54.87</v>
      </c>
      <c r="AC15" s="96" t="str">
        <f t="shared" si="1"/>
        <v>Tb</v>
      </c>
      <c r="AD15" s="95">
        <f xml:space="preserve"> IF( AND(W15 &lt;&gt; "", P15 &lt;&gt; "" ),  AB15 / ( W15 /   (IFERROR( INDEX( BseDados!$B$5:$E$11, MATCH(X15, BseDados!$B$5:$B$11, 0 ), 4), 1)) ), " - ")</f>
        <v>274.34999999999997</v>
      </c>
      <c r="AE15" s="94" t="str">
        <f>IF( $X15 &lt;&gt;"", IFERROR( INDEX( BseDados!$B$5:$E$11, MATCH($X15, BseDados!$B$5:$B$11, 0 ), 3), X15 ), " - ")</f>
        <v>L</v>
      </c>
    </row>
    <row r="16" spans="2:31" x14ac:dyDescent="0.25">
      <c r="C16" s="98" t="s">
        <v>35</v>
      </c>
      <c r="D16" s="98"/>
      <c r="E16" s="98" t="s">
        <v>114</v>
      </c>
      <c r="F16" s="98" t="s">
        <v>113</v>
      </c>
      <c r="G16" s="98"/>
      <c r="H16" s="98" t="s">
        <v>137</v>
      </c>
      <c r="I16" s="98" t="s">
        <v>133</v>
      </c>
      <c r="J16" s="98"/>
      <c r="K16" s="98"/>
      <c r="L16" s="98" t="s">
        <v>117</v>
      </c>
      <c r="M16" s="98"/>
      <c r="N16" s="98" t="s">
        <v>135</v>
      </c>
      <c r="P16" s="106">
        <v>66.989999999999995</v>
      </c>
      <c r="R16" s="104"/>
      <c r="S16" s="103"/>
      <c r="T16" s="102" t="s">
        <v>112</v>
      </c>
      <c r="U16" s="101"/>
      <c r="W16" s="100">
        <v>200</v>
      </c>
      <c r="X16" s="99" t="s">
        <v>111</v>
      </c>
      <c r="Z16" s="98"/>
      <c r="AB16" s="97">
        <f t="shared" si="0"/>
        <v>66.989999999999995</v>
      </c>
      <c r="AC16" s="96" t="str">
        <f t="shared" si="1"/>
        <v>Tb</v>
      </c>
      <c r="AD16" s="95">
        <f xml:space="preserve"> IF( AND(W16 &lt;&gt; "", P16 &lt;&gt; "" ),  AB16 / ( W16 /   (IFERROR( INDEX( BseDados!$B$5:$E$11, MATCH(X16, BseDados!$B$5:$B$11, 0 ), 4), 1)) ), " - ")</f>
        <v>334.94999999999993</v>
      </c>
      <c r="AE16" s="94" t="str">
        <f>IF( $X16 &lt;&gt;"", IFERROR( INDEX( BseDados!$B$5:$E$11, MATCH($X16, BseDados!$B$5:$B$11, 0 ), 3), X16 ), " - ")</f>
        <v>L</v>
      </c>
    </row>
    <row r="17" spans="3:31" x14ac:dyDescent="0.25">
      <c r="C17" s="98" t="s">
        <v>121</v>
      </c>
      <c r="D17" s="98"/>
      <c r="E17" s="98" t="s">
        <v>114</v>
      </c>
      <c r="F17" s="98" t="s">
        <v>113</v>
      </c>
      <c r="G17" s="98"/>
      <c r="H17" s="98" t="s">
        <v>137</v>
      </c>
      <c r="I17" s="98" t="s">
        <v>133</v>
      </c>
      <c r="J17" s="98"/>
      <c r="K17" s="98"/>
      <c r="L17" s="98" t="s">
        <v>136</v>
      </c>
      <c r="M17" s="98"/>
      <c r="N17" s="98" t="s">
        <v>130</v>
      </c>
      <c r="P17" s="106">
        <v>29.19</v>
      </c>
      <c r="R17" s="104"/>
      <c r="S17" s="103"/>
      <c r="T17" s="102" t="s">
        <v>112</v>
      </c>
      <c r="U17" s="101" t="s">
        <v>138</v>
      </c>
      <c r="W17" s="100">
        <v>200</v>
      </c>
      <c r="X17" s="99" t="s">
        <v>111</v>
      </c>
      <c r="Z17" s="98"/>
      <c r="AB17" s="97">
        <f t="shared" si="0"/>
        <v>29.19</v>
      </c>
      <c r="AC17" s="96" t="str">
        <f t="shared" si="1"/>
        <v>Tb</v>
      </c>
      <c r="AD17" s="95">
        <f xml:space="preserve"> IF( AND(W17 &lt;&gt; "", P17 &lt;&gt; "" ),  AB17 / ( W17 /   (IFERROR( INDEX( BseDados!$B$5:$E$11, MATCH(X17, BseDados!$B$5:$B$11, 0 ), 4), 1)) ), " - ")</f>
        <v>145.94999999999999</v>
      </c>
      <c r="AE17" s="94" t="str">
        <f>IF( $X17 &lt;&gt;"", IFERROR( INDEX( BseDados!$B$5:$E$11, MATCH($X17, BseDados!$B$5:$B$11, 0 ), 3), X17 ), " - ")</f>
        <v>L</v>
      </c>
    </row>
    <row r="18" spans="3:31" x14ac:dyDescent="0.25">
      <c r="C18" s="98" t="s">
        <v>126</v>
      </c>
      <c r="D18" s="98"/>
      <c r="E18" s="98" t="s">
        <v>114</v>
      </c>
      <c r="F18" s="98" t="s">
        <v>113</v>
      </c>
      <c r="G18" s="98"/>
      <c r="H18" s="98" t="s">
        <v>137</v>
      </c>
      <c r="I18" s="98" t="s">
        <v>133</v>
      </c>
      <c r="J18" s="98"/>
      <c r="K18" s="98"/>
      <c r="L18" s="98" t="s">
        <v>136</v>
      </c>
      <c r="M18" s="98"/>
      <c r="N18" s="98" t="s">
        <v>135</v>
      </c>
      <c r="P18" s="106">
        <v>101.85</v>
      </c>
      <c r="R18" s="104" t="s">
        <v>70</v>
      </c>
      <c r="S18" s="103">
        <v>2</v>
      </c>
      <c r="T18" s="102" t="s">
        <v>112</v>
      </c>
      <c r="U18" s="101"/>
      <c r="W18" s="100">
        <v>200</v>
      </c>
      <c r="X18" s="99" t="s">
        <v>111</v>
      </c>
      <c r="Z18" s="98"/>
      <c r="AB18" s="97">
        <f t="shared" si="0"/>
        <v>50.924999999999997</v>
      </c>
      <c r="AC18" s="96" t="str">
        <f t="shared" si="1"/>
        <v>Tb</v>
      </c>
      <c r="AD18" s="95">
        <f xml:space="preserve"> IF( AND(W18 &lt;&gt; "", P18 &lt;&gt; "" ),  AB18 / ( W18 /   (IFERROR( INDEX( BseDados!$B$5:$E$11, MATCH(X18, BseDados!$B$5:$B$11, 0 ), 4), 1)) ), " - ")</f>
        <v>254.62499999999997</v>
      </c>
      <c r="AE18" s="94" t="str">
        <f>IF( $X18 &lt;&gt;"", IFERROR( INDEX( BseDados!$B$5:$E$11, MATCH($X18, BseDados!$B$5:$B$11, 0 ), 3), X18 ), " - ")</f>
        <v>L</v>
      </c>
    </row>
    <row r="19" spans="3:31" x14ac:dyDescent="0.25">
      <c r="C19" s="98" t="s">
        <v>139</v>
      </c>
      <c r="D19" s="98"/>
      <c r="E19" s="98" t="s">
        <v>114</v>
      </c>
      <c r="F19" s="98" t="s">
        <v>113</v>
      </c>
      <c r="G19" s="98"/>
      <c r="H19" s="98" t="s">
        <v>137</v>
      </c>
      <c r="I19" s="98" t="s">
        <v>133</v>
      </c>
      <c r="J19" s="98"/>
      <c r="K19" s="98"/>
      <c r="L19" s="98" t="s">
        <v>136</v>
      </c>
      <c r="M19" s="98"/>
      <c r="N19" s="98" t="s">
        <v>135</v>
      </c>
      <c r="P19" s="106"/>
      <c r="R19" s="104"/>
      <c r="S19" s="103"/>
      <c r="T19" s="102" t="s">
        <v>112</v>
      </c>
      <c r="U19" s="101" t="s">
        <v>138</v>
      </c>
      <c r="W19" s="100">
        <v>200</v>
      </c>
      <c r="X19" s="99" t="s">
        <v>111</v>
      </c>
      <c r="Z19" s="98"/>
      <c r="AB19" s="97" t="str">
        <f t="shared" si="0"/>
        <v xml:space="preserve"> - </v>
      </c>
      <c r="AC19" s="96" t="str">
        <f t="shared" si="1"/>
        <v xml:space="preserve"> - </v>
      </c>
      <c r="AD19" s="95" t="str">
        <f xml:space="preserve"> IF( AND(W19 &lt;&gt; "", P19 &lt;&gt; "" ),  AB19 / ( W19 /   (IFERROR( INDEX( BseDados!$B$5:$E$11, MATCH(X19, BseDados!$B$5:$B$11, 0 ), 4), 1)) ), " - ")</f>
        <v xml:space="preserve"> - </v>
      </c>
      <c r="AE19" s="94" t="str">
        <f>IF( $X19 &lt;&gt;"", IFERROR( INDEX( BseDados!$B$5:$E$11, MATCH($X19, BseDados!$B$5:$B$11, 0 ), 3), X19 ), " - ")</f>
        <v>L</v>
      </c>
    </row>
    <row r="20" spans="3:31" x14ac:dyDescent="0.25">
      <c r="C20" s="98" t="s">
        <v>126</v>
      </c>
      <c r="D20" s="98"/>
      <c r="E20" s="98" t="s">
        <v>114</v>
      </c>
      <c r="F20" s="98" t="s">
        <v>113</v>
      </c>
      <c r="G20" s="98"/>
      <c r="H20" s="98" t="s">
        <v>137</v>
      </c>
      <c r="I20" s="98" t="s">
        <v>133</v>
      </c>
      <c r="J20" s="98"/>
      <c r="K20" s="98" t="s">
        <v>132</v>
      </c>
      <c r="L20" s="98" t="s">
        <v>136</v>
      </c>
      <c r="M20" s="98"/>
      <c r="N20" s="98" t="s">
        <v>131</v>
      </c>
      <c r="P20" s="106">
        <v>49.9</v>
      </c>
      <c r="R20" s="104"/>
      <c r="S20" s="103"/>
      <c r="T20" s="102" t="s">
        <v>112</v>
      </c>
      <c r="U20" s="101"/>
      <c r="W20" s="100">
        <v>200</v>
      </c>
      <c r="X20" s="99" t="s">
        <v>111</v>
      </c>
      <c r="Z20" s="98"/>
      <c r="AB20" s="97">
        <f t="shared" si="0"/>
        <v>49.9</v>
      </c>
      <c r="AC20" s="96" t="str">
        <f t="shared" si="1"/>
        <v>Tb</v>
      </c>
      <c r="AD20" s="95">
        <f xml:space="preserve"> IF( AND(W20 &lt;&gt; "", P20 &lt;&gt; "" ),  AB20 / ( W20 /   (IFERROR( INDEX( BseDados!$B$5:$E$11, MATCH(X20, BseDados!$B$5:$B$11, 0 ), 4), 1)) ), " - ")</f>
        <v>249.49999999999997</v>
      </c>
      <c r="AE20" s="94" t="str">
        <f>IF( $X20 &lt;&gt;"", IFERROR( INDEX( BseDados!$B$5:$E$11, MATCH($X20, BseDados!$B$5:$B$11, 0 ), 3), X20 ), " - ")</f>
        <v>L</v>
      </c>
    </row>
    <row r="21" spans="3:31" x14ac:dyDescent="0.25">
      <c r="C21" s="98" t="s">
        <v>121</v>
      </c>
      <c r="D21" s="98"/>
      <c r="E21" s="98" t="s">
        <v>114</v>
      </c>
      <c r="F21" s="98" t="s">
        <v>113</v>
      </c>
      <c r="G21" s="98"/>
      <c r="H21" s="98" t="s">
        <v>120</v>
      </c>
      <c r="I21" s="98" t="s">
        <v>133</v>
      </c>
      <c r="J21" s="98"/>
      <c r="K21" s="98"/>
      <c r="L21" s="98" t="s">
        <v>117</v>
      </c>
      <c r="M21" s="98"/>
      <c r="N21" s="98" t="s">
        <v>135</v>
      </c>
      <c r="P21" s="106">
        <v>32.17</v>
      </c>
      <c r="R21" s="104"/>
      <c r="S21" s="103"/>
      <c r="T21" s="102" t="s">
        <v>134</v>
      </c>
      <c r="U21" s="101"/>
      <c r="W21" s="100">
        <v>300</v>
      </c>
      <c r="X21" s="99" t="s">
        <v>111</v>
      </c>
      <c r="Z21" s="98"/>
      <c r="AB21" s="97">
        <f t="shared" si="0"/>
        <v>32.17</v>
      </c>
      <c r="AC21" s="96" t="str">
        <f t="shared" si="1"/>
        <v>Fr</v>
      </c>
      <c r="AD21" s="95">
        <f xml:space="preserve"> IF( AND(W21 &lt;&gt; "", P21 &lt;&gt; "" ),  AB21 / ( W21 /   (IFERROR( INDEX( BseDados!$B$5:$E$11, MATCH(X21, BseDados!$B$5:$B$11, 0 ), 4), 1)) ), " - ")</f>
        <v>107.23333333333335</v>
      </c>
      <c r="AE21" s="94" t="str">
        <f>IF( $X21 &lt;&gt;"", IFERROR( INDEX( BseDados!$B$5:$E$11, MATCH($X21, BseDados!$B$5:$B$11, 0 ), 3), X21 ), " - ")</f>
        <v>L</v>
      </c>
    </row>
    <row r="22" spans="3:31" x14ac:dyDescent="0.25">
      <c r="C22" s="98" t="s">
        <v>121</v>
      </c>
      <c r="D22" s="98"/>
      <c r="E22" s="98" t="s">
        <v>114</v>
      </c>
      <c r="F22" s="98" t="s">
        <v>113</v>
      </c>
      <c r="G22" s="98"/>
      <c r="H22" s="98" t="s">
        <v>120</v>
      </c>
      <c r="I22" s="98" t="s">
        <v>133</v>
      </c>
      <c r="J22" s="98"/>
      <c r="K22" s="98" t="s">
        <v>132</v>
      </c>
      <c r="L22" s="98" t="s">
        <v>117</v>
      </c>
      <c r="M22" s="98"/>
      <c r="N22" s="98" t="s">
        <v>131</v>
      </c>
      <c r="P22" s="106">
        <v>51.99</v>
      </c>
      <c r="R22" s="104"/>
      <c r="S22" s="103"/>
      <c r="T22" s="102" t="s">
        <v>112</v>
      </c>
      <c r="U22" s="101"/>
      <c r="W22" s="100">
        <v>200</v>
      </c>
      <c r="X22" s="99" t="s">
        <v>111</v>
      </c>
      <c r="Z22" s="98"/>
      <c r="AB22" s="97">
        <f t="shared" si="0"/>
        <v>51.99</v>
      </c>
      <c r="AC22" s="96" t="str">
        <f t="shared" si="1"/>
        <v>Tb</v>
      </c>
      <c r="AD22" s="95">
        <f xml:space="preserve"> IF( AND(W22 &lt;&gt; "", P22 &lt;&gt; "" ),  AB22 / ( W22 /   (IFERROR( INDEX( BseDados!$B$5:$E$11, MATCH(X22, BseDados!$B$5:$B$11, 0 ), 4), 1)) ), " - ")</f>
        <v>259.95</v>
      </c>
      <c r="AE22" s="94" t="str">
        <f>IF( $X22 &lt;&gt;"", IFERROR( INDEX( BseDados!$B$5:$E$11, MATCH($X22, BseDados!$B$5:$B$11, 0 ), 3), X22 ), " - ")</f>
        <v>L</v>
      </c>
    </row>
    <row r="23" spans="3:31" x14ac:dyDescent="0.25">
      <c r="C23" s="98" t="s">
        <v>121</v>
      </c>
      <c r="D23" s="98"/>
      <c r="E23" s="98" t="s">
        <v>114</v>
      </c>
      <c r="F23" s="98" t="s">
        <v>113</v>
      </c>
      <c r="G23" s="98"/>
      <c r="H23" s="98" t="s">
        <v>120</v>
      </c>
      <c r="I23" s="98" t="s">
        <v>119</v>
      </c>
      <c r="J23" s="98"/>
      <c r="K23" s="98"/>
      <c r="L23" s="98" t="s">
        <v>125</v>
      </c>
      <c r="M23" s="98"/>
      <c r="N23" s="98" t="s">
        <v>130</v>
      </c>
      <c r="P23" s="106">
        <v>23.34</v>
      </c>
      <c r="R23" s="104"/>
      <c r="S23" s="103"/>
      <c r="T23" s="102" t="s">
        <v>112</v>
      </c>
      <c r="U23" s="101"/>
      <c r="W23" s="100">
        <v>40</v>
      </c>
      <c r="X23" s="99" t="s">
        <v>111</v>
      </c>
      <c r="Z23" s="98"/>
      <c r="AB23" s="97">
        <f t="shared" si="0"/>
        <v>23.34</v>
      </c>
      <c r="AC23" s="96" t="str">
        <f t="shared" si="1"/>
        <v>Tb</v>
      </c>
      <c r="AD23" s="95">
        <f xml:space="preserve"> IF( AND(W23 &lt;&gt; "", P23 &lt;&gt; "" ),  AB23 / ( W23 /   (IFERROR( INDEX( BseDados!$B$5:$E$11, MATCH(X23, BseDados!$B$5:$B$11, 0 ), 4), 1)) ), " - ")</f>
        <v>583.5</v>
      </c>
      <c r="AE23" s="94" t="str">
        <f>IF( $X23 &lt;&gt;"", IFERROR( INDEX( BseDados!$B$5:$E$11, MATCH($X23, BseDados!$B$5:$B$11, 0 ), 3), X23 ), " - ")</f>
        <v>L</v>
      </c>
    </row>
    <row r="24" spans="3:31" x14ac:dyDescent="0.25">
      <c r="C24" s="98" t="s">
        <v>121</v>
      </c>
      <c r="D24" s="98"/>
      <c r="E24" s="98" t="s">
        <v>114</v>
      </c>
      <c r="F24" s="98" t="s">
        <v>113</v>
      </c>
      <c r="G24" s="98"/>
      <c r="H24" s="98" t="s">
        <v>120</v>
      </c>
      <c r="I24" s="98" t="s">
        <v>119</v>
      </c>
      <c r="J24" s="98"/>
      <c r="K24" s="98"/>
      <c r="L24" s="98" t="s">
        <v>125</v>
      </c>
      <c r="M24" s="98"/>
      <c r="N24" s="98" t="s">
        <v>129</v>
      </c>
      <c r="P24" s="106">
        <v>36.35</v>
      </c>
      <c r="R24" s="104"/>
      <c r="S24" s="103"/>
      <c r="T24" s="102" t="s">
        <v>112</v>
      </c>
      <c r="U24" s="101"/>
      <c r="W24" s="100">
        <v>40</v>
      </c>
      <c r="X24" s="99" t="s">
        <v>115</v>
      </c>
      <c r="Z24" s="98"/>
      <c r="AB24" s="97">
        <f t="shared" si="0"/>
        <v>36.35</v>
      </c>
      <c r="AC24" s="96" t="str">
        <f t="shared" si="1"/>
        <v>Tb</v>
      </c>
      <c r="AD24" s="95">
        <f xml:space="preserve"> IF( AND(W24 &lt;&gt; "", P24 &lt;&gt; "" ),  AB24 / ( W24 /   (IFERROR( INDEX( BseDados!$B$5:$E$11, MATCH(X24, BseDados!$B$5:$B$11, 0 ), 4), 1)) ), " - ")</f>
        <v>908.75</v>
      </c>
      <c r="AE24" s="94" t="str">
        <f>IF( $X24 &lt;&gt;"", IFERROR( INDEX( BseDados!$B$5:$E$11, MATCH($X24, BseDados!$B$5:$B$11, 0 ), 3), X24 ), " - ")</f>
        <v>Kg</v>
      </c>
    </row>
    <row r="25" spans="3:31" x14ac:dyDescent="0.25">
      <c r="C25" s="98" t="s">
        <v>121</v>
      </c>
      <c r="D25" s="98"/>
      <c r="E25" s="98" t="s">
        <v>114</v>
      </c>
      <c r="F25" s="98" t="s">
        <v>113</v>
      </c>
      <c r="G25" s="98"/>
      <c r="H25" s="98" t="s">
        <v>120</v>
      </c>
      <c r="I25" s="98" t="s">
        <v>119</v>
      </c>
      <c r="J25" s="98"/>
      <c r="K25" s="98" t="s">
        <v>128</v>
      </c>
      <c r="L25" s="98" t="s">
        <v>125</v>
      </c>
      <c r="M25" s="98"/>
      <c r="N25" s="98" t="s">
        <v>127</v>
      </c>
      <c r="P25" s="106">
        <v>69.900000000000006</v>
      </c>
      <c r="R25" s="104"/>
      <c r="S25" s="103"/>
      <c r="T25" s="102" t="s">
        <v>112</v>
      </c>
      <c r="U25" s="101"/>
      <c r="W25" s="100">
        <v>50</v>
      </c>
      <c r="X25" s="99" t="s">
        <v>115</v>
      </c>
      <c r="Z25" s="98"/>
      <c r="AB25" s="97">
        <f t="shared" si="0"/>
        <v>69.900000000000006</v>
      </c>
      <c r="AC25" s="96" t="str">
        <f t="shared" si="1"/>
        <v>Tb</v>
      </c>
      <c r="AD25" s="95">
        <f xml:space="preserve"> IF( AND(W25 &lt;&gt; "", P25 &lt;&gt; "" ),  AB25 / ( W25 /   (IFERROR( INDEX( BseDados!$B$5:$E$11, MATCH(X25, BseDados!$B$5:$B$11, 0 ), 4), 1)) ), " - ")</f>
        <v>1398</v>
      </c>
      <c r="AE25" s="94" t="str">
        <f>IF( $X25 &lt;&gt;"", IFERROR( INDEX( BseDados!$B$5:$E$11, MATCH($X25, BseDados!$B$5:$B$11, 0 ), 3), X25 ), " - ")</f>
        <v>Kg</v>
      </c>
    </row>
    <row r="26" spans="3:31" x14ac:dyDescent="0.25">
      <c r="C26" s="98" t="s">
        <v>126</v>
      </c>
      <c r="D26" s="98"/>
      <c r="E26" s="98" t="s">
        <v>114</v>
      </c>
      <c r="F26" s="98" t="s">
        <v>113</v>
      </c>
      <c r="G26" s="98"/>
      <c r="H26" s="98" t="s">
        <v>120</v>
      </c>
      <c r="I26" s="98" t="s">
        <v>119</v>
      </c>
      <c r="J26" s="98"/>
      <c r="K26" s="98"/>
      <c r="L26" s="98" t="s">
        <v>125</v>
      </c>
      <c r="M26" s="98"/>
      <c r="N26" s="98" t="s">
        <v>124</v>
      </c>
      <c r="P26" s="106">
        <v>69.900000000000006</v>
      </c>
      <c r="R26" s="104"/>
      <c r="S26" s="103"/>
      <c r="T26" s="102" t="s">
        <v>112</v>
      </c>
      <c r="U26" s="101"/>
      <c r="W26" s="100">
        <v>40</v>
      </c>
      <c r="X26" s="99" t="s">
        <v>115</v>
      </c>
      <c r="Z26" s="98"/>
      <c r="AB26" s="97">
        <f t="shared" si="0"/>
        <v>69.900000000000006</v>
      </c>
      <c r="AC26" s="96" t="str">
        <f t="shared" si="1"/>
        <v>Tb</v>
      </c>
      <c r="AD26" s="95">
        <f xml:space="preserve"> IF( AND(W26 &lt;&gt; "", P26 &lt;&gt; "" ),  AB26 / ( W26 /   (IFERROR( INDEX( BseDados!$B$5:$E$11, MATCH(X26, BseDados!$B$5:$B$11, 0 ), 4), 1)) ), " - ")</f>
        <v>1747.5</v>
      </c>
      <c r="AE26" s="94" t="str">
        <f>IF( $X26 &lt;&gt;"", IFERROR( INDEX( BseDados!$B$5:$E$11, MATCH($X26, BseDados!$B$5:$B$11, 0 ), 3), X26 ), " - ")</f>
        <v>Kg</v>
      </c>
    </row>
    <row r="27" spans="3:31" x14ac:dyDescent="0.25">
      <c r="C27" s="98" t="s">
        <v>121</v>
      </c>
      <c r="D27" s="98"/>
      <c r="E27" s="98" t="s">
        <v>114</v>
      </c>
      <c r="F27" s="98" t="s">
        <v>113</v>
      </c>
      <c r="G27" s="98"/>
      <c r="H27" s="98" t="s">
        <v>120</v>
      </c>
      <c r="I27" s="98" t="s">
        <v>119</v>
      </c>
      <c r="J27" s="98"/>
      <c r="K27" s="98"/>
      <c r="L27" s="98" t="s">
        <v>117</v>
      </c>
      <c r="M27" s="98" t="s">
        <v>123</v>
      </c>
      <c r="N27" s="98" t="s">
        <v>122</v>
      </c>
      <c r="P27" s="106">
        <v>41.39</v>
      </c>
      <c r="R27" s="104"/>
      <c r="S27" s="103"/>
      <c r="T27" s="102" t="s">
        <v>112</v>
      </c>
      <c r="U27" s="101"/>
      <c r="W27" s="100">
        <v>200</v>
      </c>
      <c r="X27" s="99" t="s">
        <v>111</v>
      </c>
      <c r="Z27" s="98"/>
      <c r="AB27" s="97">
        <f t="shared" si="0"/>
        <v>41.39</v>
      </c>
      <c r="AC27" s="96" t="str">
        <f t="shared" si="1"/>
        <v>Tb</v>
      </c>
      <c r="AD27" s="95">
        <f xml:space="preserve"> IF( AND(W27 &lt;&gt; "", P27 &lt;&gt; "" ),  AB27 / ( W27 /   (IFERROR( INDEX( BseDados!$B$5:$E$11, MATCH(X27, BseDados!$B$5:$B$11, 0 ), 4), 1)) ), " - ")</f>
        <v>206.95</v>
      </c>
      <c r="AE27" s="94" t="str">
        <f>IF( $X27 &lt;&gt;"", IFERROR( INDEX( BseDados!$B$5:$E$11, MATCH($X27, BseDados!$B$5:$B$11, 0 ), 3), X27 ), " - ")</f>
        <v>L</v>
      </c>
    </row>
    <row r="28" spans="3:31" x14ac:dyDescent="0.25">
      <c r="C28" s="98" t="s">
        <v>121</v>
      </c>
      <c r="D28" s="98"/>
      <c r="E28" s="98" t="s">
        <v>114</v>
      </c>
      <c r="F28" s="98" t="s">
        <v>113</v>
      </c>
      <c r="G28" s="98"/>
      <c r="H28" s="98" t="s">
        <v>120</v>
      </c>
      <c r="I28" s="98" t="s">
        <v>119</v>
      </c>
      <c r="J28" s="98"/>
      <c r="K28" s="98" t="s">
        <v>118</v>
      </c>
      <c r="L28" s="98" t="s">
        <v>117</v>
      </c>
      <c r="M28" s="98"/>
      <c r="N28" s="98" t="s">
        <v>116</v>
      </c>
      <c r="P28" s="106">
        <v>69.900000000000006</v>
      </c>
      <c r="R28" s="104"/>
      <c r="S28" s="103"/>
      <c r="T28" s="102" t="s">
        <v>112</v>
      </c>
      <c r="U28" s="101"/>
      <c r="W28" s="100">
        <v>40</v>
      </c>
      <c r="X28" s="99" t="s">
        <v>115</v>
      </c>
      <c r="Z28" s="98"/>
      <c r="AB28" s="97">
        <f t="shared" si="0"/>
        <v>69.900000000000006</v>
      </c>
      <c r="AC28" s="96" t="str">
        <f t="shared" si="1"/>
        <v>Tb</v>
      </c>
      <c r="AD28" s="95">
        <f xml:space="preserve"> IF( AND(W28 &lt;&gt; "", P28 &lt;&gt; "" ),  AB28 / ( W28 /   (IFERROR( INDEX( BseDados!$B$5:$E$11, MATCH(X28, BseDados!$B$5:$B$11, 0 ), 4), 1)) ), " - ")</f>
        <v>1747.5</v>
      </c>
      <c r="AE28" s="94" t="str">
        <f>IF( $X28 &lt;&gt;"", IFERROR( INDEX( BseDados!$B$5:$E$11, MATCH($X28, BseDados!$B$5:$B$11, 0 ), 3), X28 ), " - ")</f>
        <v>Kg</v>
      </c>
    </row>
    <row r="29" spans="3:31" x14ac:dyDescent="0.25">
      <c r="C29" s="98"/>
      <c r="D29" s="98"/>
      <c r="E29" s="98" t="s">
        <v>114</v>
      </c>
      <c r="F29" s="98" t="s">
        <v>113</v>
      </c>
      <c r="G29" s="98"/>
      <c r="H29" s="98"/>
      <c r="I29" s="98"/>
      <c r="J29" s="98"/>
      <c r="K29" s="98"/>
      <c r="L29" s="98"/>
      <c r="M29" s="98"/>
      <c r="N29" s="98"/>
      <c r="P29" s="106"/>
      <c r="R29" s="104"/>
      <c r="S29" s="103"/>
      <c r="T29" s="102" t="s">
        <v>112</v>
      </c>
      <c r="U29" s="101"/>
      <c r="W29" s="100">
        <v>200</v>
      </c>
      <c r="X29" s="99" t="s">
        <v>111</v>
      </c>
      <c r="Z29" s="98"/>
      <c r="AB29" s="97" t="str">
        <f t="shared" si="0"/>
        <v xml:space="preserve"> - </v>
      </c>
      <c r="AC29" s="96" t="str">
        <f t="shared" si="1"/>
        <v xml:space="preserve"> - </v>
      </c>
      <c r="AD29" s="95" t="str">
        <f xml:space="preserve"> IF( AND(W29 &lt;&gt; "", P29 &lt;&gt; "" ),  AB29 / ( W29 /   (IFERROR( INDEX( BseDados!$B$5:$E$11, MATCH(X29, BseDados!$B$5:$B$11, 0 ), 4), 1)) ), " - ")</f>
        <v xml:space="preserve"> - </v>
      </c>
      <c r="AE29" s="94" t="str">
        <f>IF( $X29 &lt;&gt;"", IFERROR( INDEX( BseDados!$B$5:$E$11, MATCH($X29, BseDados!$B$5:$B$11, 0 ), 3), X29 ), " - ")</f>
        <v>L</v>
      </c>
    </row>
    <row r="30" spans="3:31" x14ac:dyDescent="0.25">
      <c r="C30" s="98"/>
      <c r="D30" s="98"/>
      <c r="E30" s="98" t="s">
        <v>114</v>
      </c>
      <c r="F30" s="98" t="s">
        <v>113</v>
      </c>
      <c r="G30" s="98"/>
      <c r="H30" s="98"/>
      <c r="I30" s="98"/>
      <c r="J30" s="98"/>
      <c r="K30" s="98"/>
      <c r="L30" s="98"/>
      <c r="M30" s="98"/>
      <c r="N30" s="98"/>
      <c r="P30" s="106"/>
      <c r="R30" s="104"/>
      <c r="S30" s="103"/>
      <c r="T30" s="102" t="s">
        <v>112</v>
      </c>
      <c r="U30" s="101"/>
      <c r="W30" s="100">
        <v>200</v>
      </c>
      <c r="X30" s="99" t="s">
        <v>111</v>
      </c>
      <c r="Z30" s="98"/>
      <c r="AB30" s="97" t="str">
        <f t="shared" si="0"/>
        <v xml:space="preserve"> - </v>
      </c>
      <c r="AC30" s="96" t="str">
        <f t="shared" si="1"/>
        <v xml:space="preserve"> - </v>
      </c>
      <c r="AD30" s="95" t="str">
        <f xml:space="preserve"> IF( AND(W30 &lt;&gt; "", P30 &lt;&gt; "" ),  AB30 / ( W30 /   (IFERROR( INDEX( BseDados!$B$5:$E$11, MATCH(X30, BseDados!$B$5:$B$11, 0 ), 4), 1)) ), " - ")</f>
        <v xml:space="preserve"> - </v>
      </c>
      <c r="AE30" s="94" t="str">
        <f>IF( $X30 &lt;&gt;"", IFERROR( INDEX( BseDados!$B$5:$E$11, MATCH($X30, BseDados!$B$5:$B$11, 0 ), 3), X30 ), " - ")</f>
        <v>L</v>
      </c>
    </row>
    <row r="31" spans="3:31" x14ac:dyDescent="0.25">
      <c r="C31" s="98"/>
      <c r="D31" s="98"/>
      <c r="E31" s="98" t="s">
        <v>114</v>
      </c>
      <c r="F31" s="98" t="s">
        <v>113</v>
      </c>
      <c r="G31" s="98"/>
      <c r="H31" s="98"/>
      <c r="I31" s="98"/>
      <c r="J31" s="98"/>
      <c r="K31" s="98"/>
      <c r="L31" s="98"/>
      <c r="M31" s="98"/>
      <c r="N31" s="98"/>
      <c r="P31" s="106"/>
      <c r="R31" s="104"/>
      <c r="S31" s="103"/>
      <c r="T31" s="102" t="s">
        <v>112</v>
      </c>
      <c r="U31" s="101"/>
      <c r="W31" s="100">
        <v>200</v>
      </c>
      <c r="X31" s="99" t="s">
        <v>111</v>
      </c>
      <c r="Z31" s="98"/>
      <c r="AB31" s="97" t="str">
        <f t="shared" si="0"/>
        <v xml:space="preserve"> - </v>
      </c>
      <c r="AC31" s="96" t="str">
        <f t="shared" si="1"/>
        <v xml:space="preserve"> - </v>
      </c>
      <c r="AD31" s="95" t="str">
        <f xml:space="preserve"> IF( AND(W31 &lt;&gt; "", P31 &lt;&gt; "" ),  AB31 / ( W31 /   (IFERROR( INDEX( BseDados!$B$5:$E$11, MATCH(X31, BseDados!$B$5:$B$11, 0 ), 4), 1)) ), " - ")</f>
        <v xml:space="preserve"> - </v>
      </c>
      <c r="AE31" s="94" t="str">
        <f>IF( $X31 &lt;&gt;"", IFERROR( INDEX( BseDados!$B$5:$E$11, MATCH($X31, BseDados!$B$5:$B$11, 0 ), 3), X31 ), " - ")</f>
        <v>L</v>
      </c>
    </row>
    <row r="32" spans="3:31" x14ac:dyDescent="0.25">
      <c r="C32" s="98"/>
      <c r="D32" s="98"/>
      <c r="E32" s="98" t="s">
        <v>114</v>
      </c>
      <c r="F32" s="98" t="s">
        <v>113</v>
      </c>
      <c r="G32" s="98"/>
      <c r="H32" s="98"/>
      <c r="I32" s="98"/>
      <c r="J32" s="98"/>
      <c r="K32" s="98"/>
      <c r="L32" s="98"/>
      <c r="M32" s="98"/>
      <c r="N32" s="98"/>
      <c r="P32" s="106"/>
      <c r="R32" s="104"/>
      <c r="S32" s="103"/>
      <c r="T32" s="102" t="s">
        <v>112</v>
      </c>
      <c r="U32" s="101"/>
      <c r="W32" s="100">
        <v>200</v>
      </c>
      <c r="X32" s="99" t="s">
        <v>111</v>
      </c>
      <c r="Z32" s="98"/>
      <c r="AB32" s="97" t="str">
        <f t="shared" si="0"/>
        <v xml:space="preserve"> - </v>
      </c>
      <c r="AC32" s="96" t="str">
        <f t="shared" si="1"/>
        <v xml:space="preserve"> - </v>
      </c>
      <c r="AD32" s="95" t="str">
        <f xml:space="preserve"> IF( AND(W32 &lt;&gt; "", P32 &lt;&gt; "" ),  AB32 / ( W32 /   (IFERROR( INDEX( BseDados!$B$5:$E$11, MATCH(X32, BseDados!$B$5:$B$11, 0 ), 4), 1)) ), " - ")</f>
        <v xml:space="preserve"> - </v>
      </c>
      <c r="AE32" s="94" t="str">
        <f>IF( $X32 &lt;&gt;"", IFERROR( INDEX( BseDados!$B$5:$E$11, MATCH($X32, BseDados!$B$5:$B$11, 0 ), 3), X32 ), " - ")</f>
        <v>L</v>
      </c>
    </row>
    <row r="33" spans="3:31" x14ac:dyDescent="0.25">
      <c r="C33" s="98"/>
      <c r="D33" s="98"/>
      <c r="E33" s="98" t="s">
        <v>114</v>
      </c>
      <c r="F33" s="98" t="s">
        <v>113</v>
      </c>
      <c r="G33" s="98"/>
      <c r="H33" s="98"/>
      <c r="I33" s="98"/>
      <c r="J33" s="98"/>
      <c r="K33" s="98"/>
      <c r="L33" s="98"/>
      <c r="M33" s="98"/>
      <c r="N33" s="98"/>
      <c r="P33" s="106"/>
      <c r="R33" s="104"/>
      <c r="S33" s="103"/>
      <c r="T33" s="102" t="s">
        <v>112</v>
      </c>
      <c r="U33" s="101"/>
      <c r="W33" s="100">
        <v>200</v>
      </c>
      <c r="X33" s="99" t="s">
        <v>111</v>
      </c>
      <c r="Z33" s="98"/>
      <c r="AB33" s="97" t="str">
        <f t="shared" si="0"/>
        <v xml:space="preserve"> - </v>
      </c>
      <c r="AC33" s="96" t="str">
        <f t="shared" si="1"/>
        <v xml:space="preserve"> - </v>
      </c>
      <c r="AD33" s="95" t="str">
        <f xml:space="preserve"> IF( AND(W33 &lt;&gt; "", P33 &lt;&gt; "" ),  AB33 / ( W33 /   (IFERROR( INDEX( BseDados!$B$5:$E$11, MATCH(X33, BseDados!$B$5:$B$11, 0 ), 4), 1)) ), " - ")</f>
        <v xml:space="preserve"> - </v>
      </c>
      <c r="AE33" s="94" t="str">
        <f>IF( $X33 &lt;&gt;"", IFERROR( INDEX( BseDados!$B$5:$E$11, MATCH($X33, BseDados!$B$5:$B$11, 0 ), 3), X33 ), " - ")</f>
        <v>L</v>
      </c>
    </row>
    <row r="34" spans="3:31" x14ac:dyDescent="0.25">
      <c r="C34" s="98"/>
      <c r="D34" s="98"/>
      <c r="E34" s="98" t="s">
        <v>114</v>
      </c>
      <c r="F34" s="98" t="s">
        <v>113</v>
      </c>
      <c r="G34" s="98"/>
      <c r="H34" s="98"/>
      <c r="I34" s="98"/>
      <c r="J34" s="98"/>
      <c r="K34" s="98"/>
      <c r="L34" s="98"/>
      <c r="M34" s="98"/>
      <c r="N34" s="98"/>
      <c r="P34" s="106"/>
      <c r="R34" s="104"/>
      <c r="S34" s="103"/>
      <c r="T34" s="102" t="s">
        <v>112</v>
      </c>
      <c r="U34" s="101"/>
      <c r="W34" s="100">
        <v>200</v>
      </c>
      <c r="X34" s="99" t="s">
        <v>111</v>
      </c>
      <c r="Z34" s="98"/>
      <c r="AB34" s="97" t="str">
        <f t="shared" si="0"/>
        <v xml:space="preserve"> - </v>
      </c>
      <c r="AC34" s="96" t="str">
        <f t="shared" si="1"/>
        <v xml:space="preserve"> - </v>
      </c>
      <c r="AD34" s="95" t="str">
        <f xml:space="preserve"> IF( AND(W34 &lt;&gt; "", P34 &lt;&gt; "" ),  AB34 / ( W34 /   (IFERROR( INDEX( BseDados!$B$5:$E$11, MATCH(X34, BseDados!$B$5:$B$11, 0 ), 4), 1)) ), " - ")</f>
        <v xml:space="preserve"> - </v>
      </c>
      <c r="AE34" s="94" t="str">
        <f>IF( $X34 &lt;&gt;"", IFERROR( INDEX( BseDados!$B$5:$E$11, MATCH($X34, BseDados!$B$5:$B$11, 0 ), 3), X34 ), " - ")</f>
        <v>L</v>
      </c>
    </row>
    <row r="35" spans="3:31" x14ac:dyDescent="0.25">
      <c r="C35" s="98"/>
      <c r="D35" s="98"/>
      <c r="E35" s="98" t="s">
        <v>114</v>
      </c>
      <c r="F35" s="98" t="s">
        <v>113</v>
      </c>
      <c r="G35" s="98"/>
      <c r="H35" s="98"/>
      <c r="I35" s="98"/>
      <c r="J35" s="98"/>
      <c r="K35" s="98"/>
      <c r="L35" s="98"/>
      <c r="M35" s="98"/>
      <c r="N35" s="98"/>
      <c r="P35" s="106"/>
      <c r="R35" s="104"/>
      <c r="S35" s="103"/>
      <c r="T35" s="102" t="s">
        <v>112</v>
      </c>
      <c r="U35" s="101"/>
      <c r="W35" s="100">
        <v>200</v>
      </c>
      <c r="X35" s="99" t="s">
        <v>111</v>
      </c>
      <c r="Z35" s="98"/>
      <c r="AB35" s="97" t="str">
        <f t="shared" si="0"/>
        <v xml:space="preserve"> - </v>
      </c>
      <c r="AC35" s="96" t="str">
        <f t="shared" si="1"/>
        <v xml:space="preserve"> - </v>
      </c>
      <c r="AD35" s="95" t="str">
        <f xml:space="preserve"> IF( AND(W35 &lt;&gt; "", P35 &lt;&gt; "" ),  AB35 / ( W35 /   (IFERROR( INDEX( BseDados!$B$5:$E$11, MATCH(X35, BseDados!$B$5:$B$11, 0 ), 4), 1)) ), " - ")</f>
        <v xml:space="preserve"> - </v>
      </c>
      <c r="AE35" s="94" t="str">
        <f>IF( $X35 &lt;&gt;"", IFERROR( INDEX( BseDados!$B$5:$E$11, MATCH($X35, BseDados!$B$5:$B$11, 0 ), 3), X35 ), " - ")</f>
        <v>L</v>
      </c>
    </row>
    <row r="36" spans="3:31" x14ac:dyDescent="0.25">
      <c r="C36" s="98"/>
      <c r="D36" s="98"/>
      <c r="E36" s="98" t="s">
        <v>114</v>
      </c>
      <c r="F36" s="98" t="s">
        <v>113</v>
      </c>
      <c r="G36" s="98"/>
      <c r="H36" s="98"/>
      <c r="I36" s="98"/>
      <c r="J36" s="98"/>
      <c r="K36" s="98"/>
      <c r="L36" s="98"/>
      <c r="M36" s="98"/>
      <c r="N36" s="98"/>
      <c r="P36" s="106"/>
      <c r="R36" s="104"/>
      <c r="S36" s="103"/>
      <c r="T36" s="102" t="s">
        <v>112</v>
      </c>
      <c r="U36" s="101"/>
      <c r="W36" s="100">
        <v>200</v>
      </c>
      <c r="X36" s="99" t="s">
        <v>111</v>
      </c>
      <c r="Z36" s="98"/>
      <c r="AB36" s="97" t="str">
        <f t="shared" si="0"/>
        <v xml:space="preserve"> - </v>
      </c>
      <c r="AC36" s="96" t="str">
        <f t="shared" si="1"/>
        <v xml:space="preserve"> - </v>
      </c>
      <c r="AD36" s="95" t="str">
        <f xml:space="preserve"> IF( AND(W36 &lt;&gt; "", P36 &lt;&gt; "" ),  AB36 / ( W36 /   (IFERROR( INDEX( BseDados!$B$5:$E$11, MATCH(X36, BseDados!$B$5:$B$11, 0 ), 4), 1)) ), " - ")</f>
        <v xml:space="preserve"> - </v>
      </c>
      <c r="AE36" s="94" t="str">
        <f>IF( $X36 &lt;&gt;"", IFERROR( INDEX( BseDados!$B$5:$E$11, MATCH($X36, BseDados!$B$5:$B$11, 0 ), 3), X36 ), " - ")</f>
        <v>L</v>
      </c>
    </row>
    <row r="37" spans="3:31" x14ac:dyDescent="0.25">
      <c r="C37" s="98"/>
      <c r="D37" s="98"/>
      <c r="E37" s="98" t="s">
        <v>114</v>
      </c>
      <c r="F37" s="98" t="s">
        <v>113</v>
      </c>
      <c r="G37" s="98"/>
      <c r="H37" s="98"/>
      <c r="I37" s="98"/>
      <c r="J37" s="98"/>
      <c r="K37" s="98"/>
      <c r="L37" s="98"/>
      <c r="M37" s="98"/>
      <c r="N37" s="98"/>
      <c r="P37" s="106"/>
      <c r="R37" s="104"/>
      <c r="S37" s="103"/>
      <c r="T37" s="102" t="s">
        <v>112</v>
      </c>
      <c r="U37" s="101"/>
      <c r="W37" s="100">
        <v>200</v>
      </c>
      <c r="X37" s="99" t="s">
        <v>111</v>
      </c>
      <c r="Z37" s="98"/>
      <c r="AB37" s="97" t="str">
        <f t="shared" si="0"/>
        <v xml:space="preserve"> - </v>
      </c>
      <c r="AC37" s="96" t="str">
        <f t="shared" si="1"/>
        <v xml:space="preserve"> - </v>
      </c>
      <c r="AD37" s="95" t="str">
        <f xml:space="preserve"> IF( AND(W37 &lt;&gt; "", P37 &lt;&gt; "" ),  AB37 / ( W37 /   (IFERROR( INDEX( BseDados!$B$5:$E$11, MATCH(X37, BseDados!$B$5:$B$11, 0 ), 4), 1)) ), " - ")</f>
        <v xml:space="preserve"> - </v>
      </c>
      <c r="AE37" s="94" t="str">
        <f>IF( $X37 &lt;&gt;"", IFERROR( INDEX( BseDados!$B$5:$E$11, MATCH($X37, BseDados!$B$5:$B$11, 0 ), 3), X37 ), " - ")</f>
        <v>L</v>
      </c>
    </row>
    <row r="38" spans="3:31" x14ac:dyDescent="0.25">
      <c r="C38" s="98"/>
      <c r="D38" s="98"/>
      <c r="E38" s="98" t="s">
        <v>114</v>
      </c>
      <c r="F38" s="98" t="s">
        <v>113</v>
      </c>
      <c r="G38" s="98"/>
      <c r="H38" s="98"/>
      <c r="I38" s="98"/>
      <c r="J38" s="98"/>
      <c r="K38" s="98"/>
      <c r="L38" s="98"/>
      <c r="M38" s="98"/>
      <c r="N38" s="98"/>
      <c r="P38" s="106"/>
      <c r="R38" s="104"/>
      <c r="S38" s="103"/>
      <c r="T38" s="102" t="s">
        <v>112</v>
      </c>
      <c r="U38" s="101"/>
      <c r="W38" s="100">
        <v>200</v>
      </c>
      <c r="X38" s="99" t="s">
        <v>111</v>
      </c>
      <c r="Z38" s="98"/>
      <c r="AB38" s="97" t="str">
        <f t="shared" si="0"/>
        <v xml:space="preserve"> - </v>
      </c>
      <c r="AC38" s="96" t="str">
        <f t="shared" si="1"/>
        <v xml:space="preserve"> - </v>
      </c>
      <c r="AD38" s="95" t="str">
        <f xml:space="preserve"> IF( AND(W38 &lt;&gt; "", P38 &lt;&gt; "" ),  AB38 / ( W38 /   (IFERROR( INDEX( BseDados!$B$5:$E$11, MATCH(X38, BseDados!$B$5:$B$11, 0 ), 4), 1)) ), " - ")</f>
        <v xml:space="preserve"> - </v>
      </c>
      <c r="AE38" s="94" t="str">
        <f>IF( $X38 &lt;&gt;"", IFERROR( INDEX( BseDados!$B$5:$E$11, MATCH($X38, BseDados!$B$5:$B$11, 0 ), 3), X38 ), " - ")</f>
        <v>L</v>
      </c>
    </row>
    <row r="39" spans="3:31" x14ac:dyDescent="0.25">
      <c r="C39" s="98"/>
      <c r="D39" s="98"/>
      <c r="E39" s="98" t="s">
        <v>114</v>
      </c>
      <c r="F39" s="98" t="s">
        <v>113</v>
      </c>
      <c r="G39" s="98"/>
      <c r="H39" s="98"/>
      <c r="I39" s="98"/>
      <c r="J39" s="98"/>
      <c r="K39" s="98"/>
      <c r="L39" s="98"/>
      <c r="M39" s="98"/>
      <c r="N39" s="98"/>
      <c r="P39" s="106"/>
      <c r="R39" s="104"/>
      <c r="S39" s="103"/>
      <c r="T39" s="102" t="s">
        <v>112</v>
      </c>
      <c r="U39" s="101"/>
      <c r="W39" s="100">
        <v>200</v>
      </c>
      <c r="X39" s="99" t="s">
        <v>111</v>
      </c>
      <c r="Z39" s="98"/>
      <c r="AB39" s="97" t="str">
        <f t="shared" si="0"/>
        <v xml:space="preserve"> - </v>
      </c>
      <c r="AC39" s="96" t="str">
        <f t="shared" si="1"/>
        <v xml:space="preserve"> - </v>
      </c>
      <c r="AD39" s="95" t="str">
        <f xml:space="preserve"> IF( AND(W39 &lt;&gt; "", P39 &lt;&gt; "" ),  AB39 / ( W39 /   (IFERROR( INDEX( BseDados!$B$5:$E$11, MATCH(X39, BseDados!$B$5:$B$11, 0 ), 4), 1)) ), " - ")</f>
        <v xml:space="preserve"> - </v>
      </c>
      <c r="AE39" s="94" t="str">
        <f>IF( $X39 &lt;&gt;"", IFERROR( INDEX( BseDados!$B$5:$E$11, MATCH($X39, BseDados!$B$5:$B$11, 0 ), 3), X39 ), " - ")</f>
        <v>L</v>
      </c>
    </row>
    <row r="40" spans="3:31" x14ac:dyDescent="0.25">
      <c r="C40" s="98"/>
      <c r="D40" s="98"/>
      <c r="E40" s="98" t="s">
        <v>114</v>
      </c>
      <c r="F40" s="98" t="s">
        <v>113</v>
      </c>
      <c r="G40" s="98"/>
      <c r="H40" s="98"/>
      <c r="I40" s="98"/>
      <c r="J40" s="98"/>
      <c r="K40" s="98"/>
      <c r="L40" s="98"/>
      <c r="M40" s="98"/>
      <c r="N40" s="98"/>
      <c r="P40" s="106"/>
      <c r="R40" s="104"/>
      <c r="S40" s="103"/>
      <c r="T40" s="102" t="s">
        <v>112</v>
      </c>
      <c r="U40" s="101"/>
      <c r="W40" s="100">
        <v>200</v>
      </c>
      <c r="X40" s="99" t="s">
        <v>111</v>
      </c>
      <c r="Z40" s="98"/>
      <c r="AB40" s="97" t="str">
        <f t="shared" si="0"/>
        <v xml:space="preserve"> - </v>
      </c>
      <c r="AC40" s="96" t="str">
        <f t="shared" si="1"/>
        <v xml:space="preserve"> - </v>
      </c>
      <c r="AD40" s="95" t="str">
        <f xml:space="preserve"> IF( AND(W40 &lt;&gt; "", P40 &lt;&gt; "" ),  AB40 / ( W40 /   (IFERROR( INDEX( BseDados!$B$5:$E$11, MATCH(X40, BseDados!$B$5:$B$11, 0 ), 4), 1)) ), " - ")</f>
        <v xml:space="preserve"> - </v>
      </c>
      <c r="AE40" s="94" t="str">
        <f>IF( $X40 &lt;&gt;"", IFERROR( INDEX( BseDados!$B$5:$E$11, MATCH($X40, BseDados!$B$5:$B$11, 0 ), 3), X40 ), " - ")</f>
        <v>L</v>
      </c>
    </row>
    <row r="41" spans="3:31" x14ac:dyDescent="0.25"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P41" s="106"/>
      <c r="R41" s="104"/>
      <c r="S41" s="103"/>
      <c r="T41" s="102"/>
      <c r="U41" s="101"/>
      <c r="W41" s="100"/>
      <c r="X41" s="99"/>
      <c r="Z41" s="98"/>
      <c r="AB41" s="97" t="str">
        <f t="shared" si="0"/>
        <v xml:space="preserve"> - </v>
      </c>
      <c r="AC41" s="96" t="str">
        <f t="shared" si="1"/>
        <v xml:space="preserve"> - </v>
      </c>
      <c r="AD41" s="95" t="str">
        <f xml:space="preserve"> IF( AND(W41 &lt;&gt; "", P41 &lt;&gt; "" ),  AB41 / ( W41 /   (IFERROR( INDEX( BseDados!$B$5:$E$11, MATCH(X41, BseDados!$B$5:$B$11, 0 ), 4), 1)) ), " - ")</f>
        <v xml:space="preserve"> - </v>
      </c>
      <c r="AE41" s="94" t="str">
        <f>IF( $X41 &lt;&gt;"", IFERROR( INDEX( BseDados!$B$5:$E$11, MATCH($X41, BseDados!$B$5:$B$11, 0 ), 3), X41 ), " - ")</f>
        <v xml:space="preserve"> - </v>
      </c>
    </row>
    <row r="42" spans="3:31" x14ac:dyDescent="0.25"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P42" s="106"/>
      <c r="R42" s="104"/>
      <c r="S42" s="103"/>
      <c r="T42" s="102"/>
      <c r="U42" s="101"/>
      <c r="W42" s="100"/>
      <c r="X42" s="99"/>
      <c r="Z42" s="98"/>
      <c r="AB42" s="97" t="str">
        <f t="shared" ref="AB42:AB69" si="2" xml:space="preserve"> IF(P42 &lt;&gt;"", IF( S42&lt;&gt;"",  P42/S42, P42   ), " - " )</f>
        <v xml:space="preserve"> - </v>
      </c>
      <c r="AC42" s="96" t="str">
        <f t="shared" si="1"/>
        <v xml:space="preserve"> - </v>
      </c>
      <c r="AD42" s="95" t="str">
        <f xml:space="preserve"> IF( AND(W42 &lt;&gt; "", P42 &lt;&gt; "" ),  AB42 / ( W42 /   (IFERROR( INDEX( BseDados!$B$5:$E$11, MATCH(X42, BseDados!$B$5:$B$11, 0 ), 4), 1)) ), " - ")</f>
        <v xml:space="preserve"> - </v>
      </c>
      <c r="AE42" s="94" t="str">
        <f>IF( $X42 &lt;&gt;"", IFERROR( INDEX( BseDados!$B$5:$E$11, MATCH($X42, BseDados!$B$5:$B$11, 0 ), 3), X42 ), " - ")</f>
        <v xml:space="preserve"> - </v>
      </c>
    </row>
    <row r="43" spans="3:31" x14ac:dyDescent="0.25"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P43" s="106"/>
      <c r="R43" s="104"/>
      <c r="S43" s="103"/>
      <c r="T43" s="102"/>
      <c r="U43" s="101"/>
      <c r="W43" s="100"/>
      <c r="X43" s="99"/>
      <c r="Z43" s="98"/>
      <c r="AB43" s="97" t="str">
        <f t="shared" si="2"/>
        <v xml:space="preserve"> - </v>
      </c>
      <c r="AC43" s="96" t="str">
        <f t="shared" si="1"/>
        <v xml:space="preserve"> - </v>
      </c>
      <c r="AD43" s="95" t="str">
        <f xml:space="preserve"> IF( AND(W43 &lt;&gt; "", P43 &lt;&gt; "" ),  AB43 / ( W43 /   (IFERROR( INDEX( BseDados!$B$5:$E$11, MATCH(X43, BseDados!$B$5:$B$11, 0 ), 4), 1)) ), " - ")</f>
        <v xml:space="preserve"> - </v>
      </c>
      <c r="AE43" s="94" t="str">
        <f>IF( $X43 &lt;&gt;"", IFERROR( INDEX( BseDados!$B$5:$E$11, MATCH($X43, BseDados!$B$5:$B$11, 0 ), 3), X43 ), " - ")</f>
        <v xml:space="preserve"> - </v>
      </c>
    </row>
    <row r="44" spans="3:31" x14ac:dyDescent="0.25">
      <c r="C44" s="98"/>
      <c r="D44" s="98" t="s">
        <v>55</v>
      </c>
      <c r="E44" s="98" t="s">
        <v>110</v>
      </c>
      <c r="F44" s="98" t="s">
        <v>109</v>
      </c>
      <c r="G44" s="98"/>
      <c r="H44" s="98"/>
      <c r="I44" s="98"/>
      <c r="J44" s="98"/>
      <c r="K44" s="98"/>
      <c r="L44" s="98"/>
      <c r="M44" s="98"/>
      <c r="N44" s="98" t="s">
        <v>109</v>
      </c>
      <c r="P44" s="106">
        <v>5.6</v>
      </c>
      <c r="R44" s="104"/>
      <c r="S44" s="103"/>
      <c r="T44" s="102" t="s">
        <v>51</v>
      </c>
      <c r="U44" s="101"/>
      <c r="W44" s="100">
        <v>2</v>
      </c>
      <c r="X44" s="99" t="s">
        <v>63</v>
      </c>
      <c r="Z44" s="98">
        <v>2</v>
      </c>
      <c r="AB44" s="97">
        <f t="shared" si="2"/>
        <v>5.6</v>
      </c>
      <c r="AC44" s="96" t="str">
        <f t="shared" si="1"/>
        <v>Gr</v>
      </c>
      <c r="AD44" s="95">
        <f xml:space="preserve"> IF( AND(W44 &lt;&gt; "", P44 &lt;&gt; "" ),  AB44 / ( W44 /   (IFERROR( INDEX( BseDados!$B$5:$E$11, MATCH(X44, BseDados!$B$5:$B$11, 0 ), 4), 1)) ), " - ")</f>
        <v>2.8</v>
      </c>
      <c r="AE44" s="94" t="str">
        <f>IF( $X44 &lt;&gt;"", IFERROR( INDEX( BseDados!$B$5:$E$11, MATCH($X44, BseDados!$B$5:$B$11, 0 ), 3), X44 ), " - ")</f>
        <v>L</v>
      </c>
    </row>
    <row r="45" spans="3:31" x14ac:dyDescent="0.25">
      <c r="C45" s="98"/>
      <c r="D45" s="98" t="s">
        <v>55</v>
      </c>
      <c r="E45" s="98" t="s">
        <v>110</v>
      </c>
      <c r="F45" s="98" t="s">
        <v>109</v>
      </c>
      <c r="G45" s="98"/>
      <c r="H45" s="98"/>
      <c r="I45" s="98"/>
      <c r="J45" s="98"/>
      <c r="K45" s="98"/>
      <c r="L45" s="98"/>
      <c r="M45" s="98"/>
      <c r="N45" s="98" t="s">
        <v>109</v>
      </c>
      <c r="P45" s="106"/>
      <c r="R45" s="104"/>
      <c r="S45" s="103"/>
      <c r="T45" s="102" t="s">
        <v>64</v>
      </c>
      <c r="U45" s="101"/>
      <c r="W45" s="100">
        <v>0.35</v>
      </c>
      <c r="X45" s="99" t="s">
        <v>63</v>
      </c>
      <c r="Z45" s="98"/>
      <c r="AB45" s="97" t="str">
        <f t="shared" si="2"/>
        <v xml:space="preserve"> - </v>
      </c>
      <c r="AC45" s="96" t="str">
        <f t="shared" ref="AC45:AC69" si="3">IF( T45&lt;&gt;"", T45, " - ")</f>
        <v>Lt</v>
      </c>
      <c r="AD45" s="95" t="str">
        <f xml:space="preserve"> IF( AND(W45 &lt;&gt; "", P45 &lt;&gt; "" ),  AB45 / ( W45 /   (IFERROR( INDEX( BseDados!$B$5:$E$11, MATCH(X45, BseDados!$B$5:$B$11, 0 ), 4), 1)) ), " - ")</f>
        <v xml:space="preserve"> - </v>
      </c>
      <c r="AE45" s="94" t="str">
        <f>IF( $X45 &lt;&gt;"", IFERROR( INDEX( BseDados!$B$5:$E$11, MATCH($X45, BseDados!$B$5:$B$11, 0 ), 3), X45 ), " - ")</f>
        <v>L</v>
      </c>
    </row>
    <row r="46" spans="3:31" x14ac:dyDescent="0.25">
      <c r="C46" s="98"/>
      <c r="D46" s="98"/>
      <c r="E46" s="98" t="s">
        <v>106</v>
      </c>
      <c r="F46" s="98" t="s">
        <v>105</v>
      </c>
      <c r="G46" s="98"/>
      <c r="H46" s="98" t="s">
        <v>108</v>
      </c>
      <c r="I46" s="98"/>
      <c r="J46" s="98"/>
      <c r="K46" s="98"/>
      <c r="L46" s="98"/>
      <c r="M46" s="98"/>
      <c r="N46" s="98" t="s">
        <v>107</v>
      </c>
      <c r="P46" s="106">
        <v>45</v>
      </c>
      <c r="R46" s="104" t="s">
        <v>68</v>
      </c>
      <c r="S46" s="103">
        <v>12</v>
      </c>
      <c r="T46" s="102" t="s">
        <v>74</v>
      </c>
      <c r="U46" s="101"/>
      <c r="W46" s="100">
        <v>50</v>
      </c>
      <c r="X46" s="99" t="s">
        <v>86</v>
      </c>
      <c r="Z46" s="98"/>
      <c r="AB46" s="97">
        <f t="shared" si="2"/>
        <v>3.75</v>
      </c>
      <c r="AC46" s="96" t="str">
        <f t="shared" si="3"/>
        <v>Rl</v>
      </c>
      <c r="AD46" s="95">
        <f xml:space="preserve"> IF( AND(W46 &lt;&gt; "", P46 &lt;&gt; "" ),  AB46 / ( W46 /   (IFERROR( INDEX( BseDados!$B$5:$E$11, MATCH(X46, BseDados!$B$5:$B$11, 0 ), 4), 1)) ), " - ")</f>
        <v>7.4999999999999997E-2</v>
      </c>
      <c r="AE46" s="94" t="str">
        <f>IF( $X46 &lt;&gt;"", IFERROR( INDEX( BseDados!$B$5:$E$11, MATCH($X46, BseDados!$B$5:$B$11, 0 ), 3), X46 ), " - ")</f>
        <v>m</v>
      </c>
    </row>
    <row r="47" spans="3:31" x14ac:dyDescent="0.25">
      <c r="C47" s="98"/>
      <c r="D47" s="98"/>
      <c r="E47" s="98" t="s">
        <v>106</v>
      </c>
      <c r="F47" s="98" t="s">
        <v>105</v>
      </c>
      <c r="G47" s="98"/>
      <c r="H47" s="98" t="s">
        <v>104</v>
      </c>
      <c r="I47" s="98"/>
      <c r="J47" s="98"/>
      <c r="K47" s="98"/>
      <c r="L47" s="98"/>
      <c r="M47" s="98"/>
      <c r="N47" s="98"/>
      <c r="P47" s="106"/>
      <c r="R47" s="104"/>
      <c r="S47" s="103"/>
      <c r="T47" s="102" t="s">
        <v>74</v>
      </c>
      <c r="U47" s="101"/>
      <c r="W47" s="100">
        <v>30</v>
      </c>
      <c r="X47" s="99" t="s">
        <v>86</v>
      </c>
      <c r="Z47" s="98"/>
      <c r="AB47" s="97" t="str">
        <f t="shared" si="2"/>
        <v xml:space="preserve"> - </v>
      </c>
      <c r="AC47" s="96" t="str">
        <f t="shared" si="3"/>
        <v>Rl</v>
      </c>
      <c r="AD47" s="95" t="str">
        <f xml:space="preserve"> IF( AND(W47 &lt;&gt; "", P47 &lt;&gt; "" ),  AB47 / ( W47 /   (IFERROR( INDEX( BseDados!$B$5:$E$11, MATCH(X47, BseDados!$B$5:$B$11, 0 ), 4), 1)) ), " - ")</f>
        <v xml:space="preserve"> - </v>
      </c>
      <c r="AE47" s="94" t="str">
        <f>IF( $X47 &lt;&gt;"", IFERROR( INDEX( BseDados!$B$5:$E$11, MATCH($X47, BseDados!$B$5:$B$11, 0 ), 3), X47 ), " - ")</f>
        <v>m</v>
      </c>
    </row>
    <row r="48" spans="3:31" x14ac:dyDescent="0.25">
      <c r="C48" s="98"/>
      <c r="D48" s="98"/>
      <c r="E48" s="98" t="s">
        <v>98</v>
      </c>
      <c r="F48" s="98" t="s">
        <v>39</v>
      </c>
      <c r="G48" s="98"/>
      <c r="H48" s="98" t="s">
        <v>103</v>
      </c>
      <c r="I48" s="98"/>
      <c r="J48" s="98"/>
      <c r="K48" s="98"/>
      <c r="L48" s="98"/>
      <c r="M48" s="98"/>
      <c r="N48" s="98" t="s">
        <v>95</v>
      </c>
      <c r="P48" s="106"/>
      <c r="R48" s="104"/>
      <c r="S48" s="103"/>
      <c r="T48" s="102" t="s">
        <v>64</v>
      </c>
      <c r="U48" s="101"/>
      <c r="W48" s="100">
        <v>1</v>
      </c>
      <c r="X48" s="99" t="s">
        <v>102</v>
      </c>
      <c r="Z48" s="98"/>
      <c r="AB48" s="97" t="str">
        <f t="shared" si="2"/>
        <v xml:space="preserve"> - </v>
      </c>
      <c r="AC48" s="96" t="str">
        <f t="shared" si="3"/>
        <v>Lt</v>
      </c>
      <c r="AD48" s="95" t="str">
        <f xml:space="preserve"> IF( AND(W48 &lt;&gt; "", P48 &lt;&gt; "" ),  AB48 / ( W48 /   (IFERROR( INDEX( BseDados!$B$5:$E$11, MATCH(X48, BseDados!$B$5:$B$11, 0 ), 4), 1)) ), " - ")</f>
        <v xml:space="preserve"> - </v>
      </c>
      <c r="AE48" s="94" t="str">
        <f>IF( $X48 &lt;&gt;"", IFERROR( INDEX( BseDados!$B$5:$E$11, MATCH($X48, BseDados!$B$5:$B$11, 0 ), 3), X48 ), " - ")</f>
        <v>Kg</v>
      </c>
    </row>
    <row r="49" spans="3:31" x14ac:dyDescent="0.25">
      <c r="C49" s="98"/>
      <c r="D49" s="98"/>
      <c r="E49" s="98" t="s">
        <v>98</v>
      </c>
      <c r="F49" s="98" t="s">
        <v>39</v>
      </c>
      <c r="G49" s="98"/>
      <c r="H49" s="98" t="s">
        <v>101</v>
      </c>
      <c r="I49" s="98"/>
      <c r="J49" s="98"/>
      <c r="K49" s="98"/>
      <c r="L49" s="98"/>
      <c r="M49" s="98"/>
      <c r="N49" s="98" t="s">
        <v>95</v>
      </c>
      <c r="P49" s="106"/>
      <c r="R49" s="104"/>
      <c r="S49" s="103"/>
      <c r="T49" s="102" t="s">
        <v>70</v>
      </c>
      <c r="U49" s="101"/>
      <c r="W49" s="100">
        <v>0.5</v>
      </c>
      <c r="X49" s="99" t="s">
        <v>90</v>
      </c>
      <c r="Z49" s="98"/>
      <c r="AB49" s="97" t="str">
        <f t="shared" si="2"/>
        <v xml:space="preserve"> - </v>
      </c>
      <c r="AC49" s="96" t="str">
        <f t="shared" si="3"/>
        <v>Cx</v>
      </c>
      <c r="AD49" s="95" t="str">
        <f xml:space="preserve"> IF( AND(W49 &lt;&gt; "", P49 &lt;&gt; "" ),  AB49 / ( W49 /   (IFERROR( INDEX( BseDados!$B$5:$E$11, MATCH(X49, BseDados!$B$5:$B$11, 0 ), 4), 1)) ), " - ")</f>
        <v xml:space="preserve"> - </v>
      </c>
      <c r="AE49" s="94" t="str">
        <f>IF( $X49 &lt;&gt;"", IFERROR( INDEX( BseDados!$B$5:$E$11, MATCH($X49, BseDados!$B$5:$B$11, 0 ), 3), X49 ), " - ")</f>
        <v>Kg</v>
      </c>
    </row>
    <row r="50" spans="3:31" x14ac:dyDescent="0.25">
      <c r="C50" s="98"/>
      <c r="D50" s="98"/>
      <c r="E50" s="98" t="s">
        <v>98</v>
      </c>
      <c r="F50" s="98" t="s">
        <v>39</v>
      </c>
      <c r="G50" s="98"/>
      <c r="H50" s="98" t="s">
        <v>100</v>
      </c>
      <c r="I50" s="98"/>
      <c r="J50" s="98"/>
      <c r="K50" s="98"/>
      <c r="L50" s="98"/>
      <c r="M50" s="98"/>
      <c r="N50" s="98" t="s">
        <v>99</v>
      </c>
      <c r="P50" s="106"/>
      <c r="R50" s="104"/>
      <c r="S50" s="103"/>
      <c r="T50" s="102" t="s">
        <v>70</v>
      </c>
      <c r="U50" s="101"/>
      <c r="W50" s="100">
        <v>0.5</v>
      </c>
      <c r="X50" s="99" t="s">
        <v>90</v>
      </c>
      <c r="Z50" s="98"/>
      <c r="AB50" s="97" t="str">
        <f t="shared" si="2"/>
        <v xml:space="preserve"> - </v>
      </c>
      <c r="AC50" s="96" t="str">
        <f t="shared" si="3"/>
        <v>Cx</v>
      </c>
      <c r="AD50" s="95" t="str">
        <f xml:space="preserve"> IF( AND(W50 &lt;&gt; "", P50 &lt;&gt; "" ),  AB50 / ( W50 /   (IFERROR( INDEX( BseDados!$B$5:$E$11, MATCH(X50, BseDados!$B$5:$B$11, 0 ), 4), 1)) ), " - ")</f>
        <v xml:space="preserve"> - </v>
      </c>
      <c r="AE50" s="94" t="str">
        <f>IF( $X50 &lt;&gt;"", IFERROR( INDEX( BseDados!$B$5:$E$11, MATCH($X50, BseDados!$B$5:$B$11, 0 ), 3), X50 ), " - ")</f>
        <v>Kg</v>
      </c>
    </row>
    <row r="51" spans="3:31" x14ac:dyDescent="0.25">
      <c r="C51" s="98"/>
      <c r="D51" s="98"/>
      <c r="E51" s="98" t="s">
        <v>98</v>
      </c>
      <c r="F51" s="98" t="s">
        <v>39</v>
      </c>
      <c r="G51" s="98"/>
      <c r="H51" s="98" t="s">
        <v>97</v>
      </c>
      <c r="I51" s="98"/>
      <c r="J51" s="98"/>
      <c r="K51" s="98" t="s">
        <v>96</v>
      </c>
      <c r="L51" s="98"/>
      <c r="M51" s="98"/>
      <c r="N51" s="98" t="s">
        <v>95</v>
      </c>
      <c r="P51" s="106"/>
      <c r="R51" s="104"/>
      <c r="S51" s="103"/>
      <c r="T51" s="102" t="s">
        <v>70</v>
      </c>
      <c r="U51" s="101"/>
      <c r="W51" s="100">
        <v>0.5</v>
      </c>
      <c r="X51" s="99" t="s">
        <v>90</v>
      </c>
      <c r="Z51" s="98"/>
      <c r="AB51" s="97" t="str">
        <f t="shared" si="2"/>
        <v xml:space="preserve"> - </v>
      </c>
      <c r="AC51" s="96" t="str">
        <f t="shared" si="3"/>
        <v>Cx</v>
      </c>
      <c r="AD51" s="95" t="str">
        <f xml:space="preserve"> IF( AND(W51 &lt;&gt; "", P51 &lt;&gt; "" ),  AB51 / ( W51 /   (IFERROR( INDEX( BseDados!$B$5:$E$11, MATCH(X51, BseDados!$B$5:$B$11, 0 ), 4), 1)) ), " - ")</f>
        <v xml:space="preserve"> - </v>
      </c>
      <c r="AE51" s="94" t="str">
        <f>IF( $X51 &lt;&gt;"", IFERROR( INDEX( BseDados!$B$5:$E$11, MATCH($X51, BseDados!$B$5:$B$11, 0 ), 3), X51 ), " - ")</f>
        <v>Kg</v>
      </c>
    </row>
    <row r="52" spans="3:31" x14ac:dyDescent="0.25">
      <c r="C52" s="98"/>
      <c r="D52" s="98"/>
      <c r="E52" s="98" t="s">
        <v>94</v>
      </c>
      <c r="F52" s="98" t="s">
        <v>93</v>
      </c>
      <c r="G52" s="98"/>
      <c r="H52" s="98"/>
      <c r="I52" s="98"/>
      <c r="J52" s="98"/>
      <c r="K52" s="98" t="s">
        <v>92</v>
      </c>
      <c r="L52" s="98"/>
      <c r="M52" s="98"/>
      <c r="N52" s="98" t="s">
        <v>91</v>
      </c>
      <c r="P52" s="106"/>
      <c r="R52" s="104"/>
      <c r="S52" s="103"/>
      <c r="T52" s="102" t="s">
        <v>68</v>
      </c>
      <c r="U52" s="101"/>
      <c r="W52" s="100">
        <v>0.14000000000000001</v>
      </c>
      <c r="X52" s="99" t="s">
        <v>90</v>
      </c>
      <c r="Z52" s="98"/>
      <c r="AB52" s="97" t="str">
        <f t="shared" si="2"/>
        <v xml:space="preserve"> - </v>
      </c>
      <c r="AC52" s="96" t="str">
        <f t="shared" si="3"/>
        <v>Pc</v>
      </c>
      <c r="AD52" s="95" t="str">
        <f xml:space="preserve"> IF( AND(W52 &lt;&gt; "", P52 &lt;&gt; "" ),  AB52 / ( W52 /   (IFERROR( INDEX( BseDados!$B$5:$E$11, MATCH(X52, BseDados!$B$5:$B$11, 0 ), 4), 1)) ), " - ")</f>
        <v xml:space="preserve"> - </v>
      </c>
      <c r="AE52" s="94" t="str">
        <f>IF( $X52 &lt;&gt;"", IFERROR( INDEX( BseDados!$B$5:$E$11, MATCH($X52, BseDados!$B$5:$B$11, 0 ), 3), X52 ), " - ")</f>
        <v>Kg</v>
      </c>
    </row>
    <row r="53" spans="3:31" x14ac:dyDescent="0.25">
      <c r="C53" s="98"/>
      <c r="D53" s="98"/>
      <c r="E53" s="98" t="s">
        <v>89</v>
      </c>
      <c r="F53" s="98" t="s">
        <v>88</v>
      </c>
      <c r="G53" s="98"/>
      <c r="H53" s="98" t="s">
        <v>22</v>
      </c>
      <c r="I53" s="98" t="s">
        <v>87</v>
      </c>
      <c r="J53" s="98"/>
      <c r="K53" s="98"/>
      <c r="L53" s="98"/>
      <c r="M53" s="98"/>
      <c r="N53" s="98" t="s">
        <v>26</v>
      </c>
      <c r="P53" s="106"/>
      <c r="R53" s="104"/>
      <c r="S53" s="103"/>
      <c r="T53" s="102" t="s">
        <v>74</v>
      </c>
      <c r="U53" s="101"/>
      <c r="W53" s="100">
        <v>1.5</v>
      </c>
      <c r="X53" s="99" t="s">
        <v>86</v>
      </c>
      <c r="Z53" s="98"/>
      <c r="AB53" s="97" t="str">
        <f t="shared" si="2"/>
        <v xml:space="preserve"> - </v>
      </c>
      <c r="AC53" s="96" t="str">
        <f t="shared" si="3"/>
        <v>Rl</v>
      </c>
      <c r="AD53" s="95" t="str">
        <f xml:space="preserve"> IF( AND(W53 &lt;&gt; "", P53 &lt;&gt; "" ),  AB53 / ( W53 /   (IFERROR( INDEX( BseDados!$B$5:$E$11, MATCH(X53, BseDados!$B$5:$B$11, 0 ), 4), 1)) ), " - ")</f>
        <v xml:space="preserve"> - </v>
      </c>
      <c r="AE53" s="94" t="str">
        <f>IF( $X53 &lt;&gt;"", IFERROR( INDEX( BseDados!$B$5:$E$11, MATCH($X53, BseDados!$B$5:$B$11, 0 ), 3), X53 ), " - ")</f>
        <v>m</v>
      </c>
    </row>
    <row r="54" spans="3:31" x14ac:dyDescent="0.25">
      <c r="C54" s="98"/>
      <c r="D54" s="98"/>
      <c r="E54" s="98" t="s">
        <v>85</v>
      </c>
      <c r="F54" s="98" t="s">
        <v>32</v>
      </c>
      <c r="G54" s="98"/>
      <c r="H54" s="98" t="s">
        <v>84</v>
      </c>
      <c r="I54" s="98" t="s">
        <v>36</v>
      </c>
      <c r="J54" s="98"/>
      <c r="K54" s="98"/>
      <c r="L54" s="98"/>
      <c r="M54" s="98"/>
      <c r="N54" s="98" t="s">
        <v>33</v>
      </c>
      <c r="P54" s="106"/>
      <c r="R54" s="104"/>
      <c r="S54" s="103"/>
      <c r="T54" s="102" t="s">
        <v>68</v>
      </c>
      <c r="U54" s="101"/>
      <c r="W54" s="100">
        <v>4</v>
      </c>
      <c r="X54" s="99" t="s">
        <v>73</v>
      </c>
      <c r="Z54" s="98"/>
      <c r="AB54" s="97" t="str">
        <f t="shared" si="2"/>
        <v xml:space="preserve"> - </v>
      </c>
      <c r="AC54" s="96" t="str">
        <f t="shared" si="3"/>
        <v>Pc</v>
      </c>
      <c r="AD54" s="95" t="str">
        <f xml:space="preserve"> IF( AND(W54 &lt;&gt; "", P54 &lt;&gt; "" ),  AB54 / ( W54 /   (IFERROR( INDEX( BseDados!$B$5:$E$11, MATCH(X54, BseDados!$B$5:$B$11, 0 ), 4), 1)) ), " - ")</f>
        <v xml:space="preserve"> - </v>
      </c>
      <c r="AE54" s="94" t="str">
        <f>IF( $X54 &lt;&gt;"", IFERROR( INDEX( BseDados!$B$5:$E$11, MATCH($X54, BseDados!$B$5:$B$11, 0 ), 3), X54 ), " - ")</f>
        <v>un</v>
      </c>
    </row>
    <row r="55" spans="3:31" x14ac:dyDescent="0.25">
      <c r="C55" s="98"/>
      <c r="D55" s="98"/>
      <c r="E55" s="98" t="s">
        <v>79</v>
      </c>
      <c r="F55" s="98" t="s">
        <v>83</v>
      </c>
      <c r="G55" s="98"/>
      <c r="H55" s="98" t="s">
        <v>82</v>
      </c>
      <c r="I55" s="98" t="s">
        <v>81</v>
      </c>
      <c r="J55" s="98"/>
      <c r="K55" s="98"/>
      <c r="L55" s="98"/>
      <c r="M55" s="98"/>
      <c r="N55" s="98" t="s">
        <v>80</v>
      </c>
      <c r="P55" s="105"/>
      <c r="R55" s="104"/>
      <c r="S55" s="103"/>
      <c r="T55" s="102" t="s">
        <v>68</v>
      </c>
      <c r="U55" s="101"/>
      <c r="W55" s="100">
        <v>50</v>
      </c>
      <c r="X55" s="99" t="s">
        <v>73</v>
      </c>
      <c r="Z55" s="98"/>
      <c r="AB55" s="97" t="str">
        <f t="shared" si="2"/>
        <v xml:space="preserve"> - </v>
      </c>
      <c r="AC55" s="96" t="str">
        <f t="shared" si="3"/>
        <v>Pc</v>
      </c>
      <c r="AD55" s="95" t="str">
        <f xml:space="preserve"> IF( AND(W55 &lt;&gt; "", P55 &lt;&gt; "" ),  AB55 / ( W55 /   (IFERROR( INDEX( BseDados!$B$5:$E$11, MATCH(X55, BseDados!$B$5:$B$11, 0 ), 4), 1)) ), " - ")</f>
        <v xml:space="preserve"> - </v>
      </c>
      <c r="AE55" s="94" t="str">
        <f>IF( $X55 &lt;&gt;"", IFERROR( INDEX( BseDados!$B$5:$E$11, MATCH($X55, BseDados!$B$5:$B$11, 0 ), 3), X55 ), " - ")</f>
        <v>un</v>
      </c>
    </row>
    <row r="56" spans="3:31" x14ac:dyDescent="0.25">
      <c r="C56" s="98"/>
      <c r="D56" s="98"/>
      <c r="E56" s="98" t="s">
        <v>79</v>
      </c>
      <c r="F56" s="98" t="s">
        <v>78</v>
      </c>
      <c r="G56" s="98"/>
      <c r="H56" s="98" t="s">
        <v>77</v>
      </c>
      <c r="I56" s="98" t="s">
        <v>76</v>
      </c>
      <c r="J56" s="98"/>
      <c r="K56" s="98"/>
      <c r="L56" s="98"/>
      <c r="M56" s="98"/>
      <c r="N56" s="98" t="s">
        <v>75</v>
      </c>
      <c r="P56" s="105">
        <v>18.79</v>
      </c>
      <c r="R56" s="104" t="s">
        <v>68</v>
      </c>
      <c r="S56" s="103">
        <v>3</v>
      </c>
      <c r="T56" s="102" t="s">
        <v>74</v>
      </c>
      <c r="U56" s="101"/>
      <c r="W56" s="100">
        <v>120</v>
      </c>
      <c r="X56" s="99" t="s">
        <v>73</v>
      </c>
      <c r="Z56" s="98"/>
      <c r="AB56" s="97">
        <f t="shared" si="2"/>
        <v>6.2633333333333328</v>
      </c>
      <c r="AC56" s="96" t="str">
        <f t="shared" si="3"/>
        <v>Rl</v>
      </c>
      <c r="AD56" s="95">
        <f xml:space="preserve"> IF( AND(W56 &lt;&gt; "", P56 &lt;&gt; "" ),  AB56 / ( W56 /   (IFERROR( INDEX( BseDados!$B$5:$E$11, MATCH(X56, BseDados!$B$5:$B$11, 0 ), 4), 1)) ), " - ")</f>
        <v>5.2194444444444439E-2</v>
      </c>
      <c r="AE56" s="94" t="str">
        <f>IF( $X56 &lt;&gt;"", IFERROR( INDEX( BseDados!$B$5:$E$11, MATCH($X56, BseDados!$B$5:$B$11, 0 ), 3), X56 ), " - ")</f>
        <v>un</v>
      </c>
    </row>
    <row r="57" spans="3:31" x14ac:dyDescent="0.25">
      <c r="C57" s="98"/>
      <c r="D57" s="98" t="s">
        <v>55</v>
      </c>
      <c r="E57" s="98" t="s">
        <v>62</v>
      </c>
      <c r="F57" s="98" t="s">
        <v>61</v>
      </c>
      <c r="G57" s="98"/>
      <c r="H57" s="98" t="s">
        <v>72</v>
      </c>
      <c r="I57" s="98" t="s">
        <v>64</v>
      </c>
      <c r="J57" s="98"/>
      <c r="K57" s="98"/>
      <c r="L57" s="98">
        <v>350</v>
      </c>
      <c r="M57" s="98"/>
      <c r="N57" s="98" t="s">
        <v>71</v>
      </c>
      <c r="P57" s="105">
        <v>111.6</v>
      </c>
      <c r="R57" s="104" t="s">
        <v>70</v>
      </c>
      <c r="S57" s="103">
        <v>24</v>
      </c>
      <c r="T57" s="102" t="s">
        <v>64</v>
      </c>
      <c r="U57" s="101"/>
      <c r="W57" s="100">
        <v>0.35</v>
      </c>
      <c r="X57" s="99" t="s">
        <v>63</v>
      </c>
      <c r="Z57" s="98"/>
      <c r="AB57" s="97">
        <f t="shared" si="2"/>
        <v>4.6499999999999995</v>
      </c>
      <c r="AC57" s="96" t="str">
        <f t="shared" si="3"/>
        <v>Lt</v>
      </c>
      <c r="AD57" s="95">
        <f xml:space="preserve"> IF( AND(W57 &lt;&gt; "", P57 &lt;&gt; "" ),  AB57 / ( W57 /   (IFERROR( INDEX( BseDados!$B$5:$E$11, MATCH(X57, BseDados!$B$5:$B$11, 0 ), 4), 1)) ), " - ")</f>
        <v>13.285714285714285</v>
      </c>
      <c r="AE57" s="94" t="str">
        <f>IF( $X57 &lt;&gt;"", IFERROR( INDEX( BseDados!$B$5:$E$11, MATCH($X57, BseDados!$B$5:$B$11, 0 ), 3), X57 ), " - ")</f>
        <v>L</v>
      </c>
    </row>
    <row r="58" spans="3:31" x14ac:dyDescent="0.25">
      <c r="C58" s="98"/>
      <c r="D58" s="98" t="s">
        <v>55</v>
      </c>
      <c r="E58" s="98" t="s">
        <v>62</v>
      </c>
      <c r="F58" s="98" t="s">
        <v>61</v>
      </c>
      <c r="G58" s="98"/>
      <c r="H58" s="98" t="s">
        <v>67</v>
      </c>
      <c r="I58" s="98" t="s">
        <v>64</v>
      </c>
      <c r="J58" s="98"/>
      <c r="K58" s="98" t="s">
        <v>69</v>
      </c>
      <c r="L58" s="98">
        <v>269</v>
      </c>
      <c r="M58" s="98"/>
      <c r="N58" s="98" t="s">
        <v>65</v>
      </c>
      <c r="P58" s="105">
        <v>2.4900000000000002</v>
      </c>
      <c r="R58" s="104"/>
      <c r="S58" s="103"/>
      <c r="T58" s="102" t="s">
        <v>64</v>
      </c>
      <c r="U58" s="101"/>
      <c r="W58" s="100">
        <v>0.26900000000000002</v>
      </c>
      <c r="X58" s="99" t="s">
        <v>63</v>
      </c>
      <c r="Z58" s="98"/>
      <c r="AB58" s="97">
        <f t="shared" si="2"/>
        <v>2.4900000000000002</v>
      </c>
      <c r="AC58" s="96" t="str">
        <f t="shared" si="3"/>
        <v>Lt</v>
      </c>
      <c r="AD58" s="95">
        <f xml:space="preserve"> IF( AND(W58 &lt;&gt; "", P58 &lt;&gt; "" ),  AB58 / ( W58 /   (IFERROR( INDEX( BseDados!$B$5:$E$11, MATCH(X58, BseDados!$B$5:$B$11, 0 ), 4), 1)) ), " - ")</f>
        <v>9.2565055762081787</v>
      </c>
      <c r="AE58" s="94" t="str">
        <f>IF( $X58 &lt;&gt;"", IFERROR( INDEX( BseDados!$B$5:$E$11, MATCH($X58, BseDados!$B$5:$B$11, 0 ), 3), X58 ), " - ")</f>
        <v>L</v>
      </c>
    </row>
    <row r="59" spans="3:31" x14ac:dyDescent="0.25">
      <c r="C59" s="98"/>
      <c r="D59" s="98" t="s">
        <v>55</v>
      </c>
      <c r="E59" s="98" t="s">
        <v>62</v>
      </c>
      <c r="F59" s="98" t="s">
        <v>61</v>
      </c>
      <c r="G59" s="98"/>
      <c r="H59" s="98" t="s">
        <v>67</v>
      </c>
      <c r="I59" s="98" t="s">
        <v>64</v>
      </c>
      <c r="J59" s="98"/>
      <c r="K59" s="98" t="s">
        <v>69</v>
      </c>
      <c r="L59" s="98">
        <v>350</v>
      </c>
      <c r="M59" s="98"/>
      <c r="N59" s="98" t="s">
        <v>65</v>
      </c>
      <c r="P59" s="105">
        <v>50.22</v>
      </c>
      <c r="R59" s="104" t="s">
        <v>68</v>
      </c>
      <c r="S59" s="103">
        <v>18</v>
      </c>
      <c r="T59" s="102" t="s">
        <v>64</v>
      </c>
      <c r="U59" s="101"/>
      <c r="W59" s="100">
        <v>0.35</v>
      </c>
      <c r="X59" s="99" t="s">
        <v>63</v>
      </c>
      <c r="Z59" s="98"/>
      <c r="AB59" s="97">
        <f t="shared" si="2"/>
        <v>2.79</v>
      </c>
      <c r="AC59" s="96" t="str">
        <f t="shared" si="3"/>
        <v>Lt</v>
      </c>
      <c r="AD59" s="95">
        <f xml:space="preserve"> IF( AND(W59 &lt;&gt; "", P59 &lt;&gt; "" ),  AB59 / ( W59 /   (IFERROR( INDEX( BseDados!$B$5:$E$11, MATCH(X59, BseDados!$B$5:$B$11, 0 ), 4), 1)) ), " - ")</f>
        <v>7.9714285714285724</v>
      </c>
      <c r="AE59" s="94" t="str">
        <f>IF( $X59 &lt;&gt;"", IFERROR( INDEX( BseDados!$B$5:$E$11, MATCH($X59, BseDados!$B$5:$B$11, 0 ), 3), X59 ), " - ")</f>
        <v>L</v>
      </c>
    </row>
    <row r="60" spans="3:31" x14ac:dyDescent="0.25">
      <c r="C60" s="98"/>
      <c r="D60" s="98" t="s">
        <v>55</v>
      </c>
      <c r="E60" s="98" t="s">
        <v>62</v>
      </c>
      <c r="F60" s="98" t="s">
        <v>61</v>
      </c>
      <c r="G60" s="98"/>
      <c r="H60" s="98" t="s">
        <v>67</v>
      </c>
      <c r="I60" s="98" t="s">
        <v>64</v>
      </c>
      <c r="J60" s="98"/>
      <c r="K60" s="98" t="s">
        <v>69</v>
      </c>
      <c r="L60" s="98">
        <v>350</v>
      </c>
      <c r="M60" s="98"/>
      <c r="N60" s="98" t="s">
        <v>65</v>
      </c>
      <c r="P60" s="105">
        <v>35.880000000000003</v>
      </c>
      <c r="R60" s="104" t="s">
        <v>68</v>
      </c>
      <c r="S60" s="103">
        <v>12</v>
      </c>
      <c r="T60" s="102" t="s">
        <v>64</v>
      </c>
      <c r="U60" s="101"/>
      <c r="W60" s="100">
        <v>0.35</v>
      </c>
      <c r="X60" s="99" t="s">
        <v>63</v>
      </c>
      <c r="Z60" s="98"/>
      <c r="AB60" s="97">
        <f t="shared" si="2"/>
        <v>2.99</v>
      </c>
      <c r="AC60" s="96" t="str">
        <f t="shared" si="3"/>
        <v>Lt</v>
      </c>
      <c r="AD60" s="95">
        <f xml:space="preserve"> IF( AND(W60 &lt;&gt; "", P60 &lt;&gt; "" ),  AB60 / ( W60 /   (IFERROR( INDEX( BseDados!$B$5:$E$11, MATCH(X60, BseDados!$B$5:$B$11, 0 ), 4), 1)) ), " - ")</f>
        <v>8.5428571428571445</v>
      </c>
      <c r="AE60" s="94" t="str">
        <f>IF( $X60 &lt;&gt;"", IFERROR( INDEX( BseDados!$B$5:$E$11, MATCH($X60, BseDados!$B$5:$B$11, 0 ), 3), X60 ), " - ")</f>
        <v>L</v>
      </c>
    </row>
    <row r="61" spans="3:31" x14ac:dyDescent="0.25">
      <c r="C61" s="98"/>
      <c r="D61" s="98" t="s">
        <v>55</v>
      </c>
      <c r="E61" s="98" t="s">
        <v>62</v>
      </c>
      <c r="F61" s="98" t="s">
        <v>61</v>
      </c>
      <c r="G61" s="98"/>
      <c r="H61" s="98" t="s">
        <v>67</v>
      </c>
      <c r="I61" s="98" t="s">
        <v>64</v>
      </c>
      <c r="J61" s="98"/>
      <c r="K61" s="98" t="s">
        <v>66</v>
      </c>
      <c r="L61" s="98">
        <v>350</v>
      </c>
      <c r="M61" s="98"/>
      <c r="N61" s="98" t="s">
        <v>65</v>
      </c>
      <c r="P61" s="105">
        <v>2.89</v>
      </c>
      <c r="R61" s="104"/>
      <c r="S61" s="103"/>
      <c r="T61" s="102" t="s">
        <v>64</v>
      </c>
      <c r="U61" s="101"/>
      <c r="W61" s="100">
        <v>0.35</v>
      </c>
      <c r="X61" s="99" t="s">
        <v>63</v>
      </c>
      <c r="Z61" s="98"/>
      <c r="AB61" s="97">
        <f t="shared" si="2"/>
        <v>2.89</v>
      </c>
      <c r="AC61" s="96" t="str">
        <f t="shared" si="3"/>
        <v>Lt</v>
      </c>
      <c r="AD61" s="95">
        <f xml:space="preserve"> IF( AND(W61 &lt;&gt; "", P61 &lt;&gt; "" ),  AB61 / ( W61 /   (IFERROR( INDEX( BseDados!$B$5:$E$11, MATCH(X61, BseDados!$B$5:$B$11, 0 ), 4), 1)) ), " - ")</f>
        <v>8.257142857142858</v>
      </c>
      <c r="AE61" s="94" t="str">
        <f>IF( $X61 &lt;&gt;"", IFERROR( INDEX( BseDados!$B$5:$E$11, MATCH($X61, BseDados!$B$5:$B$11, 0 ), 3), X61 ), " - ")</f>
        <v>L</v>
      </c>
    </row>
    <row r="62" spans="3:31" x14ac:dyDescent="0.25">
      <c r="C62" s="98"/>
      <c r="D62" s="98" t="s">
        <v>55</v>
      </c>
      <c r="E62" s="98" t="s">
        <v>62</v>
      </c>
      <c r="F62" s="98" t="s">
        <v>61</v>
      </c>
      <c r="G62" s="98"/>
      <c r="H62" s="98" t="s">
        <v>60</v>
      </c>
      <c r="I62" s="98" t="s">
        <v>51</v>
      </c>
      <c r="J62" s="98"/>
      <c r="K62" s="98" t="s">
        <v>59</v>
      </c>
      <c r="L62" s="98">
        <v>355</v>
      </c>
      <c r="M62" s="98"/>
      <c r="N62" s="98" t="s">
        <v>58</v>
      </c>
      <c r="P62" s="105"/>
      <c r="R62" s="104"/>
      <c r="S62" s="103"/>
      <c r="T62" s="102" t="s">
        <v>51</v>
      </c>
      <c r="U62" s="101"/>
      <c r="W62" s="100"/>
      <c r="X62" s="99"/>
      <c r="Z62" s="98"/>
      <c r="AB62" s="97" t="str">
        <f t="shared" si="2"/>
        <v xml:space="preserve"> - </v>
      </c>
      <c r="AC62" s="96" t="str">
        <f t="shared" si="3"/>
        <v>Gr</v>
      </c>
      <c r="AD62" s="95" t="str">
        <f xml:space="preserve"> IF( AND(W62 &lt;&gt; "", P62 &lt;&gt; "" ),  AB62 / ( W62 /   (IFERROR( INDEX( BseDados!$B$5:$E$11, MATCH(X62, BseDados!$B$5:$B$11, 0 ), 4), 1)) ), " - ")</f>
        <v xml:space="preserve"> - </v>
      </c>
      <c r="AE62" s="94" t="str">
        <f>IF( $X62 &lt;&gt;"", IFERROR( INDEX( BseDados!$B$5:$E$11, MATCH($X62, BseDados!$B$5:$B$11, 0 ), 3), X62 ), " - ")</f>
        <v xml:space="preserve"> - </v>
      </c>
    </row>
    <row r="63" spans="3:31" x14ac:dyDescent="0.25">
      <c r="C63" s="98"/>
      <c r="D63" s="98" t="s">
        <v>55</v>
      </c>
      <c r="E63" s="98" t="s">
        <v>54</v>
      </c>
      <c r="F63" s="98" t="s">
        <v>57</v>
      </c>
      <c r="G63" s="98"/>
      <c r="H63" s="98" t="s">
        <v>56</v>
      </c>
      <c r="I63" s="98" t="s">
        <v>51</v>
      </c>
      <c r="J63" s="98"/>
      <c r="K63" s="98"/>
      <c r="L63" s="98"/>
      <c r="M63" s="98"/>
      <c r="N63" s="98"/>
      <c r="P63" s="105"/>
      <c r="R63" s="104"/>
      <c r="S63" s="103"/>
      <c r="T63" s="102"/>
      <c r="U63" s="101"/>
      <c r="W63" s="100"/>
      <c r="X63" s="99"/>
      <c r="Z63" s="98"/>
      <c r="AB63" s="97" t="str">
        <f t="shared" si="2"/>
        <v xml:space="preserve"> - </v>
      </c>
      <c r="AC63" s="96" t="str">
        <f t="shared" si="3"/>
        <v xml:space="preserve"> - </v>
      </c>
      <c r="AD63" s="95" t="str">
        <f xml:space="preserve"> IF( AND(W63 &lt;&gt; "", P63 &lt;&gt; "" ),  AB63 / ( W63 /   (IFERROR( INDEX( BseDados!$B$5:$E$11, MATCH(X63, BseDados!$B$5:$B$11, 0 ), 4), 1)) ), " - ")</f>
        <v xml:space="preserve"> - </v>
      </c>
      <c r="AE63" s="94" t="str">
        <f>IF( $X63 &lt;&gt;"", IFERROR( INDEX( BseDados!$B$5:$E$11, MATCH($X63, BseDados!$B$5:$B$11, 0 ), 3), X63 ), " - ")</f>
        <v xml:space="preserve"> - </v>
      </c>
    </row>
    <row r="64" spans="3:31" x14ac:dyDescent="0.25">
      <c r="C64" s="98"/>
      <c r="D64" s="98" t="s">
        <v>55</v>
      </c>
      <c r="E64" s="98" t="s">
        <v>54</v>
      </c>
      <c r="F64" s="98" t="s">
        <v>53</v>
      </c>
      <c r="G64" s="98"/>
      <c r="H64" s="98" t="s">
        <v>52</v>
      </c>
      <c r="I64" s="98" t="s">
        <v>51</v>
      </c>
      <c r="J64" s="98"/>
      <c r="K64" s="98"/>
      <c r="L64" s="98"/>
      <c r="M64" s="98"/>
      <c r="N64" s="98"/>
      <c r="P64" s="105"/>
      <c r="R64" s="104"/>
      <c r="S64" s="103"/>
      <c r="T64" s="102"/>
      <c r="U64" s="101"/>
      <c r="W64" s="100"/>
      <c r="X64" s="99"/>
      <c r="Z64" s="98"/>
      <c r="AB64" s="97" t="str">
        <f t="shared" si="2"/>
        <v xml:space="preserve"> - </v>
      </c>
      <c r="AC64" s="96" t="str">
        <f t="shared" si="3"/>
        <v xml:space="preserve"> - </v>
      </c>
      <c r="AD64" s="95" t="str">
        <f xml:space="preserve"> IF( AND(W64 &lt;&gt; "", P64 &lt;&gt; "" ),  AB64 / ( W64 /   (IFERROR( INDEX( BseDados!$B$5:$E$11, MATCH(X64, BseDados!$B$5:$B$11, 0 ), 4), 1)) ), " - ")</f>
        <v xml:space="preserve"> - </v>
      </c>
      <c r="AE64" s="94" t="str">
        <f>IF( $X64 &lt;&gt;"", IFERROR( INDEX( BseDados!$B$5:$E$11, MATCH($X64, BseDados!$B$5:$B$11, 0 ), 3), X64 ), " - ")</f>
        <v xml:space="preserve"> - </v>
      </c>
    </row>
    <row r="65" spans="3:31" x14ac:dyDescent="0.25">
      <c r="C65" s="98"/>
      <c r="D65" s="98" t="s">
        <v>43</v>
      </c>
      <c r="E65" s="98" t="s">
        <v>43</v>
      </c>
      <c r="F65" s="98" t="s">
        <v>42</v>
      </c>
      <c r="G65" s="98"/>
      <c r="H65" s="98" t="s">
        <v>49</v>
      </c>
      <c r="I65" s="98" t="s">
        <v>40</v>
      </c>
      <c r="J65" s="98"/>
      <c r="K65" s="98"/>
      <c r="L65" s="98" t="s">
        <v>44</v>
      </c>
      <c r="M65" s="98"/>
      <c r="N65" s="98" t="s">
        <v>50</v>
      </c>
      <c r="P65" s="105"/>
      <c r="R65" s="104"/>
      <c r="S65" s="103"/>
      <c r="T65" s="102"/>
      <c r="U65" s="101"/>
      <c r="W65" s="100"/>
      <c r="X65" s="99"/>
      <c r="Z65" s="98"/>
      <c r="AB65" s="97" t="str">
        <f t="shared" si="2"/>
        <v xml:space="preserve"> - </v>
      </c>
      <c r="AC65" s="96" t="str">
        <f t="shared" si="3"/>
        <v xml:space="preserve"> - </v>
      </c>
      <c r="AD65" s="95" t="str">
        <f xml:space="preserve"> IF( AND(W65 &lt;&gt; "", P65 &lt;&gt; "" ),  AB65 / ( W65 /   (IFERROR( INDEX( BseDados!$B$5:$E$11, MATCH(X65, BseDados!$B$5:$B$11, 0 ), 4), 1)) ), " - ")</f>
        <v xml:space="preserve"> - </v>
      </c>
      <c r="AE65" s="94" t="str">
        <f>IF( $X65 &lt;&gt;"", IFERROR( INDEX( BseDados!$B$5:$E$11, MATCH($X65, BseDados!$B$5:$B$11, 0 ), 3), X65 ), " - ")</f>
        <v xml:space="preserve"> - </v>
      </c>
    </row>
    <row r="66" spans="3:31" x14ac:dyDescent="0.25">
      <c r="C66" s="98"/>
      <c r="D66" s="98" t="s">
        <v>43</v>
      </c>
      <c r="E66" s="98" t="s">
        <v>43</v>
      </c>
      <c r="F66" s="98" t="s">
        <v>42</v>
      </c>
      <c r="G66" s="98"/>
      <c r="H66" s="98" t="s">
        <v>49</v>
      </c>
      <c r="I66" s="98" t="s">
        <v>40</v>
      </c>
      <c r="J66" s="98"/>
      <c r="K66" s="98"/>
      <c r="L66" s="98"/>
      <c r="M66" s="98"/>
      <c r="N66" s="98" t="s">
        <v>48</v>
      </c>
      <c r="P66" s="105"/>
      <c r="R66" s="104"/>
      <c r="S66" s="103"/>
      <c r="T66" s="102"/>
      <c r="U66" s="101"/>
      <c r="W66" s="100"/>
      <c r="X66" s="99"/>
      <c r="Z66" s="98"/>
      <c r="AB66" s="97" t="str">
        <f t="shared" si="2"/>
        <v xml:space="preserve"> - </v>
      </c>
      <c r="AC66" s="96" t="str">
        <f t="shared" si="3"/>
        <v xml:space="preserve"> - </v>
      </c>
      <c r="AD66" s="95" t="str">
        <f xml:space="preserve"> IF( AND(W66 &lt;&gt; "", P66 &lt;&gt; "" ),  AB66 / ( W66 /   (IFERROR( INDEX( BseDados!$B$5:$E$11, MATCH(X66, BseDados!$B$5:$B$11, 0 ), 4), 1)) ), " - ")</f>
        <v xml:space="preserve"> - </v>
      </c>
      <c r="AE66" s="94" t="str">
        <f>IF( $X66 &lt;&gt;"", IFERROR( INDEX( BseDados!$B$5:$E$11, MATCH($X66, BseDados!$B$5:$B$11, 0 ), 3), X66 ), " - ")</f>
        <v xml:space="preserve"> - </v>
      </c>
    </row>
    <row r="67" spans="3:31" x14ac:dyDescent="0.25">
      <c r="C67" s="98"/>
      <c r="D67" s="98" t="s">
        <v>43</v>
      </c>
      <c r="E67" s="98" t="s">
        <v>43</v>
      </c>
      <c r="F67" s="98" t="s">
        <v>42</v>
      </c>
      <c r="G67" s="98"/>
      <c r="H67" s="98" t="s">
        <v>46</v>
      </c>
      <c r="I67" s="98" t="s">
        <v>40</v>
      </c>
      <c r="J67" s="98"/>
      <c r="K67" s="98"/>
      <c r="L67" s="98" t="s">
        <v>44</v>
      </c>
      <c r="M67" s="98"/>
      <c r="N67" s="98" t="s">
        <v>47</v>
      </c>
      <c r="P67" s="105"/>
      <c r="R67" s="104"/>
      <c r="S67" s="103"/>
      <c r="T67" s="102"/>
      <c r="U67" s="101"/>
      <c r="W67" s="100"/>
      <c r="X67" s="99"/>
      <c r="Z67" s="98"/>
      <c r="AB67" s="97" t="str">
        <f t="shared" si="2"/>
        <v xml:space="preserve"> - </v>
      </c>
      <c r="AC67" s="96" t="str">
        <f t="shared" si="3"/>
        <v xml:space="preserve"> - </v>
      </c>
      <c r="AD67" s="95" t="str">
        <f xml:space="preserve"> IF( AND(W67 &lt;&gt; "", P67 &lt;&gt; "" ),  AB67 / ( W67 /   (IFERROR( INDEX( BseDados!$B$5:$E$11, MATCH(X67, BseDados!$B$5:$B$11, 0 ), 4), 1)) ), " - ")</f>
        <v xml:space="preserve"> - </v>
      </c>
      <c r="AE67" s="94" t="str">
        <f>IF( $X67 &lt;&gt;"", IFERROR( INDEX( BseDados!$B$5:$E$11, MATCH($X67, BseDados!$B$5:$B$11, 0 ), 3), X67 ), " - ")</f>
        <v xml:space="preserve"> - </v>
      </c>
    </row>
    <row r="68" spans="3:31" x14ac:dyDescent="0.25">
      <c r="C68" s="98"/>
      <c r="D68" s="98" t="s">
        <v>43</v>
      </c>
      <c r="E68" s="98" t="s">
        <v>43</v>
      </c>
      <c r="F68" s="98" t="s">
        <v>42</v>
      </c>
      <c r="G68" s="98"/>
      <c r="H68" s="98" t="s">
        <v>46</v>
      </c>
      <c r="I68" s="98" t="s">
        <v>40</v>
      </c>
      <c r="J68" s="98"/>
      <c r="K68" s="98"/>
      <c r="L68" s="98"/>
      <c r="M68" s="98"/>
      <c r="N68" s="98" t="s">
        <v>45</v>
      </c>
      <c r="P68" s="105"/>
      <c r="R68" s="104"/>
      <c r="S68" s="103"/>
      <c r="T68" s="102"/>
      <c r="U68" s="101"/>
      <c r="W68" s="100"/>
      <c r="X68" s="99"/>
      <c r="Z68" s="98"/>
      <c r="AB68" s="97" t="str">
        <f t="shared" si="2"/>
        <v xml:space="preserve"> - </v>
      </c>
      <c r="AC68" s="96" t="str">
        <f t="shared" si="3"/>
        <v xml:space="preserve"> - </v>
      </c>
      <c r="AD68" s="95" t="str">
        <f xml:space="preserve"> IF( AND(W68 &lt;&gt; "", P68 &lt;&gt; "" ),  AB68 / ( W68 /   (IFERROR( INDEX( BseDados!$B$5:$E$11, MATCH(X68, BseDados!$B$5:$B$11, 0 ), 4), 1)) ), " - ")</f>
        <v xml:space="preserve"> - </v>
      </c>
      <c r="AE68" s="94" t="str">
        <f>IF( $X68 &lt;&gt;"", IFERROR( INDEX( BseDados!$B$5:$E$11, MATCH($X68, BseDados!$B$5:$B$11, 0 ), 3), X68 ), " - ")</f>
        <v xml:space="preserve"> - </v>
      </c>
    </row>
    <row r="69" spans="3:31" x14ac:dyDescent="0.25">
      <c r="C69" s="86"/>
      <c r="D69" s="86" t="s">
        <v>43</v>
      </c>
      <c r="E69" s="86" t="s">
        <v>43</v>
      </c>
      <c r="F69" s="86" t="s">
        <v>42</v>
      </c>
      <c r="G69" s="86"/>
      <c r="H69" s="86" t="s">
        <v>41</v>
      </c>
      <c r="I69" s="86" t="s">
        <v>40</v>
      </c>
      <c r="J69" s="86"/>
      <c r="K69" s="86"/>
      <c r="L69" s="86" t="s">
        <v>44</v>
      </c>
      <c r="M69" s="86"/>
      <c r="N69" s="86"/>
      <c r="P69" s="93"/>
      <c r="R69" s="92"/>
      <c r="S69" s="91"/>
      <c r="T69" s="90"/>
      <c r="U69" s="89"/>
      <c r="W69" s="88"/>
      <c r="X69" s="87"/>
      <c r="Z69" s="86"/>
      <c r="AB69" s="85" t="str">
        <f t="shared" si="2"/>
        <v xml:space="preserve"> - </v>
      </c>
      <c r="AC69" s="84" t="str">
        <f t="shared" si="3"/>
        <v xml:space="preserve"> - </v>
      </c>
      <c r="AD69" s="83" t="str">
        <f xml:space="preserve"> IF( AND(W69 &lt;&gt; "", P69 &lt;&gt; "" ),  AB69 / ( W69 /   (IFERROR( INDEX( BseDados!$B$5:$E$11, MATCH(X69, BseDados!$B$5:$B$11, 0 ), 4), 1)) ), " - ")</f>
        <v xml:space="preserve"> - </v>
      </c>
      <c r="AE69" s="82" t="str">
        <f>IF( $X69 &lt;&gt;"", IFERROR( INDEX( BseDados!$B$5:$E$11, MATCH($X69, BseDados!$B$5:$B$11, 0 ), 3), X69 ), " - ")</f>
        <v xml:space="preserve"> - </v>
      </c>
    </row>
    <row r="70" spans="3:31" x14ac:dyDescent="0.25">
      <c r="D70" t="s">
        <v>43</v>
      </c>
      <c r="E70" t="s">
        <v>43</v>
      </c>
      <c r="F70" t="s">
        <v>42</v>
      </c>
      <c r="H70" t="s">
        <v>41</v>
      </c>
      <c r="I70" t="s">
        <v>40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288296"/>
    <pageSetUpPr fitToPage="1"/>
  </sheetPr>
  <dimension ref="B1:BJ369"/>
  <sheetViews>
    <sheetView showGridLines="0" tabSelected="1" zoomScaleNormal="100" workbookViewId="0">
      <pane xSplit="2" ySplit="20" topLeftCell="E21" activePane="bottomRight" state="frozen"/>
      <selection pane="topRight" activeCell="G1" sqref="G1"/>
      <selection pane="bottomLeft" activeCell="A9" sqref="A9"/>
      <selection pane="bottomRight" activeCell="Q21" sqref="Q21"/>
    </sheetView>
  </sheetViews>
  <sheetFormatPr defaultRowHeight="15" x14ac:dyDescent="0.25"/>
  <cols>
    <col min="1" max="1" width="2.140625" customWidth="1"/>
    <col min="2" max="2" width="44.28515625" customWidth="1"/>
    <col min="3" max="3" width="7.140625" bestFit="1" customWidth="1"/>
    <col min="4" max="4" width="52.28515625" bestFit="1" customWidth="1"/>
    <col min="5" max="5" width="41.7109375" bestFit="1" customWidth="1"/>
    <col min="6" max="6" width="29.85546875" bestFit="1" customWidth="1"/>
    <col min="7" max="7" width="20.28515625" bestFit="1" customWidth="1"/>
    <col min="8" max="8" width="12.7109375" bestFit="1" customWidth="1"/>
    <col min="9" max="9" width="50.42578125" customWidth="1"/>
    <col min="10" max="10" width="21.42578125" bestFit="1" customWidth="1"/>
    <col min="11" max="11" width="11.5703125" bestFit="1" customWidth="1"/>
    <col min="12" max="13" width="6.85546875" bestFit="1" customWidth="1"/>
    <col min="14" max="14" width="8.42578125" customWidth="1"/>
    <col min="15" max="15" width="15.140625" bestFit="1" customWidth="1"/>
    <col min="16" max="16" width="9.5703125" customWidth="1"/>
    <col min="17" max="17" width="13.42578125" customWidth="1"/>
    <col min="18" max="18" width="12.42578125" bestFit="1" customWidth="1"/>
    <col min="19" max="19" width="36.7109375" bestFit="1" customWidth="1"/>
    <col min="20" max="20" width="11.42578125" bestFit="1" customWidth="1"/>
    <col min="21" max="21" width="9" bestFit="1" customWidth="1"/>
    <col min="22" max="22" width="7.85546875" bestFit="1" customWidth="1"/>
    <col min="23" max="23" width="6.85546875" bestFit="1" customWidth="1"/>
    <col min="24" max="24" width="4.140625" bestFit="1" customWidth="1"/>
    <col min="25" max="25" width="5.28515625" bestFit="1" customWidth="1"/>
    <col min="26" max="26" width="5.42578125" bestFit="1" customWidth="1"/>
    <col min="27" max="28" width="7.140625" bestFit="1" customWidth="1"/>
    <col min="29" max="29" width="8.7109375" bestFit="1" customWidth="1"/>
    <col min="30" max="30" width="8.5703125" bestFit="1" customWidth="1"/>
    <col min="31" max="32" width="9.42578125" bestFit="1" customWidth="1"/>
    <col min="33" max="33" width="14.42578125" bestFit="1" customWidth="1"/>
    <col min="34" max="34" width="1.7109375" bestFit="1" customWidth="1"/>
    <col min="35" max="35" width="6.5703125" bestFit="1" customWidth="1"/>
    <col min="36" max="36" width="1.7109375" bestFit="1" customWidth="1"/>
    <col min="37" max="37" width="3.7109375" customWidth="1"/>
    <col min="38" max="38" width="9.42578125" bestFit="1" customWidth="1"/>
    <col min="39" max="39" width="9.7109375" bestFit="1" customWidth="1"/>
    <col min="40" max="40" width="2" bestFit="1" customWidth="1"/>
    <col min="41" max="41" width="7.85546875" bestFit="1" customWidth="1"/>
    <col min="42" max="42" width="7.140625" bestFit="1" customWidth="1"/>
    <col min="43" max="44" width="9.42578125" bestFit="1" customWidth="1"/>
    <col min="45" max="45" width="6.5703125" bestFit="1" customWidth="1"/>
    <col min="46" max="46" width="5.85546875" bestFit="1" customWidth="1"/>
    <col min="47" max="47" width="4.42578125" bestFit="1" customWidth="1"/>
    <col min="48" max="50" width="7.7109375" bestFit="1" customWidth="1"/>
    <col min="51" max="51" width="6.5703125" bestFit="1" customWidth="1"/>
    <col min="52" max="52" width="5.85546875" bestFit="1" customWidth="1"/>
    <col min="53" max="53" width="1.85546875" customWidth="1"/>
    <col min="54" max="54" width="5.5703125" style="67" bestFit="1" customWidth="1"/>
    <col min="55" max="56" width="8.7109375" bestFit="1" customWidth="1"/>
    <col min="57" max="57" width="7.85546875" bestFit="1" customWidth="1"/>
    <col min="58" max="58" width="3" customWidth="1"/>
    <col min="59" max="59" width="6.5703125" bestFit="1" customWidth="1"/>
    <col min="60" max="60" width="2.42578125" customWidth="1"/>
    <col min="61" max="61" width="5" bestFit="1" customWidth="1"/>
    <col min="62" max="62" width="2.7109375" customWidth="1"/>
    <col min="63" max="63" width="14.42578125" bestFit="1" customWidth="1"/>
    <col min="64" max="65" width="9.85546875" customWidth="1"/>
    <col min="66" max="66" width="7.7109375" bestFit="1" customWidth="1"/>
    <col min="67" max="67" width="7.85546875" bestFit="1" customWidth="1"/>
    <col min="68" max="68" width="7.7109375" bestFit="1" customWidth="1"/>
    <col min="69" max="69" width="3" customWidth="1"/>
    <col min="70" max="70" width="5.5703125" bestFit="1" customWidth="1"/>
    <col min="71" max="71" width="8.7109375" bestFit="1" customWidth="1"/>
    <col min="72" max="75" width="7.7109375" customWidth="1"/>
    <col min="76" max="76" width="3.7109375" customWidth="1"/>
    <col min="77" max="77" width="14.140625" bestFit="1" customWidth="1"/>
    <col min="78" max="78" width="25.140625" bestFit="1" customWidth="1"/>
  </cols>
  <sheetData>
    <row r="1" spans="2:62" ht="44.25" customHeight="1" x14ac:dyDescent="0.25">
      <c r="J1" s="198" t="s">
        <v>1066</v>
      </c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G1" s="59" t="s">
        <v>21</v>
      </c>
      <c r="AI1" s="59" t="s">
        <v>18</v>
      </c>
      <c r="AM1" s="59" t="s">
        <v>14</v>
      </c>
      <c r="AS1" s="59" t="s">
        <v>19</v>
      </c>
      <c r="AY1" s="59" t="s">
        <v>19</v>
      </c>
      <c r="BA1" s="59"/>
      <c r="BB1" s="59"/>
      <c r="BC1" s="59"/>
      <c r="BD1" s="59"/>
      <c r="BE1" s="59"/>
      <c r="BF1" s="59"/>
    </row>
    <row r="2" spans="2:62" ht="12.75" hidden="1" customHeight="1" x14ac:dyDescent="0.25">
      <c r="D2" s="79" t="s">
        <v>23</v>
      </c>
      <c r="E2" s="79"/>
      <c r="F2" s="79"/>
      <c r="G2" s="79"/>
      <c r="J2" s="191" t="s">
        <v>1037</v>
      </c>
      <c r="K2" s="191"/>
      <c r="L2" s="79"/>
      <c r="M2" s="191"/>
      <c r="N2" s="191"/>
      <c r="O2" s="79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G2" s="59"/>
      <c r="AI2" s="59"/>
      <c r="AM2" s="59"/>
      <c r="AS2" s="59"/>
      <c r="AY2" s="59"/>
      <c r="BA2" s="59"/>
      <c r="BB2" s="59"/>
      <c r="BC2" s="59"/>
      <c r="BD2" s="59"/>
      <c r="BE2" s="59"/>
      <c r="BF2" s="59"/>
    </row>
    <row r="3" spans="2:62" ht="30" hidden="1" x14ac:dyDescent="0.25">
      <c r="B3" s="80" t="s">
        <v>594</v>
      </c>
      <c r="C3" s="80" t="s">
        <v>1025</v>
      </c>
      <c r="D3" s="80" t="s">
        <v>23</v>
      </c>
      <c r="E3" s="80" t="s">
        <v>156</v>
      </c>
      <c r="F3" s="80" t="s">
        <v>27</v>
      </c>
      <c r="G3" s="80" t="s">
        <v>8</v>
      </c>
      <c r="H3" s="80" t="s">
        <v>25</v>
      </c>
      <c r="I3" s="80" t="s">
        <v>1030</v>
      </c>
      <c r="J3" s="80" t="s">
        <v>1063</v>
      </c>
      <c r="K3" s="80" t="s">
        <v>1064</v>
      </c>
      <c r="L3" s="80" t="s">
        <v>1060</v>
      </c>
      <c r="M3" s="80" t="s">
        <v>1054</v>
      </c>
      <c r="N3" s="80"/>
      <c r="O3" s="80" t="s">
        <v>1061</v>
      </c>
      <c r="P3" s="80" t="s">
        <v>158</v>
      </c>
      <c r="Q3" s="80" t="s">
        <v>1028</v>
      </c>
      <c r="R3" s="80" t="s">
        <v>1050</v>
      </c>
      <c r="S3" s="80" t="s">
        <v>1052</v>
      </c>
      <c r="T3" s="80" t="s">
        <v>256</v>
      </c>
      <c r="U3" s="80" t="s">
        <v>1053</v>
      </c>
      <c r="V3" s="80" t="s">
        <v>1062</v>
      </c>
      <c r="W3" s="80" t="s">
        <v>37</v>
      </c>
      <c r="X3" s="80" t="s">
        <v>38</v>
      </c>
      <c r="Y3" s="80" t="s">
        <v>28</v>
      </c>
      <c r="Z3" s="80" t="s">
        <v>257</v>
      </c>
      <c r="AA3" s="80" t="s">
        <v>1055</v>
      </c>
      <c r="AB3" s="80" t="s">
        <v>1056</v>
      </c>
      <c r="AC3" s="80" t="s">
        <v>1057</v>
      </c>
      <c r="AD3" s="81" t="s">
        <v>1058</v>
      </c>
      <c r="AE3" s="81" t="s">
        <v>1059</v>
      </c>
      <c r="AH3" s="77" t="str">
        <f>IFERROR( SUMPRODUCT( (#REF! &gt;=#REF!) * (#REF!&lt;&gt; "") / COUNTIFS(#REF!,#REF!,#REF!, "&lt;&gt;" ) ), "-")</f>
        <v>-</v>
      </c>
      <c r="AJ3" s="78" t="str">
        <f>IF( (IF(AP3&lt;&gt;"", (INDEX( BseDados!$B$6:$D$18,  MATCH( AP3, BseDados!$B$6:$B$18), 3)), "-"))  &lt;&gt; "x", IFERROR( AT3 / ( INDEX( $AM$3:$AN$4,  MATCH( AR3, $AM$3:$AM$4,0), 2)  - SUMPRODUCT( --(#REF!= AP3 ),#REF!)), "-" ), "-")</f>
        <v>-</v>
      </c>
      <c r="AM3" t="s">
        <v>16</v>
      </c>
      <c r="AN3" s="66">
        <f t="array" ref="AN3">SUMPRODUCT( IFERROR(  ( (Produtos!#REF!&lt;&gt;"") * (Produtos!#REF!&lt;&gt;"")   * --(Produtos!#REF! = AM3) * --(Produtos!#REF! &lt;&gt; "x")  / COUNTIFS( Produtos!#REF!, Produtos!#REF! &amp; "", Produtos!#REF!, "&lt;&gt;",   Produtos!#REF!,"&lt;&gt;sáb",   Produtos!#REF!,"&lt;&gt;dom", Produtos!#REF!,"&lt;&gt;x", Produtos!#REF!, AM3 )  ), 0  ) )</f>
        <v>0</v>
      </c>
      <c r="AP3" s="74" t="s">
        <v>9</v>
      </c>
      <c r="AQ3" s="60">
        <f>IF(AP3&lt;&gt;"", (INDEX( BseDados!$B$6:$D$18,  MATCH( AP3, BseDados!$B$6:$B$18), 3)), "-")</f>
        <v>0</v>
      </c>
      <c r="AR3" s="76" t="s">
        <v>16</v>
      </c>
      <c r="AT3" s="75" t="e">
        <f t="array" ref="AT3">SUMPRODUCT( IFERROR( (1 / COUNTIFS( Produtos!#REF!, Produtos!#REF!, Produtos!#REF!,AP3)), 0 ) * --(Produtos!#REF! = AP3)  )</f>
        <v>#REF!</v>
      </c>
      <c r="AW3" t="e">
        <f>SUMPRODUCT( --(AJ3 &gt;= $AF$3:$AF$19) * --( $AF$3:$AF$19&lt;&gt;"") / COUNTIFS($AF$3:$AF$19,$AF$3:$AF$19, $AF$3:$AF$19, "&lt;&gt;" ) )</f>
        <v>#DIV/0!</v>
      </c>
      <c r="AX3" t="e">
        <f>SUMPRODUCT( --(AJ3 &gt;= $AG$3:$AG$20) * --( $AG$3:$AG$20&lt;&gt;"") / COUNTIFS($AG$3:$AG$20,$AG$3:$AG$20, $AG$3:$AG$20, "&lt;&gt;" ) )</f>
        <v>#DIV/0!</v>
      </c>
      <c r="AZ3" s="64" t="e">
        <f>SUMPRODUCT( (1 / COUNTIF(#REF!,#REF!)) * (#REF!&lt;&gt;"dom")  * (#REF!&lt;&gt;"sáb") * (#REF! = AP3) )</f>
        <v>#REF!</v>
      </c>
      <c r="BB3"/>
      <c r="BC3" t="e">
        <f>_xlfn.RANK.EQ( AS3, $AP$3:$AP$20,1) + COUNTIF( $AS$3:AS3,  AS3) -1</f>
        <v>#N/A</v>
      </c>
      <c r="BD3" t="e">
        <f>_xlfn.RANK.EQ( AJ3, $AG$3:$AG$20,1) + COUNTIF( $AJ$3:AJ3,  AJ3) -1</f>
        <v>#VALUE!</v>
      </c>
    </row>
    <row r="4" spans="2:62" hidden="1" x14ac:dyDescent="0.25"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H4" s="77" t="str">
        <f>IFERROR( SUMPRODUCT( (#REF! &gt;=#REF!) * (#REF!&lt;&gt; "") / COUNTIFS(#REF!,#REF!,#REF!, "&lt;&gt;" ) ), "-")</f>
        <v>-</v>
      </c>
      <c r="AJ4" s="78" t="str">
        <f>IF( (IF(AP4&lt;&gt;"", (INDEX( BseDados!$B$6:$D$18,  MATCH( AP4, BseDados!$B$6:$B$18), 3)), "-"))  &lt;&gt; "x", IFERROR( AT4 / ( INDEX( $AM$3:$AN$4,  MATCH( AR4, $AM$3:$AM$4,0), 2)  - SUMPRODUCT( --(#REF!= AP4 ),#REF!)), "-" ), "-")</f>
        <v>-</v>
      </c>
      <c r="AM4" t="s">
        <v>17</v>
      </c>
      <c r="AN4" s="66">
        <f t="array" ref="AN4">SUMPRODUCT( IFERROR(  ( (Produtos!#REF!&lt;&gt;"") * (Produtos!#REF!&lt;&gt;"")   * --(Produtos!#REF! = AM4) * --(Produtos!#REF! &lt;&gt; "x")  / COUNTIFS( Produtos!#REF!, Produtos!#REF! &amp; "", Produtos!#REF!, "&lt;&gt;",   Produtos!#REF!,"&lt;&gt;sáb",   Produtos!#REF!,"&lt;&gt;dom", Produtos!#REF!,"&lt;&gt;x", Produtos!#REF!, AM4 )  ), 0  ) )</f>
        <v>0</v>
      </c>
      <c r="AP4" s="74" t="s">
        <v>12</v>
      </c>
      <c r="AQ4" s="60"/>
      <c r="AR4" s="76" t="s">
        <v>16</v>
      </c>
      <c r="AT4" s="75" t="e">
        <f t="array" ref="AT4">SUMPRODUCT( IFERROR( (1 / COUNTIFS( Produtos!#REF!, Produtos!#REF!, Produtos!#REF!,AP4)), 0 ) * --(Produtos!#REF! = AP4)  )</f>
        <v>#REF!</v>
      </c>
      <c r="AW4" t="e">
        <f>SUMPRODUCT( --(AJ4 &gt;= $AF$3:$AF$19) * --( $AF$3:$AF$19&lt;&gt;"") / COUNTIFS($AF$3:$AF$19,$AF$3:$AF$19, $AF$3:$AF$19, "&lt;&gt;" ) )</f>
        <v>#DIV/0!</v>
      </c>
      <c r="AX4" t="e">
        <f>SUMPRODUCT( --(AJ4 &gt;= $AG$3:$AG$20) * --( $AG$3:$AG$20&lt;&gt;"") / COUNTIFS($AG$3:$AG$20,$AG$3:$AG$20, $AG$3:$AG$20, "&lt;&gt;" ) )</f>
        <v>#DIV/0!</v>
      </c>
      <c r="AZ4" s="64" t="e">
        <f>SUMPRODUCT( (1 / COUNTIF(#REF!,#REF!)) * (#REF!&lt;&gt;"dom")  * (#REF!&lt;&gt;"sáb") * (#REF! = AP4) )</f>
        <v>#REF!</v>
      </c>
      <c r="BB4"/>
      <c r="BC4" t="e">
        <f>_xlfn.RANK.EQ( AS4, $AP$3:$AP$20,1) + COUNTIF( $AS$3:AS4,  AS4) -1</f>
        <v>#N/A</v>
      </c>
      <c r="BD4" t="e">
        <f>_xlfn.RANK.EQ( AJ4, $AG$3:$AG$20,1) + COUNTIF( $AJ$3:AJ4,  AJ4) -1</f>
        <v>#VALUE!</v>
      </c>
      <c r="BI4" s="60"/>
      <c r="BJ4" s="60"/>
    </row>
    <row r="5" spans="2:62" hidden="1" x14ac:dyDescent="0.25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H5" s="77" t="str">
        <f>IFERROR( SUMPRODUCT( (#REF! &gt;=#REF!) * (#REF!&lt;&gt; "") / COUNTIFS(#REF!,#REF!,#REF!, "&lt;&gt;" ) ), "-")</f>
        <v>-</v>
      </c>
      <c r="AJ5" s="78" t="str">
        <f>IF( (IF(AP5&lt;&gt;"", (INDEX( BseDados!$B$6:$D$18,  MATCH( AP5, BseDados!$B$6:$B$18), 3)), "-"))  &lt;&gt; "x", IFERROR( AT5 / ( INDEX( $AM$3:$AN$4,  MATCH( AR5, $AM$3:$AM$4,0), 2)  - SUMPRODUCT( --(#REF!= AP5 ),#REF!)), "-" ), "-")</f>
        <v>-</v>
      </c>
      <c r="AP5" s="74" t="s">
        <v>10</v>
      </c>
      <c r="AQ5" s="60"/>
      <c r="AR5" s="76" t="s">
        <v>16</v>
      </c>
      <c r="AT5" s="75" t="e">
        <f t="array" ref="AT5">SUMPRODUCT( IFERROR( (1 / COUNTIFS( Produtos!#REF!, Produtos!#REF!, Produtos!#REF!,AP5)), 0 ) * --(Produtos!#REF! = AP5)  )</f>
        <v>#REF!</v>
      </c>
      <c r="AW5" t="e">
        <f>SUMPRODUCT( --(AJ5 &gt;= $AF$3:$AF$19) * --( $AF$3:$AF$19&lt;&gt;"") / COUNTIFS($AF$3:$AF$19,$AF$3:$AF$19, $AF$3:$AF$19, "&lt;&gt;" ) )</f>
        <v>#DIV/0!</v>
      </c>
      <c r="AX5" t="e">
        <f>SUMPRODUCT( --(AJ5 &gt;= $AG$3:$AG$20) * --( $AG$3:$AG$20&lt;&gt;"") / COUNTIFS($AG$3:$AG$20,$AG$3:$AG$20, $AG$3:$AG$20, "&lt;&gt;" ) )</f>
        <v>#DIV/0!</v>
      </c>
      <c r="AZ5" s="64" t="e">
        <f>SUMPRODUCT( (1 / COUNTIF(#REF!,#REF!)) * (#REF!&lt;&gt;"dom")  * (#REF!&lt;&gt;"sáb") * (#REF! = AP5) )</f>
        <v>#REF!</v>
      </c>
      <c r="BB5"/>
      <c r="BC5" t="e">
        <f>_xlfn.RANK.EQ( AS5, $AP$3:$AP$20,1) + COUNTIF( $AS$3:AS5,  AS5) -1</f>
        <v>#N/A</v>
      </c>
      <c r="BD5" t="e">
        <f>_xlfn.RANK.EQ( AJ5, $AG$3:$AG$20,1) + COUNTIF( $AJ$3:AJ5,  AJ5) -1</f>
        <v>#VALUE!</v>
      </c>
    </row>
    <row r="6" spans="2:62" hidden="1" x14ac:dyDescent="0.25">
      <c r="AG6" s="77"/>
      <c r="AI6" s="78"/>
      <c r="AO6" s="74"/>
      <c r="AP6" s="60"/>
      <c r="AQ6" s="76"/>
      <c r="AS6" s="75"/>
      <c r="AY6" s="64"/>
      <c r="BB6"/>
    </row>
    <row r="7" spans="2:62" hidden="1" x14ac:dyDescent="0.25">
      <c r="AG7" s="77"/>
      <c r="AI7" s="78"/>
      <c r="AO7" s="74"/>
      <c r="AP7" s="60"/>
      <c r="AQ7" s="76"/>
      <c r="AS7" s="75"/>
      <c r="AY7" s="64"/>
      <c r="BB7"/>
    </row>
    <row r="8" spans="2:62" hidden="1" x14ac:dyDescent="0.25">
      <c r="J8" s="198"/>
      <c r="AG8" s="77"/>
      <c r="AI8" s="78"/>
      <c r="AO8" s="74"/>
      <c r="AP8" s="60"/>
      <c r="AQ8" s="76"/>
      <c r="AS8" s="75"/>
      <c r="AY8" s="64"/>
      <c r="BB8"/>
    </row>
    <row r="9" spans="2:62" hidden="1" x14ac:dyDescent="0.25">
      <c r="B9" s="196" t="s">
        <v>321</v>
      </c>
      <c r="C9" s="196"/>
      <c r="D9" s="196" t="s">
        <v>689</v>
      </c>
      <c r="E9" s="196" t="s">
        <v>923</v>
      </c>
      <c r="F9" s="196" t="s">
        <v>782</v>
      </c>
      <c r="G9" s="196" t="s">
        <v>690</v>
      </c>
      <c r="H9" s="196" t="s">
        <v>691</v>
      </c>
      <c r="I9" s="196"/>
      <c r="J9" s="196" t="s">
        <v>70</v>
      </c>
      <c r="K9" s="196">
        <v>100</v>
      </c>
      <c r="L9" s="196" t="s">
        <v>1051</v>
      </c>
      <c r="M9" s="199" t="s">
        <v>1065</v>
      </c>
      <c r="N9" s="199"/>
      <c r="O9" s="199" t="s">
        <v>1065</v>
      </c>
      <c r="P9" s="196" t="s">
        <v>1022</v>
      </c>
      <c r="Q9" s="196"/>
      <c r="R9" s="196"/>
      <c r="S9" s="196"/>
      <c r="T9" s="196"/>
      <c r="U9" s="196"/>
      <c r="V9" s="196">
        <v>1</v>
      </c>
      <c r="AG9" s="77" t="str">
        <f>IFERROR( SUMPRODUCT( (#REF! &gt;=#REF!) * (#REF!&lt;&gt; "") / COUNTIFS(#REF!,#REF!,#REF!, "&lt;&gt;" ) ), "-")</f>
        <v>-</v>
      </c>
      <c r="AI9" s="78" t="str">
        <f>IF( (IF(AO9&lt;&gt;"", (INDEX( BseDados!$B$6:$D$18,  MATCH( AO9, BseDados!$B$6:$B$18), 3)), "-"))  &lt;&gt; "x", IFERROR( AS9 / ( INDEX( $AM$3:$AN$4,  MATCH( AQ9, $AM$3:$AM$4,0), 2)  - SUMPRODUCT( --(#REF!= AO9 ),#REF!)), "-" ), "-")</f>
        <v>-</v>
      </c>
      <c r="AO9" s="74" t="s">
        <v>13</v>
      </c>
      <c r="AP9" s="60"/>
      <c r="AQ9" s="76" t="s">
        <v>16</v>
      </c>
      <c r="AS9" s="75" t="e">
        <f t="array" ref="AS9">SUMPRODUCT( IFERROR( (1 / COUNTIFS( Produtos!#REF!, Produtos!#REF!, Produtos!#REF!,AO9)), 0 ) * --(Produtos!#REF! = AO9)  )</f>
        <v>#REF!</v>
      </c>
      <c r="AV9" t="e">
        <f>SUMPRODUCT( --(AI9 &gt;= $AF$3:$AF$19) * --( $AF$3:$AF$19&lt;&gt;"") / COUNTIFS($AF$3:$AF$19,$AF$3:$AF$19, $AF$3:$AF$19, "&lt;&gt;" ) )</f>
        <v>#DIV/0!</v>
      </c>
      <c r="AW9" t="e">
        <f>SUMPRODUCT( --(AI9 &gt;= $AG$3:$AG$20) * --( $AG$3:$AG$20&lt;&gt;"") / COUNTIFS($AG$3:$AG$20,$AG$3:$AG$20, $AG$3:$AG$20, "&lt;&gt;" ) )</f>
        <v>#DIV/0!</v>
      </c>
      <c r="AY9" s="64" t="e">
        <f>SUMPRODUCT( (1 / COUNTIF(#REF!,#REF!)) * (#REF!&lt;&gt;"dom")  * (#REF!&lt;&gt;"sáb") * (#REF! = AO9) )</f>
        <v>#REF!</v>
      </c>
      <c r="BB9" t="e">
        <f>_xlfn.RANK.EQ( AR9, $AP$3:$AP$20,1) + COUNTIF( $AO$3:AO9,  AR9) -1</f>
        <v>#N/A</v>
      </c>
      <c r="BC9" t="e">
        <f>_xlfn.RANK.EQ( AI9, $AG$3:$AG$20,1) + COUNTIF( $AF$3:AF9,  AI9) -1</f>
        <v>#VALUE!</v>
      </c>
    </row>
    <row r="10" spans="2:62" hidden="1" x14ac:dyDescent="0.25">
      <c r="B10" s="196"/>
      <c r="C10" s="196"/>
      <c r="D10" s="196" t="s">
        <v>689</v>
      </c>
      <c r="E10" s="196" t="s">
        <v>923</v>
      </c>
      <c r="F10" s="196" t="s">
        <v>782</v>
      </c>
      <c r="G10" s="196" t="s">
        <v>690</v>
      </c>
      <c r="H10" s="196" t="s">
        <v>691</v>
      </c>
      <c r="I10" s="196"/>
      <c r="J10" s="196" t="s">
        <v>688</v>
      </c>
      <c r="K10" s="196">
        <v>200</v>
      </c>
      <c r="L10" s="196" t="s">
        <v>1051</v>
      </c>
      <c r="M10" s="199"/>
      <c r="N10" s="199"/>
      <c r="O10" s="199"/>
      <c r="P10" s="196"/>
      <c r="Q10" s="196"/>
      <c r="R10" s="196"/>
      <c r="S10" s="196"/>
      <c r="T10" s="196"/>
      <c r="U10" s="196"/>
      <c r="V10" s="196"/>
      <c r="AG10" s="77"/>
      <c r="AI10" s="78"/>
      <c r="AO10" s="74"/>
      <c r="AP10" s="60"/>
      <c r="AQ10" s="76"/>
      <c r="AS10" s="75"/>
      <c r="AY10" s="64"/>
      <c r="BB10"/>
    </row>
    <row r="11" spans="2:62" hidden="1" x14ac:dyDescent="0.25">
      <c r="B11" s="196" t="s">
        <v>263</v>
      </c>
      <c r="C11" s="196"/>
      <c r="D11" s="196" t="s">
        <v>263</v>
      </c>
      <c r="E11" s="196"/>
      <c r="F11" s="196"/>
      <c r="G11" s="196"/>
      <c r="H11" s="196"/>
      <c r="I11" s="196" t="s">
        <v>1035</v>
      </c>
      <c r="J11" s="199" t="s">
        <v>1065</v>
      </c>
      <c r="K11" s="199" t="s">
        <v>1065</v>
      </c>
      <c r="L11" s="196" t="s">
        <v>64</v>
      </c>
      <c r="M11" s="196">
        <v>200</v>
      </c>
      <c r="N11" s="196"/>
      <c r="O11" s="196" t="s">
        <v>111</v>
      </c>
      <c r="P11" s="196" t="s">
        <v>1026</v>
      </c>
      <c r="Q11" s="196"/>
      <c r="R11" s="196"/>
      <c r="S11" s="196"/>
      <c r="T11" s="196"/>
      <c r="U11" s="196"/>
      <c r="V11" s="196"/>
      <c r="AG11" s="77"/>
      <c r="AI11" s="78"/>
      <c r="AO11" s="74"/>
      <c r="AP11" s="60"/>
      <c r="AQ11" s="76"/>
      <c r="AS11" s="75"/>
      <c r="AY11" s="64"/>
      <c r="BB11"/>
    </row>
    <row r="12" spans="2:62" hidden="1" x14ac:dyDescent="0.25">
      <c r="B12" s="196" t="s">
        <v>259</v>
      </c>
      <c r="C12" s="196"/>
      <c r="D12" s="196" t="s">
        <v>761</v>
      </c>
      <c r="E12" s="196"/>
      <c r="F12" s="196"/>
      <c r="G12" s="196"/>
      <c r="H12" s="196"/>
      <c r="I12" s="196" t="s">
        <v>1022</v>
      </c>
      <c r="J12" s="199" t="s">
        <v>1065</v>
      </c>
      <c r="K12" s="199" t="s">
        <v>1065</v>
      </c>
      <c r="L12" s="196" t="s">
        <v>134</v>
      </c>
      <c r="M12" s="196">
        <v>1000</v>
      </c>
      <c r="N12" s="196"/>
      <c r="O12" s="196" t="s">
        <v>111</v>
      </c>
      <c r="P12" s="196"/>
      <c r="Q12" s="196"/>
      <c r="R12" s="196"/>
      <c r="S12" s="196"/>
      <c r="T12" s="196"/>
      <c r="U12" s="196"/>
      <c r="V12" s="196"/>
      <c r="AG12" s="77"/>
      <c r="AI12" s="78"/>
      <c r="AO12" s="74"/>
      <c r="AP12" s="60"/>
      <c r="AQ12" s="76"/>
      <c r="AS12" s="75"/>
      <c r="AY12" s="64"/>
      <c r="BB12"/>
    </row>
    <row r="13" spans="2:62" hidden="1" x14ac:dyDescent="0.25">
      <c r="B13" s="196" t="s">
        <v>465</v>
      </c>
      <c r="C13" s="196"/>
      <c r="D13" s="196" t="s">
        <v>752</v>
      </c>
      <c r="E13" s="196" t="s">
        <v>175</v>
      </c>
      <c r="F13" s="196" t="s">
        <v>687</v>
      </c>
      <c r="G13" s="196" t="s">
        <v>745</v>
      </c>
      <c r="H13" s="196" t="s">
        <v>1047</v>
      </c>
      <c r="I13" s="196"/>
      <c r="J13" s="196" t="s">
        <v>688</v>
      </c>
      <c r="K13" s="196">
        <v>250</v>
      </c>
      <c r="L13" s="196" t="s">
        <v>900</v>
      </c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AG13" s="77"/>
      <c r="AI13" s="78"/>
      <c r="AO13" s="74"/>
      <c r="AP13" s="60"/>
      <c r="AQ13" s="76"/>
      <c r="AS13" s="75"/>
      <c r="AY13" s="64"/>
      <c r="BB13"/>
    </row>
    <row r="14" spans="2:62" hidden="1" x14ac:dyDescent="0.25">
      <c r="B14" s="196" t="s">
        <v>465</v>
      </c>
      <c r="C14" s="196"/>
      <c r="D14" s="200" t="s">
        <v>752</v>
      </c>
      <c r="E14" s="200" t="s">
        <v>175</v>
      </c>
      <c r="F14" s="200" t="s">
        <v>687</v>
      </c>
      <c r="G14" s="200" t="s">
        <v>745</v>
      </c>
      <c r="H14" s="200" t="s">
        <v>1047</v>
      </c>
      <c r="I14" s="196"/>
      <c r="J14" s="196" t="s">
        <v>688</v>
      </c>
      <c r="K14" s="196">
        <v>500</v>
      </c>
      <c r="L14" s="200" t="s">
        <v>900</v>
      </c>
      <c r="M14" s="196" t="s">
        <v>1065</v>
      </c>
      <c r="N14" s="196"/>
      <c r="O14" s="200" t="s">
        <v>1065</v>
      </c>
      <c r="P14" s="196"/>
      <c r="Q14" s="196"/>
      <c r="R14" s="196"/>
      <c r="S14" s="196"/>
      <c r="T14" s="196"/>
      <c r="U14" s="196"/>
      <c r="V14" s="196"/>
      <c r="AG14" s="77"/>
      <c r="AI14" s="78"/>
      <c r="AO14" s="74"/>
      <c r="AP14" s="60"/>
      <c r="AQ14" s="76"/>
      <c r="AS14" s="75"/>
      <c r="AY14" s="64"/>
      <c r="BB14"/>
    </row>
    <row r="15" spans="2:62" hidden="1" x14ac:dyDescent="0.25">
      <c r="B15" s="196" t="s">
        <v>1067</v>
      </c>
      <c r="C15" s="196"/>
      <c r="D15" s="196" t="s">
        <v>1067</v>
      </c>
      <c r="E15" s="196"/>
      <c r="F15" s="196"/>
      <c r="G15" s="196"/>
      <c r="H15" s="196"/>
      <c r="I15" s="196"/>
      <c r="J15" s="196"/>
      <c r="K15" s="196"/>
      <c r="L15" s="196" t="s">
        <v>64</v>
      </c>
      <c r="M15" s="196">
        <v>150</v>
      </c>
      <c r="N15" s="196"/>
      <c r="O15" s="196" t="s">
        <v>111</v>
      </c>
      <c r="P15" s="196"/>
      <c r="Q15" s="196"/>
      <c r="R15" s="196"/>
      <c r="S15" s="196"/>
      <c r="T15" s="196"/>
      <c r="U15" s="196"/>
      <c r="V15" s="196"/>
      <c r="AG15" s="77"/>
      <c r="AI15" s="78"/>
      <c r="AO15" s="74"/>
      <c r="AP15" s="60"/>
      <c r="AQ15" s="76"/>
      <c r="AS15" s="75"/>
      <c r="AY15" s="64"/>
      <c r="BB15"/>
    </row>
    <row r="16" spans="2:62" hidden="1" x14ac:dyDescent="0.25">
      <c r="B16" s="196" t="s">
        <v>1067</v>
      </c>
      <c r="C16" s="196"/>
      <c r="D16" s="196" t="s">
        <v>1067</v>
      </c>
      <c r="E16" s="196"/>
      <c r="F16" s="196"/>
      <c r="G16" s="196"/>
      <c r="H16" s="196"/>
      <c r="I16" s="196"/>
      <c r="J16" s="196"/>
      <c r="K16" s="196"/>
      <c r="L16" s="196" t="s">
        <v>134</v>
      </c>
      <c r="M16" s="196">
        <v>200</v>
      </c>
      <c r="N16" s="196"/>
      <c r="O16" s="196" t="s">
        <v>111</v>
      </c>
      <c r="P16" s="196"/>
      <c r="Q16" s="196"/>
      <c r="R16" s="196"/>
      <c r="S16" s="196"/>
      <c r="T16" s="196"/>
      <c r="U16" s="196"/>
      <c r="V16" s="196"/>
      <c r="AG16" s="77"/>
      <c r="AI16" s="78"/>
      <c r="AO16" s="74"/>
      <c r="AP16" s="60"/>
      <c r="AQ16" s="76"/>
      <c r="AS16" s="75"/>
      <c r="AY16" s="64"/>
      <c r="BB16"/>
    </row>
    <row r="17" spans="2:62" hidden="1" x14ac:dyDescent="0.25">
      <c r="B17" s="196"/>
      <c r="C17" s="196"/>
      <c r="D17" s="196" t="s">
        <v>105</v>
      </c>
      <c r="E17" s="196"/>
      <c r="F17" s="196"/>
      <c r="G17" s="196"/>
      <c r="H17" s="196"/>
      <c r="I17" s="196"/>
      <c r="J17" s="196" t="s">
        <v>688</v>
      </c>
      <c r="K17" s="196">
        <v>12</v>
      </c>
      <c r="L17" s="196" t="s">
        <v>74</v>
      </c>
      <c r="M17" s="196">
        <v>30</v>
      </c>
      <c r="N17" s="196"/>
      <c r="O17" s="196" t="s">
        <v>86</v>
      </c>
      <c r="P17" s="196"/>
      <c r="Q17" s="196"/>
      <c r="R17" s="196"/>
      <c r="S17" s="196"/>
      <c r="T17" s="196"/>
      <c r="U17" s="196"/>
      <c r="V17" s="196">
        <v>1</v>
      </c>
      <c r="AG17" s="77"/>
      <c r="AI17" s="78"/>
      <c r="AO17" s="74"/>
      <c r="AP17" s="60"/>
      <c r="AQ17" s="76"/>
      <c r="AS17" s="75"/>
      <c r="AY17" s="64"/>
      <c r="BB17"/>
    </row>
    <row r="18" spans="2:62" x14ac:dyDescent="0.25">
      <c r="AG18" s="77"/>
      <c r="AI18" s="78"/>
      <c r="AO18" s="74"/>
      <c r="AP18" s="60"/>
      <c r="AQ18" s="76"/>
      <c r="AS18" s="75"/>
      <c r="AY18" s="64"/>
      <c r="BB18"/>
    </row>
    <row r="19" spans="2:62" x14ac:dyDescent="0.25">
      <c r="D19" s="79"/>
      <c r="E19" s="79"/>
      <c r="F19" s="79"/>
      <c r="G19" s="79"/>
      <c r="J19" s="191"/>
      <c r="K19" s="191"/>
      <c r="L19" s="79"/>
      <c r="M19" s="191"/>
      <c r="N19" s="191"/>
      <c r="O19" s="79"/>
      <c r="P19" s="198"/>
      <c r="Q19" s="198"/>
      <c r="R19" s="198"/>
      <c r="AG19" s="77" t="str">
        <f>IFERROR( SUMPRODUCT( (#REF! &gt;=#REF!) * (#REF!&lt;&gt; "") / COUNTIFS(#REF!,#REF!,#REF!, "&lt;&gt;" ) ), "-")</f>
        <v>-</v>
      </c>
      <c r="AI19" s="78" t="str">
        <f>IF( (IF(AO19&lt;&gt;"", (INDEX( BseDados!$B$6:$D$18,  MATCH( AO19, BseDados!$B$6:$B$18), 3)), "-"))  &lt;&gt; "x", IFERROR( AS19 / ( INDEX( $AM$3:$AN$4,  MATCH( AQ19, $AM$3:$AM$4,0), 2)  - SUMPRODUCT( --(#REF!= AO19 ),#REF!)), "-" ), "-")</f>
        <v>-</v>
      </c>
      <c r="AO19" s="74" t="s">
        <v>11</v>
      </c>
      <c r="AP19" s="60"/>
      <c r="AQ19" s="76" t="s">
        <v>16</v>
      </c>
      <c r="AS19" s="75" t="e">
        <f t="array" ref="AS19">SUMPRODUCT( IFERROR( (1 / COUNTIFS( Produtos!#REF!, Produtos!#REF!, Produtos!#REF!,AO19)), 0 ) * --(Produtos!#REF! = AO19)  )</f>
        <v>#REF!</v>
      </c>
      <c r="AV19" t="e">
        <f>SUMPRODUCT( --(AI19 &gt;= $AF$3:$AF$19) * --( $AF$3:$AF$19&lt;&gt;"") / COUNTIFS($AF$3:$AF$19,$AF$3:$AF$19, $AF$3:$AF$19, "&lt;&gt;" ) )</f>
        <v>#DIV/0!</v>
      </c>
      <c r="AW19" t="e">
        <f>SUMPRODUCT( --(AI19 &gt;= $AG$3:$AG$20) * --( $AG$3:$AG$20&lt;&gt;"") / COUNTIFS($AG$3:$AG$20,$AG$3:$AG$20, $AG$3:$AG$20, "&lt;&gt;" ) )</f>
        <v>#DIV/0!</v>
      </c>
      <c r="AY19" s="64" t="e">
        <f>SUMPRODUCT( (1 / COUNTIF(#REF!,#REF!)) * (#REF!&lt;&gt;"dom")  * (#REF!&lt;&gt;"sáb") * (#REF! = AO19) )</f>
        <v>#REF!</v>
      </c>
      <c r="BB19" t="e">
        <f>_xlfn.RANK.EQ( AR19, $AP$3:$AP$20,1) + COUNTIF( $AO$3:AO19,  AR19) -1</f>
        <v>#N/A</v>
      </c>
      <c r="BC19" t="e">
        <f>_xlfn.RANK.EQ( AI19, $AG$3:$AG$20,1) + COUNTIF( $AF$3:AF19,  AI19) -1</f>
        <v>#VALUE!</v>
      </c>
      <c r="BG19" s="68"/>
      <c r="BJ19" s="63" t="str">
        <f xml:space="preserve">   IFERROR(INDEX(#REF!, MATCH(0, INDEX(COUNTIF(#REF!,#REF! &amp; "") + IF(#REF!="",1,0),), 0)),"")</f>
        <v/>
      </c>
    </row>
    <row r="20" spans="2:62" ht="45" x14ac:dyDescent="0.25">
      <c r="B20" s="128" t="s">
        <v>594</v>
      </c>
      <c r="C20" s="128" t="s">
        <v>1025</v>
      </c>
      <c r="D20" s="128" t="s">
        <v>23</v>
      </c>
      <c r="E20" s="128" t="s">
        <v>156</v>
      </c>
      <c r="F20" s="128" t="s">
        <v>27</v>
      </c>
      <c r="G20" s="128" t="s">
        <v>8</v>
      </c>
      <c r="H20" s="128" t="s">
        <v>25</v>
      </c>
      <c r="I20" s="128" t="s">
        <v>158</v>
      </c>
      <c r="J20" s="128" t="s">
        <v>1030</v>
      </c>
      <c r="K20" s="132" t="s">
        <v>1235</v>
      </c>
      <c r="L20" s="136" t="s">
        <v>1064</v>
      </c>
      <c r="M20" s="132" t="s">
        <v>1060</v>
      </c>
      <c r="N20" s="212" t="s">
        <v>1236</v>
      </c>
      <c r="O20" s="212" t="s">
        <v>1238</v>
      </c>
      <c r="P20" s="213" t="s">
        <v>1061</v>
      </c>
      <c r="Q20" s="213" t="s">
        <v>1237</v>
      </c>
      <c r="R20" s="128" t="s">
        <v>1073</v>
      </c>
      <c r="S20" s="128" t="s">
        <v>1050</v>
      </c>
      <c r="T20" s="135" t="s">
        <v>1052</v>
      </c>
      <c r="U20" s="135" t="s">
        <v>256</v>
      </c>
      <c r="V20" s="136" t="s">
        <v>1053</v>
      </c>
      <c r="W20" s="132" t="s">
        <v>1062</v>
      </c>
      <c r="X20" s="133" t="s">
        <v>37</v>
      </c>
      <c r="Y20" s="134" t="s">
        <v>38</v>
      </c>
      <c r="Z20" s="129" t="s">
        <v>28</v>
      </c>
      <c r="AA20" s="128" t="s">
        <v>257</v>
      </c>
      <c r="AB20" s="128" t="s">
        <v>1055</v>
      </c>
      <c r="AC20" s="128" t="s">
        <v>1056</v>
      </c>
      <c r="AD20" s="128" t="s">
        <v>1057</v>
      </c>
      <c r="AE20" s="129" t="s">
        <v>1058</v>
      </c>
      <c r="AF20" s="130" t="s">
        <v>1059</v>
      </c>
      <c r="AG20" s="131" t="s">
        <v>29</v>
      </c>
      <c r="AT20" s="67"/>
      <c r="BB20"/>
      <c r="BD20" s="65"/>
    </row>
    <row r="21" spans="2:62" s="67" customFormat="1" ht="15" customHeight="1" x14ac:dyDescent="0.25">
      <c r="B21" s="157" t="s">
        <v>259</v>
      </c>
      <c r="C21" s="157"/>
      <c r="D21" s="139" t="s">
        <v>761</v>
      </c>
      <c r="E21" s="138"/>
      <c r="F21" s="139"/>
      <c r="G21" s="156"/>
      <c r="H21" s="156"/>
      <c r="I21" s="157"/>
      <c r="J21" s="157" t="s">
        <v>1022</v>
      </c>
      <c r="K21" s="143"/>
      <c r="L21" s="144"/>
      <c r="M21" s="143" t="s">
        <v>134</v>
      </c>
      <c r="N21" s="143"/>
      <c r="O21" s="209"/>
      <c r="P21" s="146" t="s">
        <v>111</v>
      </c>
      <c r="Q21" s="145"/>
      <c r="R21" s="157" t="s">
        <v>1029</v>
      </c>
      <c r="S21" s="157"/>
      <c r="T21" s="139"/>
      <c r="U21" s="140"/>
      <c r="V21" s="141"/>
      <c r="W21" s="142"/>
      <c r="X21" s="137"/>
      <c r="Y21" s="147"/>
      <c r="Z21" s="148"/>
      <c r="AA21" s="149" t="str">
        <f t="shared" ref="AA21:AA25" si="0">IF( ISNUMBER($U21), $U21, IF( ISNUMBER($T21), IF( ISNUMBER($V21), $T21 * $V21, " - " ),            IF( ISNUMBER($V21), $V21 * IF( $W21="", 1,  $W21), " - ")           ) )</f>
        <v xml:space="preserve"> - </v>
      </c>
      <c r="AB21" s="150" t="str">
        <f t="shared" ref="AB21:AB25" si="1">IF( ISNUMBER($V21), $V21,  IF( ISNUMBER($U21), IF( ISNUMBER( $T21 ),$U21/$T21, IF(ISNUMBER($W21),$U21 / $W21, $U21 )  ), " - " )   )</f>
        <v xml:space="preserve"> - </v>
      </c>
      <c r="AC21" s="150" t="str">
        <f>IF(ISNUMBER($AB21), $AB21 / IF(ISNUMBER($L21), $L21,1), " - " )</f>
        <v xml:space="preserve"> - </v>
      </c>
      <c r="AD21" s="151" t="str">
        <f t="shared" ref="AD21:AD84" si="2">IF($Q21&gt;0,$AC21/$Q21, " - " )</f>
        <v xml:space="preserve"> - </v>
      </c>
      <c r="AE21" s="152">
        <f>IFERROR(   (IF(ISNUMBER( $U21 ), $U21, IF( ISNUMBER( $V21 ),$V21, 0 ) ) + $X21 ) /  (  IF(ISNUMBER( $W21), $W21,  IF( ISNUMBER( $T21), $T21,1 )) * IF(ISNUMBER( $L21), $L21, 1) ), "-")</f>
        <v>0</v>
      </c>
      <c r="AF21" s="153">
        <f t="shared" ref="AF21:AF62" si="3">AE21 / IF( ISNUMBER($Q21),  $Q21, 1)</f>
        <v>0</v>
      </c>
      <c r="AG21" s="154">
        <f t="array" ref="AG21" xml:space="preserve"> IFERROR( IF( D21="", "-", _xlfn.AGGREGATE(15,6, ( ( ($D$21:$D$369 = D21) * IF($D$19&lt;&gt;"", --($E$21:$E$369 = E21), 1) * IF($H$19&lt;&gt;"", --($F$21:$F$369 = F21), 1)  ) / ( ( $D$21:$D$369 = D21) * IF($D$19&lt;&gt;"", --($E$21:$E$369 = E21), 1)  * IF($H$19&lt;&gt;"", --($F$21:$F$369 = F21), 1) ) ) * $AF$21:$AF$369,1)    ), "-")</f>
        <v>0</v>
      </c>
    </row>
    <row r="22" spans="2:62" s="67" customFormat="1" ht="15" customHeight="1" x14ac:dyDescent="0.25">
      <c r="B22" s="157" t="s">
        <v>260</v>
      </c>
      <c r="C22" s="157"/>
      <c r="D22" s="139" t="s">
        <v>762</v>
      </c>
      <c r="E22" s="138"/>
      <c r="F22" s="139"/>
      <c r="G22" s="156"/>
      <c r="H22" s="156"/>
      <c r="I22" s="158" t="s">
        <v>1026</v>
      </c>
      <c r="J22" s="157" t="s">
        <v>1031</v>
      </c>
      <c r="K22" s="143"/>
      <c r="L22" s="144"/>
      <c r="M22" s="143" t="s">
        <v>51</v>
      </c>
      <c r="N22" s="143"/>
      <c r="O22" s="209"/>
      <c r="P22" s="146" t="s">
        <v>111</v>
      </c>
      <c r="Q22" s="145"/>
      <c r="R22" s="157" t="s">
        <v>1033</v>
      </c>
      <c r="S22" s="157"/>
      <c r="T22" s="139"/>
      <c r="U22" s="140"/>
      <c r="V22" s="141"/>
      <c r="W22" s="142"/>
      <c r="X22" s="137"/>
      <c r="Y22" s="147"/>
      <c r="Z22" s="148"/>
      <c r="AA22" s="149" t="str">
        <f t="shared" si="0"/>
        <v xml:space="preserve"> - </v>
      </c>
      <c r="AB22" s="150" t="str">
        <f t="shared" si="1"/>
        <v xml:space="preserve"> - </v>
      </c>
      <c r="AC22" s="150" t="str">
        <f>IF(ISNUMBER($AB22), $AB22 / IF(ISNUMBER($L22), $L22,1), " - " )</f>
        <v xml:space="preserve"> - </v>
      </c>
      <c r="AD22" s="151" t="str">
        <f t="shared" si="2"/>
        <v xml:space="preserve"> - </v>
      </c>
      <c r="AE22" s="152">
        <f>IFERROR(   (IF(ISNUMBER( $U22 ), $U22, IF( ISNUMBER( $V22 ),$V22, 0 ) ) + $X22 ) /  (  IF(ISNUMBER( $W22), $W22,  IF( ISNUMBER( $T22), $T22,1 )) * IF(ISNUMBER( $L22), $L22, 1) ), "-")</f>
        <v>0</v>
      </c>
      <c r="AF22" s="153">
        <f t="shared" si="3"/>
        <v>0</v>
      </c>
      <c r="AG22" s="154">
        <f t="array" ref="AG22" xml:space="preserve"> IFERROR( IF( D22="", "-", _xlfn.AGGREGATE(15,6, ( ( ($D$21:$D$369 = D22) * IF($D$19&lt;&gt;"", --($E$21:$E$369 = E22), 1) * IF($H$19&lt;&gt;"", --($F$21:$F$369 = F22), 1)  ) / ( ( $D$21:$D$369 = D22) * IF($D$19&lt;&gt;"", --($E$21:$E$369 = E22), 1)  * IF($H$19&lt;&gt;"", --($F$21:$F$369 = F22), 1) ) ) * $AF$21:$AF$369,1)    ), "-")</f>
        <v>0</v>
      </c>
    </row>
    <row r="23" spans="2:62" s="67" customFormat="1" ht="15" customHeight="1" x14ac:dyDescent="0.25">
      <c r="B23" s="157" t="s">
        <v>261</v>
      </c>
      <c r="C23" s="157"/>
      <c r="D23" s="139" t="s">
        <v>261</v>
      </c>
      <c r="E23" s="138"/>
      <c r="F23" s="139"/>
      <c r="G23" s="156"/>
      <c r="H23" s="156"/>
      <c r="I23" s="158" t="s">
        <v>1026</v>
      </c>
      <c r="J23" s="157" t="s">
        <v>1032</v>
      </c>
      <c r="K23" s="143"/>
      <c r="L23" s="144"/>
      <c r="M23" s="143" t="s">
        <v>51</v>
      </c>
      <c r="N23" s="143"/>
      <c r="O23" s="209"/>
      <c r="P23" s="146" t="s">
        <v>111</v>
      </c>
      <c r="Q23" s="145"/>
      <c r="R23" s="157" t="s">
        <v>1034</v>
      </c>
      <c r="S23" s="157"/>
      <c r="T23" s="139"/>
      <c r="U23" s="140"/>
      <c r="V23" s="141"/>
      <c r="W23" s="142"/>
      <c r="X23" s="137"/>
      <c r="Y23" s="147"/>
      <c r="Z23" s="148"/>
      <c r="AA23" s="149" t="str">
        <f t="shared" si="0"/>
        <v xml:space="preserve"> - </v>
      </c>
      <c r="AB23" s="150" t="str">
        <f t="shared" si="1"/>
        <v xml:space="preserve"> - </v>
      </c>
      <c r="AC23" s="150" t="str">
        <f>IF(ISNUMBER($AB23), $AB23 / IF(ISNUMBER($L23), $L23,1), " - " )</f>
        <v xml:space="preserve"> - </v>
      </c>
      <c r="AD23" s="151" t="str">
        <f t="shared" si="2"/>
        <v xml:space="preserve"> - </v>
      </c>
      <c r="AE23" s="152">
        <f>IFERROR(   (IF(ISNUMBER( $U23 ), $U23, IF( ISNUMBER( $V23 ),$V23, 0 ) ) + $X23 ) /  (  IF(ISNUMBER( $W23), $W23,  IF( ISNUMBER( $T23), $T23,1 )) * IF(ISNUMBER( $L23), $L23, 1) ), "-")</f>
        <v>0</v>
      </c>
      <c r="AF23" s="153">
        <f t="shared" si="3"/>
        <v>0</v>
      </c>
      <c r="AG23" s="154">
        <f t="array" ref="AG23" xml:space="preserve"> IFERROR( IF( D23="", "-", _xlfn.AGGREGATE(15,6, ( ( ($D$21:$D$369 = D23) * IF($D$19&lt;&gt;"", --($E$21:$E$369 = E23), 1) * IF($H$19&lt;&gt;"", --($F$21:$F$369 = F23), 1)  ) / ( ( $D$21:$D$369 = D23) * IF($D$19&lt;&gt;"", --($E$21:$E$369 = E23), 1)  * IF($H$19&lt;&gt;"", --($F$21:$F$369 = F23), 1) ) ) * $AF$21:$AF$369,1)    ), "-")</f>
        <v>0</v>
      </c>
    </row>
    <row r="24" spans="2:62" s="67" customFormat="1" ht="15" customHeight="1" x14ac:dyDescent="0.25">
      <c r="B24" s="157" t="s">
        <v>262</v>
      </c>
      <c r="C24" s="157"/>
      <c r="D24" s="139" t="s">
        <v>763</v>
      </c>
      <c r="E24" s="138"/>
      <c r="F24" s="139"/>
      <c r="G24" s="156"/>
      <c r="H24" s="156"/>
      <c r="I24" s="157"/>
      <c r="J24" s="157" t="s">
        <v>1022</v>
      </c>
      <c r="K24" s="143"/>
      <c r="L24" s="144"/>
      <c r="M24" s="143" t="s">
        <v>51</v>
      </c>
      <c r="N24" s="143"/>
      <c r="O24" s="209"/>
      <c r="P24" s="146" t="s">
        <v>111</v>
      </c>
      <c r="Q24" s="145"/>
      <c r="R24" s="157" t="s">
        <v>1029</v>
      </c>
      <c r="S24" s="157" t="s">
        <v>1027</v>
      </c>
      <c r="T24" s="139"/>
      <c r="U24" s="140"/>
      <c r="V24" s="141"/>
      <c r="W24" s="142"/>
      <c r="X24" s="137"/>
      <c r="Y24" s="147"/>
      <c r="Z24" s="148"/>
      <c r="AA24" s="149" t="str">
        <f t="shared" si="0"/>
        <v xml:space="preserve"> - </v>
      </c>
      <c r="AB24" s="150" t="str">
        <f t="shared" si="1"/>
        <v xml:space="preserve"> - </v>
      </c>
      <c r="AC24" s="150" t="str">
        <f>IF(ISNUMBER($AB24), $AB24 / IF(ISNUMBER($L24), $L24,1), " - " )</f>
        <v xml:space="preserve"> - </v>
      </c>
      <c r="AD24" s="151" t="str">
        <f t="shared" si="2"/>
        <v xml:space="preserve"> - </v>
      </c>
      <c r="AE24" s="152">
        <f>IFERROR(   (IF(ISNUMBER( $U24 ), $U24, IF( ISNUMBER( $V24 ),$V24, 0 ) ) + $X24 ) /  (  IF(ISNUMBER( $W24), $W24,  IF( ISNUMBER( $T24), $T24,1 )) * IF(ISNUMBER( $L24), $L24, 1) ), "-")</f>
        <v>0</v>
      </c>
      <c r="AF24" s="153">
        <f t="shared" si="3"/>
        <v>0</v>
      </c>
      <c r="AG24" s="154">
        <f t="array" ref="AG24" xml:space="preserve"> IFERROR( IF( D24="", "-", _xlfn.AGGREGATE(15,6, ( ( ($D$21:$D$369 = D24) * IF($D$19&lt;&gt;"", --($E$21:$E$369 = E24), 1) * IF($H$19&lt;&gt;"", --($F$21:$F$369 = F24), 1)  ) / ( ( $D$21:$D$369 = D24) * IF($D$19&lt;&gt;"", --($E$21:$E$369 = E24), 1)  * IF($H$19&lt;&gt;"", --($F$21:$F$369 = F24), 1) ) ) * $AF$21:$AF$369,1)    ), "-")</f>
        <v>0</v>
      </c>
    </row>
    <row r="25" spans="2:62" s="67" customFormat="1" ht="15" customHeight="1" x14ac:dyDescent="0.25">
      <c r="B25" s="157" t="s">
        <v>592</v>
      </c>
      <c r="C25" s="155"/>
      <c r="D25" s="139" t="s">
        <v>764</v>
      </c>
      <c r="E25" s="138"/>
      <c r="F25" s="139" t="s">
        <v>729</v>
      </c>
      <c r="G25" s="156"/>
      <c r="H25" s="156"/>
      <c r="I25" s="155" t="s">
        <v>1019</v>
      </c>
      <c r="J25" s="155"/>
      <c r="K25" s="143"/>
      <c r="L25" s="144"/>
      <c r="M25" s="143" t="s">
        <v>921</v>
      </c>
      <c r="N25" s="143"/>
      <c r="O25" s="209"/>
      <c r="P25" s="146" t="s">
        <v>1065</v>
      </c>
      <c r="Q25" s="145"/>
      <c r="R25" s="157" t="s">
        <v>1034</v>
      </c>
      <c r="S25" s="155"/>
      <c r="T25" s="139"/>
      <c r="U25" s="140"/>
      <c r="V25" s="141"/>
      <c r="W25" s="142"/>
      <c r="X25" s="137"/>
      <c r="Y25" s="147"/>
      <c r="Z25" s="148"/>
      <c r="AA25" s="149" t="str">
        <f t="shared" si="0"/>
        <v xml:space="preserve"> - </v>
      </c>
      <c r="AB25" s="150" t="str">
        <f t="shared" si="1"/>
        <v xml:space="preserve"> - </v>
      </c>
      <c r="AC25" s="150" t="str">
        <f>IF(ISNUMBER($AB25), $AB25 / IF(ISNUMBER($L25), $L25,1), " - " )</f>
        <v xml:space="preserve"> - </v>
      </c>
      <c r="AD25" s="151" t="str">
        <f t="shared" si="2"/>
        <v xml:space="preserve"> - </v>
      </c>
      <c r="AE25" s="152">
        <f>IFERROR(   (IF(ISNUMBER( $U25 ), $U25, IF( ISNUMBER( $V25 ),$V25, 0 ) ) + $X25 ) /  (  IF(ISNUMBER( $W25), $W25,  IF( ISNUMBER( $T25), $T25,1 )) * IF(ISNUMBER( $L25), $L25, 1) ), "-")</f>
        <v>0</v>
      </c>
      <c r="AF25" s="153">
        <f t="shared" si="3"/>
        <v>0</v>
      </c>
      <c r="AG25" s="154">
        <f t="array" ref="AG25" xml:space="preserve"> IFERROR( IF( D25="", "-", _xlfn.AGGREGATE(15,6, ( ( ($D$21:$D$369 = D25) * IF($D$19&lt;&gt;"", --($E$21:$E$369 = E25), 1) * IF($H$19&lt;&gt;"", --($F$21:$F$369 = F25), 1)  ) / ( ( $D$21:$D$369 = D25) * IF($D$19&lt;&gt;"", --($E$21:$E$369 = E25), 1)  * IF($H$19&lt;&gt;"", --($F$21:$F$369 = F25), 1) ) ) * $AF$21:$AF$369,1)    ), "-")</f>
        <v>0</v>
      </c>
    </row>
    <row r="26" spans="2:62" x14ac:dyDescent="0.25">
      <c r="B26" s="157" t="s">
        <v>593</v>
      </c>
      <c r="C26" s="155"/>
      <c r="D26" s="161" t="s">
        <v>764</v>
      </c>
      <c r="E26" s="159"/>
      <c r="F26" s="161" t="s">
        <v>730</v>
      </c>
      <c r="G26" s="156"/>
      <c r="H26" s="156"/>
      <c r="I26" s="155" t="s">
        <v>1019</v>
      </c>
      <c r="J26" s="155"/>
      <c r="K26" s="143"/>
      <c r="L26" s="144"/>
      <c r="M26" s="143" t="s">
        <v>921</v>
      </c>
      <c r="N26" s="143"/>
      <c r="O26" s="209"/>
      <c r="P26" s="146" t="s">
        <v>1065</v>
      </c>
      <c r="Q26" s="145"/>
      <c r="R26" s="157" t="s">
        <v>1034</v>
      </c>
      <c r="S26" s="155"/>
      <c r="T26" s="161"/>
      <c r="U26" s="140"/>
      <c r="V26" s="141"/>
      <c r="W26" s="142"/>
      <c r="X26" s="171"/>
      <c r="Y26" s="173"/>
      <c r="Z26" s="175"/>
      <c r="AA26" s="177" t="str">
        <f t="shared" ref="AA26:AA89" si="4">IF( ISNUMBER($U26), $U26, IF( ISNUMBER($T26), $T26 * IF( $V26="", 1,  $V26),            IF( ISNUMBER($V26), $V26 * IF( $W26="", 1,  $W26), " - ")           ) )</f>
        <v xml:space="preserve"> - </v>
      </c>
      <c r="AB26" s="179" t="str">
        <f t="shared" ref="AB26:AB89" si="5">IF( ISNUMBER($V26), $V26, IF( ISNUMBER($U26), $U26 / IF( $W26 &lt;&gt;"",  $W26, 1), " - ") )</f>
        <v xml:space="preserve"> - </v>
      </c>
      <c r="AC26" s="179" t="str">
        <f t="shared" ref="AC26:AC89" si="6">IF($L26&gt;0,$AB26/$L26, " - " )</f>
        <v xml:space="preserve"> - </v>
      </c>
      <c r="AD26" s="181" t="str">
        <f t="shared" si="2"/>
        <v xml:space="preserve"> - </v>
      </c>
      <c r="AE26" s="183">
        <f t="shared" ref="AE26:AE89" si="7">IFERROR(   (IF(ISNUMBER( $U26 ), $U26, IF( ISNUMBER( $V26 ),$V26, 0 ) ) + $X26 ) /  (  IF(ISNUMBER( $W26), $W26, 1) * IF(ISNUMBER( $L26), $L26, 1) ), "-")</f>
        <v>0</v>
      </c>
      <c r="AF26" s="185">
        <f t="shared" si="3"/>
        <v>0</v>
      </c>
      <c r="AG26" s="187">
        <f t="array" ref="AG26" xml:space="preserve"> IFERROR( IF( D26="", "-", _xlfn.AGGREGATE(15,6, ( ( ($D$21:$D$27 = D26) * IF($D$19&lt;&gt;"", --($E$21:$E$27 = E26), 1) * IF($H$19&lt;&gt;"", --($F$21:$F$27 = F26), 1)  ) / ( ( $D$21:$D$27 = D26) * IF($D$19&lt;&gt;"", --($E$21:$E$27 = E26), 1)  * IF($H$19&lt;&gt;"", --($F$21:$F$27 = F26), 1) ) ) * $AF$21:$AF$27,1)    ), "-")</f>
        <v>0</v>
      </c>
      <c r="BB26"/>
      <c r="BE26" s="67"/>
    </row>
    <row r="27" spans="2:62" x14ac:dyDescent="0.25">
      <c r="B27" s="158" t="s">
        <v>263</v>
      </c>
      <c r="C27" s="158"/>
      <c r="D27" s="162" t="s">
        <v>263</v>
      </c>
      <c r="E27" s="160"/>
      <c r="F27" s="162"/>
      <c r="G27" s="163"/>
      <c r="H27" s="163"/>
      <c r="I27" s="158" t="s">
        <v>1026</v>
      </c>
      <c r="J27" s="158" t="s">
        <v>1035</v>
      </c>
      <c r="K27" s="167"/>
      <c r="L27" s="144"/>
      <c r="M27" s="143" t="s">
        <v>64</v>
      </c>
      <c r="N27" s="143"/>
      <c r="O27" s="209"/>
      <c r="P27" s="146" t="s">
        <v>111</v>
      </c>
      <c r="Q27" s="145"/>
      <c r="R27" s="158"/>
      <c r="S27" s="158"/>
      <c r="T27" s="162"/>
      <c r="U27" s="164"/>
      <c r="V27" s="165"/>
      <c r="W27" s="166"/>
      <c r="X27" s="172"/>
      <c r="Y27" s="174"/>
      <c r="Z27" s="176"/>
      <c r="AA27" s="178" t="str">
        <f t="shared" si="4"/>
        <v xml:space="preserve"> - </v>
      </c>
      <c r="AB27" s="180" t="str">
        <f t="shared" si="5"/>
        <v xml:space="preserve"> - </v>
      </c>
      <c r="AC27" s="180" t="str">
        <f t="shared" si="6"/>
        <v xml:space="preserve"> - </v>
      </c>
      <c r="AD27" s="182" t="str">
        <f t="shared" si="2"/>
        <v xml:space="preserve"> - </v>
      </c>
      <c r="AE27" s="184">
        <f t="shared" si="7"/>
        <v>0</v>
      </c>
      <c r="AF27" s="186">
        <f t="shared" si="3"/>
        <v>0</v>
      </c>
      <c r="AG27" s="188">
        <f t="array" ref="AG27" xml:space="preserve"> IFERROR( IF( D27="", "-", _xlfn.AGGREGATE(15,6, ( ( ($D$21:$D$27 = D27) * IF($D$19&lt;&gt;"", --($E$21:$E$27 = E27), 1) * IF($H$19&lt;&gt;"", --($F$21:$F$27 = F27), 1)  ) / ( ( $D$21:$D$27 = D27) * IF($D$19&lt;&gt;"", --($E$21:$E$27 = E27), 1)  * IF($H$19&lt;&gt;"", --($F$21:$F$27 = F27), 1) ) ) * $AF$21:$AF$27,1)    ), "-")</f>
        <v>0</v>
      </c>
      <c r="BB27"/>
      <c r="BE27" s="67"/>
    </row>
    <row r="28" spans="2:62" x14ac:dyDescent="0.25">
      <c r="B28" s="158" t="s">
        <v>264</v>
      </c>
      <c r="C28" s="158"/>
      <c r="D28" s="162" t="s">
        <v>1024</v>
      </c>
      <c r="E28" s="160"/>
      <c r="F28" s="162"/>
      <c r="G28" s="163"/>
      <c r="H28" s="163"/>
      <c r="I28" s="158"/>
      <c r="J28" s="155" t="s">
        <v>1049</v>
      </c>
      <c r="K28" s="167"/>
      <c r="L28" s="168"/>
      <c r="M28" s="143" t="s">
        <v>64</v>
      </c>
      <c r="N28" s="143"/>
      <c r="O28" s="209"/>
      <c r="P28" s="146" t="s">
        <v>111</v>
      </c>
      <c r="Q28" s="145"/>
      <c r="R28" s="157" t="s">
        <v>1029</v>
      </c>
      <c r="S28" s="158"/>
      <c r="T28" s="162"/>
      <c r="U28" s="164"/>
      <c r="V28" s="165"/>
      <c r="W28" s="166"/>
      <c r="X28" s="172"/>
      <c r="Y28" s="174"/>
      <c r="Z28" s="176"/>
      <c r="AA28" s="178" t="str">
        <f t="shared" si="4"/>
        <v xml:space="preserve"> - </v>
      </c>
      <c r="AB28" s="180" t="str">
        <f t="shared" si="5"/>
        <v xml:space="preserve"> - </v>
      </c>
      <c r="AC28" s="180" t="str">
        <f t="shared" si="6"/>
        <v xml:space="preserve"> - </v>
      </c>
      <c r="AD28" s="182" t="str">
        <f t="shared" si="2"/>
        <v xml:space="preserve"> - </v>
      </c>
      <c r="AE28" s="184">
        <f t="shared" si="7"/>
        <v>0</v>
      </c>
      <c r="AF28" s="186">
        <f t="shared" si="3"/>
        <v>0</v>
      </c>
      <c r="AG28" s="188" t="str">
        <f t="array" ref="AG28" xml:space="preserve"> IFERROR( IF( D28="", "-", _xlfn.AGGREGATE(15,6, ( ( ($D$21:$D$27 = D28) * IF($D$19&lt;&gt;"", --($E$21:$E$27 = E28), 1) * IF($H$19&lt;&gt;"", --($F$21:$F$27 = F28), 1)  ) / ( ( $D$21:$D$27 = D28) * IF($D$19&lt;&gt;"", --($E$21:$E$27 = E28), 1)  * IF($H$19&lt;&gt;"", --($F$21:$F$27 = F28), 1) ) ) * $AF$21:$AF$27,1)    ), "-")</f>
        <v>-</v>
      </c>
      <c r="BB28"/>
      <c r="BE28" s="67"/>
    </row>
    <row r="29" spans="2:62" x14ac:dyDescent="0.25">
      <c r="B29" s="158" t="s">
        <v>265</v>
      </c>
      <c r="C29" s="195"/>
      <c r="D29" s="162" t="s">
        <v>765</v>
      </c>
      <c r="E29" s="160"/>
      <c r="F29" s="162"/>
      <c r="G29" s="163"/>
      <c r="H29" s="163"/>
      <c r="I29" s="195" t="s">
        <v>1019</v>
      </c>
      <c r="J29" s="195"/>
      <c r="K29" s="167"/>
      <c r="L29" s="168"/>
      <c r="M29" s="143" t="s">
        <v>921</v>
      </c>
      <c r="N29" s="143"/>
      <c r="O29" s="209"/>
      <c r="P29" s="146" t="s">
        <v>1065</v>
      </c>
      <c r="Q29" s="145"/>
      <c r="R29" s="157" t="s">
        <v>1034</v>
      </c>
      <c r="S29" s="195"/>
      <c r="T29" s="162"/>
      <c r="U29" s="164"/>
      <c r="V29" s="165"/>
      <c r="W29" s="166"/>
      <c r="X29" s="172"/>
      <c r="Y29" s="174"/>
      <c r="Z29" s="176"/>
      <c r="AA29" s="178" t="str">
        <f t="shared" si="4"/>
        <v xml:space="preserve"> - </v>
      </c>
      <c r="AB29" s="180" t="str">
        <f t="shared" si="5"/>
        <v xml:space="preserve"> - </v>
      </c>
      <c r="AC29" s="180" t="str">
        <f t="shared" si="6"/>
        <v xml:space="preserve"> - </v>
      </c>
      <c r="AD29" s="182" t="str">
        <f t="shared" si="2"/>
        <v xml:space="preserve"> - </v>
      </c>
      <c r="AE29" s="184">
        <f t="shared" si="7"/>
        <v>0</v>
      </c>
      <c r="AF29" s="186">
        <f t="shared" si="3"/>
        <v>0</v>
      </c>
      <c r="AG29" s="188" t="str">
        <f t="array" ref="AG29" xml:space="preserve"> IFERROR( IF( D29="", "-", _xlfn.AGGREGATE(15,6, ( ( ($D$21:$D$27 = D29) * IF($D$19&lt;&gt;"", --($E$21:$E$27 = E29), 1) * IF($H$19&lt;&gt;"", --($F$21:$F$27 = F29), 1)  ) / ( ( $D$21:$D$27 = D29) * IF($D$19&lt;&gt;"", --($E$21:$E$27 = E29), 1)  * IF($H$19&lt;&gt;"", --($F$21:$F$27 = F29), 1) ) ) * $AF$21:$AF$27,1)    ), "-")</f>
        <v>-</v>
      </c>
      <c r="BB29"/>
      <c r="BE29" s="67"/>
    </row>
    <row r="30" spans="2:62" x14ac:dyDescent="0.25">
      <c r="B30" s="158" t="s">
        <v>266</v>
      </c>
      <c r="C30" s="195"/>
      <c r="D30" s="162" t="s">
        <v>916</v>
      </c>
      <c r="E30" s="160"/>
      <c r="F30" s="162"/>
      <c r="G30" s="163"/>
      <c r="H30" s="163"/>
      <c r="I30" s="195" t="s">
        <v>1020</v>
      </c>
      <c r="J30" s="195"/>
      <c r="K30" s="167"/>
      <c r="L30" s="168"/>
      <c r="M30" s="143" t="s">
        <v>921</v>
      </c>
      <c r="N30" s="143"/>
      <c r="O30" s="209"/>
      <c r="P30" s="146" t="s">
        <v>1065</v>
      </c>
      <c r="Q30" s="145"/>
      <c r="R30" s="157" t="s">
        <v>1034</v>
      </c>
      <c r="S30" s="195"/>
      <c r="T30" s="162"/>
      <c r="U30" s="164"/>
      <c r="V30" s="165"/>
      <c r="W30" s="166"/>
      <c r="X30" s="172"/>
      <c r="Y30" s="174"/>
      <c r="Z30" s="176"/>
      <c r="AA30" s="178" t="str">
        <f t="shared" si="4"/>
        <v xml:space="preserve"> - </v>
      </c>
      <c r="AB30" s="180" t="str">
        <f t="shared" si="5"/>
        <v xml:space="preserve"> - </v>
      </c>
      <c r="AC30" s="180" t="str">
        <f t="shared" si="6"/>
        <v xml:space="preserve"> - </v>
      </c>
      <c r="AD30" s="182" t="str">
        <f t="shared" si="2"/>
        <v xml:space="preserve"> - </v>
      </c>
      <c r="AE30" s="184">
        <f t="shared" si="7"/>
        <v>0</v>
      </c>
      <c r="AF30" s="186">
        <f t="shared" si="3"/>
        <v>0</v>
      </c>
      <c r="AG30" s="188" t="str">
        <f t="array" ref="AG30" xml:space="preserve"> IFERROR( IF( D30="", "-", _xlfn.AGGREGATE(15,6, ( ( ($D$21:$D$27 = D30) * IF($D$19&lt;&gt;"", --($E$21:$E$27 = E30), 1) * IF($H$19&lt;&gt;"", --($F$21:$F$27 = F30), 1)  ) / ( ( $D$21:$D$27 = D30) * IF($D$19&lt;&gt;"", --($E$21:$E$27 = E30), 1)  * IF($H$19&lt;&gt;"", --($F$21:$F$27 = F30), 1) ) ) * $AF$21:$AF$27,1)    ), "-")</f>
        <v>-</v>
      </c>
      <c r="BB30"/>
      <c r="BE30" s="67"/>
    </row>
    <row r="31" spans="2:62" x14ac:dyDescent="0.25">
      <c r="B31" s="158" t="s">
        <v>267</v>
      </c>
      <c r="C31" s="195"/>
      <c r="D31" s="162" t="s">
        <v>267</v>
      </c>
      <c r="E31" s="160"/>
      <c r="F31" s="162"/>
      <c r="G31" s="163"/>
      <c r="H31" s="163"/>
      <c r="I31" s="195" t="s">
        <v>1019</v>
      </c>
      <c r="J31" s="195"/>
      <c r="K31" s="167"/>
      <c r="L31" s="168"/>
      <c r="M31" s="143" t="s">
        <v>921</v>
      </c>
      <c r="N31" s="143"/>
      <c r="O31" s="209"/>
      <c r="P31" s="146" t="s">
        <v>1065</v>
      </c>
      <c r="Q31" s="145"/>
      <c r="R31" s="158"/>
      <c r="S31" s="195"/>
      <c r="T31" s="162"/>
      <c r="U31" s="164"/>
      <c r="V31" s="165"/>
      <c r="W31" s="166"/>
      <c r="X31" s="172"/>
      <c r="Y31" s="174"/>
      <c r="Z31" s="176"/>
      <c r="AA31" s="178" t="str">
        <f t="shared" si="4"/>
        <v xml:space="preserve"> - </v>
      </c>
      <c r="AB31" s="180" t="str">
        <f t="shared" si="5"/>
        <v xml:space="preserve"> - </v>
      </c>
      <c r="AC31" s="180" t="str">
        <f t="shared" si="6"/>
        <v xml:space="preserve"> - </v>
      </c>
      <c r="AD31" s="182" t="str">
        <f t="shared" si="2"/>
        <v xml:space="preserve"> - </v>
      </c>
      <c r="AE31" s="184">
        <f t="shared" si="7"/>
        <v>0</v>
      </c>
      <c r="AF31" s="186">
        <f t="shared" si="3"/>
        <v>0</v>
      </c>
      <c r="AG31" s="188" t="str">
        <f t="array" ref="AG31" xml:space="preserve"> IFERROR( IF( D31="", "-", _xlfn.AGGREGATE(15,6, ( ( ($D$21:$D$27 = D31) * IF($D$19&lt;&gt;"", --($E$21:$E$27 = E31), 1) * IF($H$19&lt;&gt;"", --($F$21:$F$27 = F31), 1)  ) / ( ( $D$21:$D$27 = D31) * IF($D$19&lt;&gt;"", --($E$21:$E$27 = E31), 1)  * IF($H$19&lt;&gt;"", --($F$21:$F$27 = F31), 1) ) ) * $AF$21:$AF$27,1)    ), "-")</f>
        <v>-</v>
      </c>
      <c r="BB31"/>
      <c r="BE31" s="67"/>
    </row>
    <row r="32" spans="2:62" x14ac:dyDescent="0.25">
      <c r="B32" s="158" t="s">
        <v>268</v>
      </c>
      <c r="C32" s="158"/>
      <c r="D32" s="162" t="s">
        <v>766</v>
      </c>
      <c r="E32" s="160"/>
      <c r="F32" s="162" t="s">
        <v>598</v>
      </c>
      <c r="G32" s="163"/>
      <c r="H32" s="163"/>
      <c r="I32" s="158" t="s">
        <v>1037</v>
      </c>
      <c r="J32" s="158"/>
      <c r="K32" s="167"/>
      <c r="L32" s="168"/>
      <c r="M32" s="167" t="s">
        <v>74</v>
      </c>
      <c r="N32" s="167"/>
      <c r="O32" s="210"/>
      <c r="P32" s="201" t="s">
        <v>86</v>
      </c>
      <c r="Q32" s="169"/>
      <c r="R32" s="158" t="s">
        <v>1036</v>
      </c>
      <c r="S32" s="158"/>
      <c r="T32" s="162"/>
      <c r="U32" s="164"/>
      <c r="V32" s="165"/>
      <c r="W32" s="166"/>
      <c r="X32" s="172"/>
      <c r="Y32" s="174"/>
      <c r="Z32" s="176"/>
      <c r="AA32" s="178" t="str">
        <f t="shared" si="4"/>
        <v xml:space="preserve"> - </v>
      </c>
      <c r="AB32" s="180" t="str">
        <f t="shared" si="5"/>
        <v xml:space="preserve"> - </v>
      </c>
      <c r="AC32" s="180" t="str">
        <f t="shared" si="6"/>
        <v xml:space="preserve"> - </v>
      </c>
      <c r="AD32" s="182" t="str">
        <f t="shared" si="2"/>
        <v xml:space="preserve"> - </v>
      </c>
      <c r="AE32" s="184">
        <f t="shared" si="7"/>
        <v>0</v>
      </c>
      <c r="AF32" s="186">
        <f t="shared" si="3"/>
        <v>0</v>
      </c>
      <c r="AG32" s="188" t="str">
        <f t="array" ref="AG32" xml:space="preserve"> IFERROR( IF( D32="", "-", _xlfn.AGGREGATE(15,6, ( ( ($D$21:$D$27 = D32) * IF($D$19&lt;&gt;"", --($E$21:$E$27 = E32), 1) * IF($H$19&lt;&gt;"", --($F$21:$F$27 = F32), 1)  ) / ( ( $D$21:$D$27 = D32) * IF($D$19&lt;&gt;"", --($E$21:$E$27 = E32), 1)  * IF($H$19&lt;&gt;"", --($F$21:$F$27 = F32), 1) ) ) * $AF$21:$AF$27,1)    ), "-")</f>
        <v>-</v>
      </c>
      <c r="BB32"/>
      <c r="BE32" s="67"/>
    </row>
    <row r="33" spans="2:57" x14ac:dyDescent="0.25">
      <c r="B33" s="158" t="s">
        <v>269</v>
      </c>
      <c r="C33" s="158"/>
      <c r="D33" s="162" t="s">
        <v>766</v>
      </c>
      <c r="E33" s="160"/>
      <c r="F33" s="162" t="s">
        <v>597</v>
      </c>
      <c r="G33" s="163"/>
      <c r="H33" s="163"/>
      <c r="I33" s="158" t="s">
        <v>1037</v>
      </c>
      <c r="J33" s="158"/>
      <c r="K33" s="167"/>
      <c r="L33" s="168"/>
      <c r="M33" s="167" t="s">
        <v>74</v>
      </c>
      <c r="N33" s="167"/>
      <c r="O33" s="210"/>
      <c r="P33" s="201" t="s">
        <v>86</v>
      </c>
      <c r="Q33" s="169"/>
      <c r="R33" s="158" t="s">
        <v>1036</v>
      </c>
      <c r="S33" s="158"/>
      <c r="T33" s="162"/>
      <c r="U33" s="164"/>
      <c r="V33" s="165"/>
      <c r="W33" s="166"/>
      <c r="X33" s="172"/>
      <c r="Y33" s="174"/>
      <c r="Z33" s="176"/>
      <c r="AA33" s="178" t="str">
        <f t="shared" si="4"/>
        <v xml:space="preserve"> - </v>
      </c>
      <c r="AB33" s="180" t="str">
        <f t="shared" si="5"/>
        <v xml:space="preserve"> - </v>
      </c>
      <c r="AC33" s="180" t="str">
        <f t="shared" si="6"/>
        <v xml:space="preserve"> - </v>
      </c>
      <c r="AD33" s="182" t="str">
        <f t="shared" si="2"/>
        <v xml:space="preserve"> - </v>
      </c>
      <c r="AE33" s="184">
        <f t="shared" si="7"/>
        <v>0</v>
      </c>
      <c r="AF33" s="186">
        <f t="shared" si="3"/>
        <v>0</v>
      </c>
      <c r="AG33" s="188" t="str">
        <f t="array" ref="AG33" xml:space="preserve"> IFERROR( IF( D33="", "-", _xlfn.AGGREGATE(15,6, ( ( ($D$21:$D$27 = D33) * IF($D$19&lt;&gt;"", --($E$21:$E$27 = E33), 1) * IF($H$19&lt;&gt;"", --($F$21:$F$27 = F33), 1)  ) / ( ( $D$21:$D$27 = D33) * IF($D$19&lt;&gt;"", --($E$21:$E$27 = E33), 1)  * IF($H$19&lt;&gt;"", --($F$21:$F$27 = F33), 1) ) ) * $AF$21:$AF$27,1)    ), "-")</f>
        <v>-</v>
      </c>
      <c r="BB33"/>
      <c r="BE33" s="67"/>
    </row>
    <row r="34" spans="2:57" x14ac:dyDescent="0.25">
      <c r="B34" s="158" t="s">
        <v>270</v>
      </c>
      <c r="C34" s="158"/>
      <c r="D34" s="162" t="s">
        <v>766</v>
      </c>
      <c r="E34" s="160"/>
      <c r="F34" s="162" t="s">
        <v>595</v>
      </c>
      <c r="G34" s="163"/>
      <c r="H34" s="163"/>
      <c r="I34" s="158" t="s">
        <v>1037</v>
      </c>
      <c r="J34" s="158"/>
      <c r="K34" s="167"/>
      <c r="L34" s="168"/>
      <c r="M34" s="167" t="s">
        <v>74</v>
      </c>
      <c r="N34" s="167"/>
      <c r="O34" s="210"/>
      <c r="P34" s="201" t="s">
        <v>86</v>
      </c>
      <c r="Q34" s="169"/>
      <c r="R34" s="158" t="s">
        <v>1036</v>
      </c>
      <c r="S34" s="158"/>
      <c r="T34" s="162"/>
      <c r="U34" s="164"/>
      <c r="V34" s="165"/>
      <c r="W34" s="166"/>
      <c r="X34" s="172"/>
      <c r="Y34" s="174"/>
      <c r="Z34" s="176"/>
      <c r="AA34" s="178" t="str">
        <f t="shared" si="4"/>
        <v xml:space="preserve"> - </v>
      </c>
      <c r="AB34" s="180" t="str">
        <f t="shared" si="5"/>
        <v xml:space="preserve"> - </v>
      </c>
      <c r="AC34" s="180" t="str">
        <f t="shared" si="6"/>
        <v xml:space="preserve"> - </v>
      </c>
      <c r="AD34" s="182" t="str">
        <f t="shared" si="2"/>
        <v xml:space="preserve"> - </v>
      </c>
      <c r="AE34" s="184">
        <f t="shared" si="7"/>
        <v>0</v>
      </c>
      <c r="AF34" s="186">
        <f t="shared" si="3"/>
        <v>0</v>
      </c>
      <c r="AG34" s="188" t="str">
        <f t="array" ref="AG34" xml:space="preserve"> IFERROR( IF( D34="", "-", _xlfn.AGGREGATE(15,6, ( ( ($D$21:$D$27 = D34) * IF($D$19&lt;&gt;"", --($E$21:$E$27 = E34), 1) * IF($H$19&lt;&gt;"", --($F$21:$F$27 = F34), 1)  ) / ( ( $D$21:$D$27 = D34) * IF($D$19&lt;&gt;"", --($E$21:$E$27 = E34), 1)  * IF($H$19&lt;&gt;"", --($F$21:$F$27 = F34), 1) ) ) * $AF$21:$AF$27,1)    ), "-")</f>
        <v>-</v>
      </c>
      <c r="BB34"/>
      <c r="BE34" s="67"/>
    </row>
    <row r="35" spans="2:57" x14ac:dyDescent="0.25">
      <c r="B35" s="158" t="s">
        <v>271</v>
      </c>
      <c r="C35" s="158"/>
      <c r="D35" s="162" t="s">
        <v>766</v>
      </c>
      <c r="E35" s="160"/>
      <c r="F35" s="162" t="s">
        <v>596</v>
      </c>
      <c r="G35" s="163"/>
      <c r="H35" s="163"/>
      <c r="I35" s="158" t="s">
        <v>1037</v>
      </c>
      <c r="J35" s="158"/>
      <c r="K35" s="167"/>
      <c r="L35" s="168"/>
      <c r="M35" s="167" t="s">
        <v>74</v>
      </c>
      <c r="N35" s="167"/>
      <c r="O35" s="210"/>
      <c r="P35" s="201" t="s">
        <v>86</v>
      </c>
      <c r="Q35" s="169"/>
      <c r="R35" s="158" t="s">
        <v>1036</v>
      </c>
      <c r="S35" s="158"/>
      <c r="T35" s="162"/>
      <c r="U35" s="164"/>
      <c r="V35" s="165"/>
      <c r="W35" s="166"/>
      <c r="X35" s="172"/>
      <c r="Y35" s="174"/>
      <c r="Z35" s="176"/>
      <c r="AA35" s="178" t="str">
        <f t="shared" si="4"/>
        <v xml:space="preserve"> - </v>
      </c>
      <c r="AB35" s="180" t="str">
        <f t="shared" si="5"/>
        <v xml:space="preserve"> - </v>
      </c>
      <c r="AC35" s="180" t="str">
        <f t="shared" si="6"/>
        <v xml:space="preserve"> - </v>
      </c>
      <c r="AD35" s="182" t="str">
        <f t="shared" si="2"/>
        <v xml:space="preserve"> - </v>
      </c>
      <c r="AE35" s="184">
        <f t="shared" si="7"/>
        <v>0</v>
      </c>
      <c r="AF35" s="186">
        <f t="shared" si="3"/>
        <v>0</v>
      </c>
      <c r="AG35" s="188" t="str">
        <f t="array" ref="AG35" xml:space="preserve"> IFERROR( IF( D35="", "-", _xlfn.AGGREGATE(15,6, ( ( ($D$21:$D$27 = D35) * IF($D$19&lt;&gt;"", --($E$21:$E$27 = E35), 1) * IF($H$19&lt;&gt;"", --($F$21:$F$27 = F35), 1)  ) / ( ( $D$21:$D$27 = D35) * IF($D$19&lt;&gt;"", --($E$21:$E$27 = E35), 1)  * IF($H$19&lt;&gt;"", --($F$21:$F$27 = F35), 1) ) ) * $AF$21:$AF$27,1)    ), "-")</f>
        <v>-</v>
      </c>
      <c r="BB35"/>
      <c r="BE35" s="67"/>
    </row>
    <row r="36" spans="2:57" x14ac:dyDescent="0.25">
      <c r="B36" s="158" t="s">
        <v>272</v>
      </c>
      <c r="C36" s="158"/>
      <c r="D36" s="162" t="s">
        <v>767</v>
      </c>
      <c r="E36" s="160"/>
      <c r="F36" s="162"/>
      <c r="G36" s="163"/>
      <c r="H36" s="163"/>
      <c r="I36" s="195" t="s">
        <v>1019</v>
      </c>
      <c r="J36" s="158"/>
      <c r="K36" s="167"/>
      <c r="L36" s="168"/>
      <c r="M36" s="143" t="s">
        <v>921</v>
      </c>
      <c r="N36" s="143"/>
      <c r="O36" s="209"/>
      <c r="P36" s="146" t="s">
        <v>1065</v>
      </c>
      <c r="Q36" s="145"/>
      <c r="R36" s="157" t="s">
        <v>1034</v>
      </c>
      <c r="S36" s="158"/>
      <c r="T36" s="162"/>
      <c r="U36" s="164"/>
      <c r="V36" s="165"/>
      <c r="W36" s="166"/>
      <c r="X36" s="172"/>
      <c r="Y36" s="174"/>
      <c r="Z36" s="176"/>
      <c r="AA36" s="178" t="str">
        <f t="shared" si="4"/>
        <v xml:space="preserve"> - </v>
      </c>
      <c r="AB36" s="180" t="str">
        <f t="shared" si="5"/>
        <v xml:space="preserve"> - </v>
      </c>
      <c r="AC36" s="180" t="str">
        <f t="shared" si="6"/>
        <v xml:space="preserve"> - </v>
      </c>
      <c r="AD36" s="182" t="str">
        <f t="shared" si="2"/>
        <v xml:space="preserve"> - </v>
      </c>
      <c r="AE36" s="184">
        <f t="shared" si="7"/>
        <v>0</v>
      </c>
      <c r="AF36" s="186">
        <f t="shared" si="3"/>
        <v>0</v>
      </c>
      <c r="AG36" s="188" t="str">
        <f t="array" ref="AG36" xml:space="preserve"> IFERROR( IF( D36="", "-", _xlfn.AGGREGATE(15,6, ( ( ($D$21:$D$27 = D36) * IF($D$19&lt;&gt;"", --($E$21:$E$27 = E36), 1) * IF($H$19&lt;&gt;"", --($F$21:$F$27 = F36), 1)  ) / ( ( $D$21:$D$27 = D36) * IF($D$19&lt;&gt;"", --($E$21:$E$27 = E36), 1)  * IF($H$19&lt;&gt;"", --($F$21:$F$27 = F36), 1) ) ) * $AF$21:$AF$27,1)    ), "-")</f>
        <v>-</v>
      </c>
      <c r="BB36"/>
      <c r="BE36" s="67"/>
    </row>
    <row r="37" spans="2:57" x14ac:dyDescent="0.25">
      <c r="B37" s="158" t="s">
        <v>273</v>
      </c>
      <c r="C37" s="158"/>
      <c r="D37" s="162" t="s">
        <v>768</v>
      </c>
      <c r="E37" s="160"/>
      <c r="F37" s="162"/>
      <c r="G37" s="163"/>
      <c r="H37" s="163"/>
      <c r="I37" s="195" t="s">
        <v>1019</v>
      </c>
      <c r="J37" s="158"/>
      <c r="K37" s="167"/>
      <c r="L37" s="168"/>
      <c r="M37" s="167" t="s">
        <v>74</v>
      </c>
      <c r="N37" s="167"/>
      <c r="O37" s="210"/>
      <c r="P37" s="201" t="s">
        <v>86</v>
      </c>
      <c r="Q37" s="169"/>
      <c r="R37" s="157" t="s">
        <v>1034</v>
      </c>
      <c r="S37" s="158"/>
      <c r="T37" s="162"/>
      <c r="U37" s="164"/>
      <c r="V37" s="165"/>
      <c r="W37" s="166"/>
      <c r="X37" s="172"/>
      <c r="Y37" s="174"/>
      <c r="Z37" s="176"/>
      <c r="AA37" s="178" t="str">
        <f t="shared" si="4"/>
        <v xml:space="preserve"> - </v>
      </c>
      <c r="AB37" s="180" t="str">
        <f t="shared" si="5"/>
        <v xml:space="preserve"> - </v>
      </c>
      <c r="AC37" s="180" t="str">
        <f t="shared" si="6"/>
        <v xml:space="preserve"> - </v>
      </c>
      <c r="AD37" s="182" t="str">
        <f t="shared" si="2"/>
        <v xml:space="preserve"> - </v>
      </c>
      <c r="AE37" s="184">
        <f t="shared" si="7"/>
        <v>0</v>
      </c>
      <c r="AF37" s="186">
        <f t="shared" si="3"/>
        <v>0</v>
      </c>
      <c r="AG37" s="188" t="str">
        <f t="array" ref="AG37" xml:space="preserve"> IFERROR( IF( D37="", "-", _xlfn.AGGREGATE(15,6, ( ( ($D$21:$D$27 = D37) * IF($D$19&lt;&gt;"", --($E$21:$E$27 = E37), 1) * IF($H$19&lt;&gt;"", --($F$21:$F$27 = F37), 1)  ) / ( ( $D$21:$D$27 = D37) * IF($D$19&lt;&gt;"", --($E$21:$E$27 = E37), 1)  * IF($H$19&lt;&gt;"", --($F$21:$F$27 = F37), 1) ) ) * $AF$21:$AF$27,1)    ), "-")</f>
        <v>-</v>
      </c>
      <c r="BB37"/>
      <c r="BE37" s="67"/>
    </row>
    <row r="38" spans="2:57" x14ac:dyDescent="0.25">
      <c r="B38" s="158" t="s">
        <v>274</v>
      </c>
      <c r="C38" s="158"/>
      <c r="D38" s="162" t="s">
        <v>274</v>
      </c>
      <c r="E38" s="160"/>
      <c r="F38" s="162"/>
      <c r="G38" s="163"/>
      <c r="H38" s="163"/>
      <c r="I38" s="158" t="s">
        <v>1026</v>
      </c>
      <c r="J38" s="158" t="s">
        <v>1035</v>
      </c>
      <c r="K38" s="167"/>
      <c r="L38" s="168"/>
      <c r="M38" s="143" t="s">
        <v>51</v>
      </c>
      <c r="N38" s="143"/>
      <c r="O38" s="210"/>
      <c r="P38" s="146" t="s">
        <v>111</v>
      </c>
      <c r="Q38" s="169"/>
      <c r="R38" s="157" t="s">
        <v>1034</v>
      </c>
      <c r="S38" s="158"/>
      <c r="T38" s="162"/>
      <c r="U38" s="164"/>
      <c r="V38" s="165"/>
      <c r="W38" s="166"/>
      <c r="X38" s="172"/>
      <c r="Y38" s="174"/>
      <c r="Z38" s="176"/>
      <c r="AA38" s="178" t="str">
        <f t="shared" si="4"/>
        <v xml:space="preserve"> - </v>
      </c>
      <c r="AB38" s="180" t="str">
        <f t="shared" si="5"/>
        <v xml:space="preserve"> - </v>
      </c>
      <c r="AC38" s="180" t="str">
        <f t="shared" si="6"/>
        <v xml:space="preserve"> - </v>
      </c>
      <c r="AD38" s="182" t="str">
        <f t="shared" si="2"/>
        <v xml:space="preserve"> - </v>
      </c>
      <c r="AE38" s="184">
        <f t="shared" si="7"/>
        <v>0</v>
      </c>
      <c r="AF38" s="186">
        <f t="shared" si="3"/>
        <v>0</v>
      </c>
      <c r="AG38" s="188" t="str">
        <f t="array" ref="AG38" xml:space="preserve"> IFERROR( IF( D38="", "-", _xlfn.AGGREGATE(15,6, ( ( ($D$21:$D$27 = D38) * IF($D$19&lt;&gt;"", --($E$21:$E$27 = E38), 1) * IF($H$19&lt;&gt;"", --($F$21:$F$27 = F38), 1)  ) / ( ( $D$21:$D$27 = D38) * IF($D$19&lt;&gt;"", --($E$21:$E$27 = E38), 1)  * IF($H$19&lt;&gt;"", --($F$21:$F$27 = F38), 1) ) ) * $AF$21:$AF$27,1)    ), "-")</f>
        <v>-</v>
      </c>
      <c r="BB38"/>
      <c r="BE38" s="67"/>
    </row>
    <row r="39" spans="2:57" x14ac:dyDescent="0.25">
      <c r="B39" s="158" t="s">
        <v>275</v>
      </c>
      <c r="C39" s="158"/>
      <c r="D39" s="162" t="s">
        <v>599</v>
      </c>
      <c r="E39" s="160"/>
      <c r="F39" s="162" t="s">
        <v>600</v>
      </c>
      <c r="G39" s="163"/>
      <c r="H39" s="163"/>
      <c r="I39" s="158" t="s">
        <v>1037</v>
      </c>
      <c r="J39" s="157" t="s">
        <v>1022</v>
      </c>
      <c r="K39" s="167"/>
      <c r="L39" s="168"/>
      <c r="M39" s="143" t="s">
        <v>921</v>
      </c>
      <c r="N39" s="143"/>
      <c r="O39" s="209"/>
      <c r="P39" s="146" t="s">
        <v>1065</v>
      </c>
      <c r="Q39" s="145"/>
      <c r="R39" s="157" t="s">
        <v>1029</v>
      </c>
      <c r="S39" s="158"/>
      <c r="T39" s="162"/>
      <c r="U39" s="164"/>
      <c r="V39" s="165"/>
      <c r="W39" s="166"/>
      <c r="X39" s="172"/>
      <c r="Y39" s="174"/>
      <c r="Z39" s="176"/>
      <c r="AA39" s="178" t="str">
        <f t="shared" si="4"/>
        <v xml:space="preserve"> - </v>
      </c>
      <c r="AB39" s="180" t="str">
        <f t="shared" si="5"/>
        <v xml:space="preserve"> - </v>
      </c>
      <c r="AC39" s="180" t="str">
        <f t="shared" si="6"/>
        <v xml:space="preserve"> - </v>
      </c>
      <c r="AD39" s="182" t="str">
        <f t="shared" si="2"/>
        <v xml:space="preserve"> - </v>
      </c>
      <c r="AE39" s="184">
        <f t="shared" si="7"/>
        <v>0</v>
      </c>
      <c r="AF39" s="186">
        <f t="shared" si="3"/>
        <v>0</v>
      </c>
      <c r="AG39" s="188" t="str">
        <f t="array" ref="AG39" xml:space="preserve"> IFERROR( IF( D39="", "-", _xlfn.AGGREGATE(15,6, ( ( ($D$21:$D$27 = D39) * IF($D$19&lt;&gt;"", --($E$21:$E$27 = E39), 1) * IF($H$19&lt;&gt;"", --($F$21:$F$27 = F39), 1)  ) / ( ( $D$21:$D$27 = D39) * IF($D$19&lt;&gt;"", --($E$21:$E$27 = E39), 1)  * IF($H$19&lt;&gt;"", --($F$21:$F$27 = F39), 1) ) ) * $AF$21:$AF$27,1)    ), "-")</f>
        <v>-</v>
      </c>
      <c r="BB39"/>
      <c r="BE39" s="67"/>
    </row>
    <row r="40" spans="2:57" x14ac:dyDescent="0.25">
      <c r="B40" s="158" t="s">
        <v>276</v>
      </c>
      <c r="C40" s="158"/>
      <c r="D40" s="162" t="s">
        <v>599</v>
      </c>
      <c r="E40" s="160"/>
      <c r="F40" s="162" t="s">
        <v>919</v>
      </c>
      <c r="G40" s="163"/>
      <c r="H40" s="163"/>
      <c r="I40" s="158" t="s">
        <v>1037</v>
      </c>
      <c r="J40" s="157" t="s">
        <v>1022</v>
      </c>
      <c r="K40" s="167"/>
      <c r="L40" s="168"/>
      <c r="M40" s="143" t="s">
        <v>921</v>
      </c>
      <c r="N40" s="143"/>
      <c r="O40" s="209"/>
      <c r="P40" s="146" t="s">
        <v>1065</v>
      </c>
      <c r="Q40" s="145"/>
      <c r="R40" s="157" t="s">
        <v>1029</v>
      </c>
      <c r="S40" s="158"/>
      <c r="T40" s="162"/>
      <c r="U40" s="164"/>
      <c r="V40" s="165"/>
      <c r="W40" s="166"/>
      <c r="X40" s="172"/>
      <c r="Y40" s="174"/>
      <c r="Z40" s="176"/>
      <c r="AA40" s="178" t="str">
        <f t="shared" si="4"/>
        <v xml:space="preserve"> - </v>
      </c>
      <c r="AB40" s="180" t="str">
        <f t="shared" si="5"/>
        <v xml:space="preserve"> - </v>
      </c>
      <c r="AC40" s="180" t="str">
        <f t="shared" si="6"/>
        <v xml:space="preserve"> - </v>
      </c>
      <c r="AD40" s="182" t="str">
        <f t="shared" si="2"/>
        <v xml:space="preserve"> - </v>
      </c>
      <c r="AE40" s="184">
        <f t="shared" si="7"/>
        <v>0</v>
      </c>
      <c r="AF40" s="186">
        <f t="shared" si="3"/>
        <v>0</v>
      </c>
      <c r="AG40" s="188" t="str">
        <f t="array" ref="AG40" xml:space="preserve"> IFERROR( IF( D40="", "-", _xlfn.AGGREGATE(15,6, ( ( ($D$21:$D$27 = D40) * IF($D$19&lt;&gt;"", --($E$21:$E$27 = E40), 1) * IF($H$19&lt;&gt;"", --($F$21:$F$27 = F40), 1)  ) / ( ( $D$21:$D$27 = D40) * IF($D$19&lt;&gt;"", --($E$21:$E$27 = E40), 1)  * IF($H$19&lt;&gt;"", --($F$21:$F$27 = F40), 1) ) ) * $AF$21:$AF$27,1)    ), "-")</f>
        <v>-</v>
      </c>
      <c r="BB40"/>
      <c r="BE40" s="67"/>
    </row>
    <row r="41" spans="2:57" x14ac:dyDescent="0.25">
      <c r="B41" s="158" t="s">
        <v>277</v>
      </c>
      <c r="C41" s="158"/>
      <c r="D41" s="162" t="s">
        <v>599</v>
      </c>
      <c r="E41" s="160"/>
      <c r="F41" s="162" t="s">
        <v>917</v>
      </c>
      <c r="G41" s="163"/>
      <c r="H41" s="163"/>
      <c r="I41" s="158" t="s">
        <v>1037</v>
      </c>
      <c r="J41" s="157" t="s">
        <v>1022</v>
      </c>
      <c r="K41" s="167"/>
      <c r="L41" s="168"/>
      <c r="M41" s="143" t="s">
        <v>921</v>
      </c>
      <c r="N41" s="143"/>
      <c r="O41" s="209"/>
      <c r="P41" s="146" t="s">
        <v>1065</v>
      </c>
      <c r="Q41" s="145"/>
      <c r="R41" s="157" t="s">
        <v>1029</v>
      </c>
      <c r="S41" s="158"/>
      <c r="T41" s="162"/>
      <c r="U41" s="164"/>
      <c r="V41" s="165"/>
      <c r="W41" s="166"/>
      <c r="X41" s="172"/>
      <c r="Y41" s="174"/>
      <c r="Z41" s="176"/>
      <c r="AA41" s="178" t="str">
        <f t="shared" si="4"/>
        <v xml:space="preserve"> - </v>
      </c>
      <c r="AB41" s="180" t="str">
        <f t="shared" si="5"/>
        <v xml:space="preserve"> - </v>
      </c>
      <c r="AC41" s="180" t="str">
        <f t="shared" si="6"/>
        <v xml:space="preserve"> - </v>
      </c>
      <c r="AD41" s="182" t="str">
        <f t="shared" si="2"/>
        <v xml:space="preserve"> - </v>
      </c>
      <c r="AE41" s="184">
        <f t="shared" si="7"/>
        <v>0</v>
      </c>
      <c r="AF41" s="186">
        <f t="shared" si="3"/>
        <v>0</v>
      </c>
      <c r="AG41" s="188" t="str">
        <f t="array" ref="AG41" xml:space="preserve"> IFERROR( IF( D41="", "-", _xlfn.AGGREGATE(15,6, ( ( ($D$21:$D$27 = D41) * IF($D$19&lt;&gt;"", --($E$21:$E$27 = E41), 1) * IF($H$19&lt;&gt;"", --($F$21:$F$27 = F41), 1)  ) / ( ( $D$21:$D$27 = D41) * IF($D$19&lt;&gt;"", --($E$21:$E$27 = E41), 1)  * IF($H$19&lt;&gt;"", --($F$21:$F$27 = F41), 1) ) ) * $AF$21:$AF$27,1)    ), "-")</f>
        <v>-</v>
      </c>
      <c r="BB41"/>
      <c r="BE41" s="67"/>
    </row>
    <row r="42" spans="2:57" x14ac:dyDescent="0.25">
      <c r="B42" s="158" t="s">
        <v>278</v>
      </c>
      <c r="C42" s="158"/>
      <c r="D42" s="162" t="s">
        <v>599</v>
      </c>
      <c r="E42" s="160"/>
      <c r="F42" s="162" t="s">
        <v>918</v>
      </c>
      <c r="G42" s="163"/>
      <c r="H42" s="163"/>
      <c r="I42" s="158" t="s">
        <v>1037</v>
      </c>
      <c r="J42" s="157" t="s">
        <v>1022</v>
      </c>
      <c r="K42" s="167"/>
      <c r="L42" s="168"/>
      <c r="M42" s="143" t="s">
        <v>921</v>
      </c>
      <c r="N42" s="143"/>
      <c r="O42" s="209"/>
      <c r="P42" s="146" t="s">
        <v>1065</v>
      </c>
      <c r="Q42" s="145"/>
      <c r="R42" s="157" t="s">
        <v>1029</v>
      </c>
      <c r="S42" s="158"/>
      <c r="T42" s="162"/>
      <c r="U42" s="164"/>
      <c r="V42" s="165"/>
      <c r="W42" s="166"/>
      <c r="X42" s="172"/>
      <c r="Y42" s="174"/>
      <c r="Z42" s="176"/>
      <c r="AA42" s="178" t="str">
        <f t="shared" si="4"/>
        <v xml:space="preserve"> - </v>
      </c>
      <c r="AB42" s="180" t="str">
        <f t="shared" si="5"/>
        <v xml:space="preserve"> - </v>
      </c>
      <c r="AC42" s="180" t="str">
        <f t="shared" si="6"/>
        <v xml:space="preserve"> - </v>
      </c>
      <c r="AD42" s="182" t="str">
        <f t="shared" si="2"/>
        <v xml:space="preserve"> - </v>
      </c>
      <c r="AE42" s="184">
        <f t="shared" si="7"/>
        <v>0</v>
      </c>
      <c r="AF42" s="186">
        <f t="shared" si="3"/>
        <v>0</v>
      </c>
      <c r="AG42" s="188" t="str">
        <f t="array" ref="AG42" xml:space="preserve"> IFERROR( IF( D42="", "-", _xlfn.AGGREGATE(15,6, ( ( ($D$21:$D$27 = D42) * IF($D$19&lt;&gt;"", --($E$21:$E$27 = E42), 1) * IF($H$19&lt;&gt;"", --($F$21:$F$27 = F42), 1)  ) / ( ( $D$21:$D$27 = D42) * IF($D$19&lt;&gt;"", --($E$21:$E$27 = E42), 1)  * IF($H$19&lt;&gt;"", --($F$21:$F$27 = F42), 1) ) ) * $AF$21:$AF$27,1)    ), "-")</f>
        <v>-</v>
      </c>
      <c r="BB42"/>
      <c r="BE42" s="67"/>
    </row>
    <row r="43" spans="2:57" x14ac:dyDescent="0.25">
      <c r="B43" s="158" t="s">
        <v>279</v>
      </c>
      <c r="C43" s="158"/>
      <c r="D43" s="189" t="s">
        <v>1010</v>
      </c>
      <c r="E43" s="160" t="s">
        <v>731</v>
      </c>
      <c r="F43" s="162" t="s">
        <v>602</v>
      </c>
      <c r="G43" s="163"/>
      <c r="H43" s="163"/>
      <c r="I43" s="158" t="s">
        <v>1037</v>
      </c>
      <c r="J43" s="158" t="s">
        <v>1038</v>
      </c>
      <c r="K43" s="167"/>
      <c r="L43" s="168"/>
      <c r="M43" s="167" t="s">
        <v>74</v>
      </c>
      <c r="N43" s="167"/>
      <c r="O43" s="210"/>
      <c r="P43" s="201" t="s">
        <v>86</v>
      </c>
      <c r="Q43" s="169"/>
      <c r="R43" s="158" t="s">
        <v>1036</v>
      </c>
      <c r="S43" s="158"/>
      <c r="T43" s="162"/>
      <c r="U43" s="164"/>
      <c r="V43" s="165"/>
      <c r="W43" s="166"/>
      <c r="X43" s="172"/>
      <c r="Y43" s="174"/>
      <c r="Z43" s="176"/>
      <c r="AA43" s="178" t="str">
        <f t="shared" si="4"/>
        <v xml:space="preserve"> - </v>
      </c>
      <c r="AB43" s="180" t="str">
        <f t="shared" si="5"/>
        <v xml:space="preserve"> - </v>
      </c>
      <c r="AC43" s="180" t="str">
        <f t="shared" si="6"/>
        <v xml:space="preserve"> - </v>
      </c>
      <c r="AD43" s="182" t="str">
        <f t="shared" si="2"/>
        <v xml:space="preserve"> - </v>
      </c>
      <c r="AE43" s="184">
        <f t="shared" si="7"/>
        <v>0</v>
      </c>
      <c r="AF43" s="186">
        <f t="shared" si="3"/>
        <v>0</v>
      </c>
      <c r="AG43" s="188" t="str">
        <f t="array" ref="AG43" xml:space="preserve"> IFERROR( IF( D43="", "-", _xlfn.AGGREGATE(15,6, ( ( ($D$21:$D$27 = D43) * IF($D$19&lt;&gt;"", --($E$21:$E$27 = E43), 1) * IF($H$19&lt;&gt;"", --($F$21:$F$27 = F43), 1)  ) / ( ( $D$21:$D$27 = D43) * IF($D$19&lt;&gt;"", --($E$21:$E$27 = E43), 1)  * IF($H$19&lt;&gt;"", --($F$21:$F$27 = F43), 1) ) ) * $AF$21:$AF$27,1)    ), "-")</f>
        <v>-</v>
      </c>
      <c r="BB43"/>
      <c r="BE43" s="67"/>
    </row>
    <row r="44" spans="2:57" x14ac:dyDescent="0.25">
      <c r="B44" s="158" t="s">
        <v>280</v>
      </c>
      <c r="C44" s="158"/>
      <c r="D44" s="189" t="s">
        <v>1010</v>
      </c>
      <c r="E44" s="160" t="s">
        <v>731</v>
      </c>
      <c r="F44" s="162" t="s">
        <v>601</v>
      </c>
      <c r="G44" s="163"/>
      <c r="H44" s="163"/>
      <c r="I44" s="158" t="s">
        <v>1037</v>
      </c>
      <c r="J44" s="158" t="s">
        <v>1038</v>
      </c>
      <c r="K44" s="167"/>
      <c r="L44" s="168"/>
      <c r="M44" s="167" t="s">
        <v>74</v>
      </c>
      <c r="N44" s="167"/>
      <c r="O44" s="210"/>
      <c r="P44" s="201" t="s">
        <v>86</v>
      </c>
      <c r="Q44" s="169"/>
      <c r="R44" s="158" t="s">
        <v>1036</v>
      </c>
      <c r="S44" s="158"/>
      <c r="T44" s="162"/>
      <c r="U44" s="164"/>
      <c r="V44" s="165"/>
      <c r="W44" s="166"/>
      <c r="X44" s="172"/>
      <c r="Y44" s="174"/>
      <c r="Z44" s="176"/>
      <c r="AA44" s="178" t="str">
        <f t="shared" si="4"/>
        <v xml:space="preserve"> - </v>
      </c>
      <c r="AB44" s="180" t="str">
        <f t="shared" si="5"/>
        <v xml:space="preserve"> - </v>
      </c>
      <c r="AC44" s="180" t="str">
        <f t="shared" si="6"/>
        <v xml:space="preserve"> - </v>
      </c>
      <c r="AD44" s="182" t="str">
        <f t="shared" si="2"/>
        <v xml:space="preserve"> - </v>
      </c>
      <c r="AE44" s="184">
        <f t="shared" si="7"/>
        <v>0</v>
      </c>
      <c r="AF44" s="186">
        <f t="shared" si="3"/>
        <v>0</v>
      </c>
      <c r="AG44" s="188" t="str">
        <f t="array" ref="AG44" xml:space="preserve"> IFERROR( IF( D44="", "-", _xlfn.AGGREGATE(15,6, ( ( ($D$21:$D$27 = D44) * IF($D$19&lt;&gt;"", --($E$21:$E$27 = E44), 1) * IF($H$19&lt;&gt;"", --($F$21:$F$27 = F44), 1)  ) / ( ( $D$21:$D$27 = D44) * IF($D$19&lt;&gt;"", --($E$21:$E$27 = E44), 1)  * IF($H$19&lt;&gt;"", --($F$21:$F$27 = F44), 1) ) ) * $AF$21:$AF$27,1)    ), "-")</f>
        <v>-</v>
      </c>
      <c r="BB44"/>
      <c r="BE44" s="67"/>
    </row>
    <row r="45" spans="2:57" x14ac:dyDescent="0.25">
      <c r="B45" s="158" t="s">
        <v>281</v>
      </c>
      <c r="C45" s="158"/>
      <c r="D45" s="189" t="s">
        <v>1010</v>
      </c>
      <c r="E45" s="160" t="s">
        <v>731</v>
      </c>
      <c r="F45" s="162" t="s">
        <v>603</v>
      </c>
      <c r="G45" s="163"/>
      <c r="H45" s="163"/>
      <c r="I45" s="158" t="s">
        <v>1037</v>
      </c>
      <c r="J45" s="158" t="s">
        <v>1038</v>
      </c>
      <c r="K45" s="167"/>
      <c r="L45" s="168"/>
      <c r="M45" s="167" t="s">
        <v>74</v>
      </c>
      <c r="N45" s="167"/>
      <c r="O45" s="210"/>
      <c r="P45" s="201" t="s">
        <v>86</v>
      </c>
      <c r="Q45" s="169"/>
      <c r="R45" s="158" t="s">
        <v>1036</v>
      </c>
      <c r="S45" s="158"/>
      <c r="T45" s="162"/>
      <c r="U45" s="164"/>
      <c r="V45" s="165"/>
      <c r="W45" s="166"/>
      <c r="X45" s="172"/>
      <c r="Y45" s="174"/>
      <c r="Z45" s="176"/>
      <c r="AA45" s="178" t="str">
        <f t="shared" si="4"/>
        <v xml:space="preserve"> - </v>
      </c>
      <c r="AB45" s="180" t="str">
        <f t="shared" si="5"/>
        <v xml:space="preserve"> - </v>
      </c>
      <c r="AC45" s="180" t="str">
        <f t="shared" si="6"/>
        <v xml:space="preserve"> - </v>
      </c>
      <c r="AD45" s="182" t="str">
        <f t="shared" si="2"/>
        <v xml:space="preserve"> - </v>
      </c>
      <c r="AE45" s="184">
        <f t="shared" si="7"/>
        <v>0</v>
      </c>
      <c r="AF45" s="186">
        <f t="shared" si="3"/>
        <v>0</v>
      </c>
      <c r="AG45" s="188" t="str">
        <f t="array" ref="AG45" xml:space="preserve"> IFERROR( IF( D45="", "-", _xlfn.AGGREGATE(15,6, ( ( ($D$21:$D$27 = D45) * IF($D$19&lt;&gt;"", --($E$21:$E$27 = E45), 1) * IF($H$19&lt;&gt;"", --($F$21:$F$27 = F45), 1)  ) / ( ( $D$21:$D$27 = D45) * IF($D$19&lt;&gt;"", --($E$21:$E$27 = E45), 1)  * IF($H$19&lt;&gt;"", --($F$21:$F$27 = F45), 1) ) ) * $AF$21:$AF$27,1)    ), "-")</f>
        <v>-</v>
      </c>
      <c r="BB45"/>
      <c r="BE45" s="67"/>
    </row>
    <row r="46" spans="2:57" x14ac:dyDescent="0.25">
      <c r="B46" s="158" t="s">
        <v>282</v>
      </c>
      <c r="C46" s="158"/>
      <c r="D46" s="189" t="s">
        <v>1010</v>
      </c>
      <c r="E46" s="160" t="s">
        <v>731</v>
      </c>
      <c r="F46" s="162" t="s">
        <v>604</v>
      </c>
      <c r="G46" s="163"/>
      <c r="H46" s="163"/>
      <c r="I46" s="158" t="s">
        <v>1037</v>
      </c>
      <c r="J46" s="158" t="s">
        <v>1038</v>
      </c>
      <c r="K46" s="167"/>
      <c r="L46" s="168"/>
      <c r="M46" s="167" t="s">
        <v>74</v>
      </c>
      <c r="N46" s="167"/>
      <c r="O46" s="210"/>
      <c r="P46" s="201" t="s">
        <v>86</v>
      </c>
      <c r="Q46" s="169"/>
      <c r="R46" s="158" t="s">
        <v>1036</v>
      </c>
      <c r="S46" s="158"/>
      <c r="T46" s="162"/>
      <c r="U46" s="164"/>
      <c r="V46" s="165"/>
      <c r="W46" s="166"/>
      <c r="X46" s="172"/>
      <c r="Y46" s="174"/>
      <c r="Z46" s="176"/>
      <c r="AA46" s="178" t="str">
        <f t="shared" si="4"/>
        <v xml:space="preserve"> - </v>
      </c>
      <c r="AB46" s="180" t="str">
        <f t="shared" si="5"/>
        <v xml:space="preserve"> - </v>
      </c>
      <c r="AC46" s="180" t="str">
        <f t="shared" si="6"/>
        <v xml:space="preserve"> - </v>
      </c>
      <c r="AD46" s="182" t="str">
        <f t="shared" si="2"/>
        <v xml:space="preserve"> - </v>
      </c>
      <c r="AE46" s="184">
        <f t="shared" si="7"/>
        <v>0</v>
      </c>
      <c r="AF46" s="186">
        <f t="shared" si="3"/>
        <v>0</v>
      </c>
      <c r="AG46" s="188" t="str">
        <f t="array" ref="AG46" xml:space="preserve"> IFERROR( IF( D46="", "-", _xlfn.AGGREGATE(15,6, ( ( ($D$21:$D$27 = D46) * IF($D$19&lt;&gt;"", --($E$21:$E$27 = E46), 1) * IF($H$19&lt;&gt;"", --($F$21:$F$27 = F46), 1)  ) / ( ( $D$21:$D$27 = D46) * IF($D$19&lt;&gt;"", --($E$21:$E$27 = E46), 1)  * IF($H$19&lt;&gt;"", --($F$21:$F$27 = F46), 1) ) ) * $AF$21:$AF$27,1)    ), "-")</f>
        <v>-</v>
      </c>
      <c r="BB46"/>
      <c r="BE46" s="67"/>
    </row>
    <row r="47" spans="2:57" x14ac:dyDescent="0.25">
      <c r="B47" s="158" t="s">
        <v>283</v>
      </c>
      <c r="C47" s="158"/>
      <c r="D47" s="189" t="s">
        <v>1010</v>
      </c>
      <c r="E47" s="160" t="s">
        <v>731</v>
      </c>
      <c r="F47" s="162" t="s">
        <v>605</v>
      </c>
      <c r="G47" s="163"/>
      <c r="H47" s="163"/>
      <c r="I47" s="158" t="s">
        <v>1037</v>
      </c>
      <c r="J47" s="158" t="s">
        <v>1038</v>
      </c>
      <c r="K47" s="167"/>
      <c r="L47" s="168"/>
      <c r="M47" s="167" t="s">
        <v>74</v>
      </c>
      <c r="N47" s="167"/>
      <c r="O47" s="210"/>
      <c r="P47" s="201" t="s">
        <v>86</v>
      </c>
      <c r="Q47" s="169"/>
      <c r="R47" s="158" t="s">
        <v>1036</v>
      </c>
      <c r="S47" s="158"/>
      <c r="T47" s="162"/>
      <c r="U47" s="164"/>
      <c r="V47" s="165"/>
      <c r="W47" s="166"/>
      <c r="X47" s="172"/>
      <c r="Y47" s="174"/>
      <c r="Z47" s="176"/>
      <c r="AA47" s="178" t="str">
        <f t="shared" si="4"/>
        <v xml:space="preserve"> - </v>
      </c>
      <c r="AB47" s="180" t="str">
        <f t="shared" si="5"/>
        <v xml:space="preserve"> - </v>
      </c>
      <c r="AC47" s="180" t="str">
        <f t="shared" si="6"/>
        <v xml:space="preserve"> - </v>
      </c>
      <c r="AD47" s="182" t="str">
        <f t="shared" si="2"/>
        <v xml:space="preserve"> - </v>
      </c>
      <c r="AE47" s="184">
        <f t="shared" si="7"/>
        <v>0</v>
      </c>
      <c r="AF47" s="186">
        <f t="shared" si="3"/>
        <v>0</v>
      </c>
      <c r="AG47" s="188" t="str">
        <f t="array" ref="AG47" xml:space="preserve"> IFERROR( IF( D47="", "-", _xlfn.AGGREGATE(15,6, ( ( ($D$21:$D$27 = D47) * IF($D$19&lt;&gt;"", --($E$21:$E$27 = E47), 1) * IF($H$19&lt;&gt;"", --($F$21:$F$27 = F47), 1)  ) / ( ( $D$21:$D$27 = D47) * IF($D$19&lt;&gt;"", --($E$21:$E$27 = E47), 1)  * IF($H$19&lt;&gt;"", --($F$21:$F$27 = F47), 1) ) ) * $AF$21:$AF$27,1)    ), "-")</f>
        <v>-</v>
      </c>
      <c r="BB47"/>
      <c r="BE47" s="67"/>
    </row>
    <row r="48" spans="2:57" x14ac:dyDescent="0.25">
      <c r="B48" s="158" t="s">
        <v>284</v>
      </c>
      <c r="C48" s="158"/>
      <c r="D48" s="189" t="s">
        <v>1010</v>
      </c>
      <c r="E48" s="160" t="s">
        <v>731</v>
      </c>
      <c r="F48" s="162" t="s">
        <v>606</v>
      </c>
      <c r="G48" s="163"/>
      <c r="H48" s="163"/>
      <c r="I48" s="158" t="s">
        <v>1037</v>
      </c>
      <c r="J48" s="158" t="s">
        <v>1038</v>
      </c>
      <c r="K48" s="167"/>
      <c r="L48" s="168"/>
      <c r="M48" s="167" t="s">
        <v>74</v>
      </c>
      <c r="N48" s="167"/>
      <c r="O48" s="210"/>
      <c r="P48" s="201" t="s">
        <v>86</v>
      </c>
      <c r="Q48" s="169"/>
      <c r="R48" s="158" t="s">
        <v>1036</v>
      </c>
      <c r="S48" s="158"/>
      <c r="T48" s="162"/>
      <c r="U48" s="164"/>
      <c r="V48" s="165"/>
      <c r="W48" s="166"/>
      <c r="X48" s="172"/>
      <c r="Y48" s="174"/>
      <c r="Z48" s="176"/>
      <c r="AA48" s="178" t="str">
        <f t="shared" si="4"/>
        <v xml:space="preserve"> - </v>
      </c>
      <c r="AB48" s="180" t="str">
        <f t="shared" si="5"/>
        <v xml:space="preserve"> - </v>
      </c>
      <c r="AC48" s="180" t="str">
        <f t="shared" si="6"/>
        <v xml:space="preserve"> - </v>
      </c>
      <c r="AD48" s="182" t="str">
        <f t="shared" si="2"/>
        <v xml:space="preserve"> - </v>
      </c>
      <c r="AE48" s="184">
        <f t="shared" si="7"/>
        <v>0</v>
      </c>
      <c r="AF48" s="186">
        <f t="shared" si="3"/>
        <v>0</v>
      </c>
      <c r="AG48" s="188" t="str">
        <f t="array" ref="AG48" xml:space="preserve"> IFERROR( IF( D48="", "-", _xlfn.AGGREGATE(15,6, ( ( ($D$21:$D$27 = D48) * IF($D$19&lt;&gt;"", --($E$21:$E$27 = E48), 1) * IF($H$19&lt;&gt;"", --($F$21:$F$27 = F48), 1)  ) / ( ( $D$21:$D$27 = D48) * IF($D$19&lt;&gt;"", --($E$21:$E$27 = E48), 1)  * IF($H$19&lt;&gt;"", --($F$21:$F$27 = F48), 1) ) ) * $AF$21:$AF$27,1)    ), "-")</f>
        <v>-</v>
      </c>
      <c r="BB48"/>
      <c r="BE48" s="67"/>
    </row>
    <row r="49" spans="2:57" x14ac:dyDescent="0.25">
      <c r="B49" s="158" t="s">
        <v>285</v>
      </c>
      <c r="C49" s="158"/>
      <c r="D49" s="189" t="s">
        <v>1010</v>
      </c>
      <c r="E49" s="160" t="s">
        <v>731</v>
      </c>
      <c r="F49" s="162" t="s">
        <v>607</v>
      </c>
      <c r="G49" s="163"/>
      <c r="H49" s="163"/>
      <c r="I49" s="158" t="s">
        <v>1037</v>
      </c>
      <c r="J49" s="158" t="s">
        <v>1038</v>
      </c>
      <c r="K49" s="167"/>
      <c r="L49" s="168"/>
      <c r="M49" s="167" t="s">
        <v>74</v>
      </c>
      <c r="N49" s="167"/>
      <c r="O49" s="210"/>
      <c r="P49" s="201" t="s">
        <v>86</v>
      </c>
      <c r="Q49" s="169"/>
      <c r="R49" s="158" t="s">
        <v>1036</v>
      </c>
      <c r="S49" s="158"/>
      <c r="T49" s="162"/>
      <c r="U49" s="164"/>
      <c r="V49" s="165"/>
      <c r="W49" s="166"/>
      <c r="X49" s="172"/>
      <c r="Y49" s="174"/>
      <c r="Z49" s="176"/>
      <c r="AA49" s="178" t="str">
        <f t="shared" si="4"/>
        <v xml:space="preserve"> - </v>
      </c>
      <c r="AB49" s="180" t="str">
        <f t="shared" si="5"/>
        <v xml:space="preserve"> - </v>
      </c>
      <c r="AC49" s="180" t="str">
        <f t="shared" si="6"/>
        <v xml:space="preserve"> - </v>
      </c>
      <c r="AD49" s="182" t="str">
        <f t="shared" si="2"/>
        <v xml:space="preserve"> - </v>
      </c>
      <c r="AE49" s="184">
        <f t="shared" si="7"/>
        <v>0</v>
      </c>
      <c r="AF49" s="186">
        <f t="shared" si="3"/>
        <v>0</v>
      </c>
      <c r="AG49" s="188" t="str">
        <f t="array" ref="AG49" xml:space="preserve"> IFERROR( IF( D49="", "-", _xlfn.AGGREGATE(15,6, ( ( ($D$21:$D$27 = D49) * IF($D$19&lt;&gt;"", --($E$21:$E$27 = E49), 1) * IF($H$19&lt;&gt;"", --($F$21:$F$27 = F49), 1)  ) / ( ( $D$21:$D$27 = D49) * IF($D$19&lt;&gt;"", --($E$21:$E$27 = E49), 1)  * IF($H$19&lt;&gt;"", --($F$21:$F$27 = F49), 1) ) ) * $AF$21:$AF$27,1)    ), "-")</f>
        <v>-</v>
      </c>
      <c r="BB49"/>
      <c r="BE49" s="67"/>
    </row>
    <row r="50" spans="2:57" x14ac:dyDescent="0.25">
      <c r="B50" s="158" t="s">
        <v>286</v>
      </c>
      <c r="C50" s="158"/>
      <c r="D50" s="189" t="s">
        <v>1010</v>
      </c>
      <c r="E50" s="160" t="s">
        <v>732</v>
      </c>
      <c r="F50" s="162" t="s">
        <v>602</v>
      </c>
      <c r="G50" s="163"/>
      <c r="H50" s="163"/>
      <c r="I50" s="158" t="s">
        <v>1037</v>
      </c>
      <c r="J50" s="158" t="s">
        <v>1038</v>
      </c>
      <c r="K50" s="167"/>
      <c r="L50" s="168"/>
      <c r="M50" s="167" t="s">
        <v>74</v>
      </c>
      <c r="N50" s="167"/>
      <c r="O50" s="210"/>
      <c r="P50" s="201" t="s">
        <v>86</v>
      </c>
      <c r="Q50" s="169"/>
      <c r="R50" s="158" t="s">
        <v>1036</v>
      </c>
      <c r="S50" s="158"/>
      <c r="T50" s="162"/>
      <c r="U50" s="164"/>
      <c r="V50" s="165"/>
      <c r="W50" s="166"/>
      <c r="X50" s="172"/>
      <c r="Y50" s="174"/>
      <c r="Z50" s="176"/>
      <c r="AA50" s="178" t="str">
        <f t="shared" si="4"/>
        <v xml:space="preserve"> - </v>
      </c>
      <c r="AB50" s="180" t="str">
        <f t="shared" si="5"/>
        <v xml:space="preserve"> - </v>
      </c>
      <c r="AC50" s="180" t="str">
        <f t="shared" si="6"/>
        <v xml:space="preserve"> - </v>
      </c>
      <c r="AD50" s="182" t="str">
        <f t="shared" si="2"/>
        <v xml:space="preserve"> - </v>
      </c>
      <c r="AE50" s="184">
        <f t="shared" si="7"/>
        <v>0</v>
      </c>
      <c r="AF50" s="186">
        <f t="shared" si="3"/>
        <v>0</v>
      </c>
      <c r="AG50" s="188" t="str">
        <f t="array" ref="AG50" xml:space="preserve"> IFERROR( IF( D50="", "-", _xlfn.AGGREGATE(15,6, ( ( ($D$21:$D$27 = D50) * IF($D$19&lt;&gt;"", --($E$21:$E$27 = E50), 1) * IF($H$19&lt;&gt;"", --($F$21:$F$27 = F50), 1)  ) / ( ( $D$21:$D$27 = D50) * IF($D$19&lt;&gt;"", --($E$21:$E$27 = E50), 1)  * IF($H$19&lt;&gt;"", --($F$21:$F$27 = F50), 1) ) ) * $AF$21:$AF$27,1)    ), "-")</f>
        <v>-</v>
      </c>
      <c r="BB50"/>
      <c r="BE50" s="67"/>
    </row>
    <row r="51" spans="2:57" x14ac:dyDescent="0.25">
      <c r="B51" s="158" t="s">
        <v>287</v>
      </c>
      <c r="C51" s="158"/>
      <c r="D51" s="189" t="s">
        <v>1010</v>
      </c>
      <c r="E51" s="160" t="s">
        <v>732</v>
      </c>
      <c r="F51" s="162" t="s">
        <v>601</v>
      </c>
      <c r="G51" s="163"/>
      <c r="H51" s="163"/>
      <c r="I51" s="158" t="s">
        <v>1037</v>
      </c>
      <c r="J51" s="158" t="s">
        <v>1038</v>
      </c>
      <c r="K51" s="167"/>
      <c r="L51" s="168"/>
      <c r="M51" s="167" t="s">
        <v>74</v>
      </c>
      <c r="N51" s="167"/>
      <c r="O51" s="210"/>
      <c r="P51" s="201" t="s">
        <v>86</v>
      </c>
      <c r="Q51" s="169"/>
      <c r="R51" s="158" t="s">
        <v>1036</v>
      </c>
      <c r="S51" s="158"/>
      <c r="T51" s="162"/>
      <c r="U51" s="164"/>
      <c r="V51" s="165"/>
      <c r="W51" s="166"/>
      <c r="X51" s="172"/>
      <c r="Y51" s="174"/>
      <c r="Z51" s="176"/>
      <c r="AA51" s="178" t="str">
        <f t="shared" si="4"/>
        <v xml:space="preserve"> - </v>
      </c>
      <c r="AB51" s="180" t="str">
        <f t="shared" si="5"/>
        <v xml:space="preserve"> - </v>
      </c>
      <c r="AC51" s="180" t="str">
        <f t="shared" si="6"/>
        <v xml:space="preserve"> - </v>
      </c>
      <c r="AD51" s="182" t="str">
        <f t="shared" si="2"/>
        <v xml:space="preserve"> - </v>
      </c>
      <c r="AE51" s="184">
        <f t="shared" si="7"/>
        <v>0</v>
      </c>
      <c r="AF51" s="186">
        <f t="shared" si="3"/>
        <v>0</v>
      </c>
      <c r="AG51" s="188" t="str">
        <f t="array" ref="AG51" xml:space="preserve"> IFERROR( IF( D51="", "-", _xlfn.AGGREGATE(15,6, ( ( ($D$21:$D$27 = D51) * IF($D$19&lt;&gt;"", --($E$21:$E$27 = E51), 1) * IF($H$19&lt;&gt;"", --($F$21:$F$27 = F51), 1)  ) / ( ( $D$21:$D$27 = D51) * IF($D$19&lt;&gt;"", --($E$21:$E$27 = E51), 1)  * IF($H$19&lt;&gt;"", --($F$21:$F$27 = F51), 1) ) ) * $AF$21:$AF$27,1)    ), "-")</f>
        <v>-</v>
      </c>
      <c r="BB51"/>
      <c r="BE51" s="67"/>
    </row>
    <row r="52" spans="2:57" x14ac:dyDescent="0.25">
      <c r="B52" s="158" t="s">
        <v>288</v>
      </c>
      <c r="C52" s="158"/>
      <c r="D52" s="189" t="s">
        <v>1010</v>
      </c>
      <c r="E52" s="160" t="s">
        <v>732</v>
      </c>
      <c r="F52" s="162" t="s">
        <v>603</v>
      </c>
      <c r="G52" s="163"/>
      <c r="H52" s="163"/>
      <c r="I52" s="158" t="s">
        <v>1037</v>
      </c>
      <c r="J52" s="158" t="s">
        <v>1038</v>
      </c>
      <c r="K52" s="167"/>
      <c r="L52" s="168"/>
      <c r="M52" s="167" t="s">
        <v>74</v>
      </c>
      <c r="N52" s="167"/>
      <c r="O52" s="210"/>
      <c r="P52" s="201" t="s">
        <v>86</v>
      </c>
      <c r="Q52" s="169"/>
      <c r="R52" s="158" t="s">
        <v>1036</v>
      </c>
      <c r="S52" s="158"/>
      <c r="T52" s="162"/>
      <c r="U52" s="164"/>
      <c r="V52" s="165"/>
      <c r="W52" s="166"/>
      <c r="X52" s="172"/>
      <c r="Y52" s="174"/>
      <c r="Z52" s="176"/>
      <c r="AA52" s="178" t="str">
        <f t="shared" si="4"/>
        <v xml:space="preserve"> - </v>
      </c>
      <c r="AB52" s="180" t="str">
        <f t="shared" si="5"/>
        <v xml:space="preserve"> - </v>
      </c>
      <c r="AC52" s="180" t="str">
        <f t="shared" si="6"/>
        <v xml:space="preserve"> - </v>
      </c>
      <c r="AD52" s="182" t="str">
        <f t="shared" si="2"/>
        <v xml:space="preserve"> - </v>
      </c>
      <c r="AE52" s="184">
        <f t="shared" si="7"/>
        <v>0</v>
      </c>
      <c r="AF52" s="186">
        <f t="shared" si="3"/>
        <v>0</v>
      </c>
      <c r="AG52" s="188" t="str">
        <f t="array" ref="AG52" xml:space="preserve"> IFERROR( IF( D52="", "-", _xlfn.AGGREGATE(15,6, ( ( ($D$21:$D$27 = D52) * IF($D$19&lt;&gt;"", --($E$21:$E$27 = E52), 1) * IF($H$19&lt;&gt;"", --($F$21:$F$27 = F52), 1)  ) / ( ( $D$21:$D$27 = D52) * IF($D$19&lt;&gt;"", --($E$21:$E$27 = E52), 1)  * IF($H$19&lt;&gt;"", --($F$21:$F$27 = F52), 1) ) ) * $AF$21:$AF$27,1)    ), "-")</f>
        <v>-</v>
      </c>
      <c r="BB52"/>
      <c r="BE52" s="67"/>
    </row>
    <row r="53" spans="2:57" x14ac:dyDescent="0.25">
      <c r="B53" s="158" t="s">
        <v>289</v>
      </c>
      <c r="C53" s="158"/>
      <c r="D53" s="189" t="s">
        <v>1010</v>
      </c>
      <c r="E53" s="160" t="s">
        <v>732</v>
      </c>
      <c r="F53" s="162" t="s">
        <v>604</v>
      </c>
      <c r="G53" s="163"/>
      <c r="H53" s="163"/>
      <c r="I53" s="158" t="s">
        <v>1037</v>
      </c>
      <c r="J53" s="158" t="s">
        <v>1038</v>
      </c>
      <c r="K53" s="167"/>
      <c r="L53" s="168"/>
      <c r="M53" s="167" t="s">
        <v>74</v>
      </c>
      <c r="N53" s="167"/>
      <c r="O53" s="210"/>
      <c r="P53" s="201" t="s">
        <v>86</v>
      </c>
      <c r="Q53" s="169"/>
      <c r="R53" s="158" t="s">
        <v>1036</v>
      </c>
      <c r="S53" s="158"/>
      <c r="T53" s="162"/>
      <c r="U53" s="164"/>
      <c r="V53" s="165"/>
      <c r="W53" s="166"/>
      <c r="X53" s="172"/>
      <c r="Y53" s="174"/>
      <c r="Z53" s="176"/>
      <c r="AA53" s="178" t="str">
        <f t="shared" si="4"/>
        <v xml:space="preserve"> - </v>
      </c>
      <c r="AB53" s="180" t="str">
        <f t="shared" si="5"/>
        <v xml:space="preserve"> - </v>
      </c>
      <c r="AC53" s="180" t="str">
        <f t="shared" si="6"/>
        <v xml:space="preserve"> - </v>
      </c>
      <c r="AD53" s="182" t="str">
        <f t="shared" si="2"/>
        <v xml:space="preserve"> - </v>
      </c>
      <c r="AE53" s="184">
        <f t="shared" si="7"/>
        <v>0</v>
      </c>
      <c r="AF53" s="186">
        <f t="shared" si="3"/>
        <v>0</v>
      </c>
      <c r="AG53" s="188" t="str">
        <f t="array" ref="AG53" xml:space="preserve"> IFERROR( IF( D53="", "-", _xlfn.AGGREGATE(15,6, ( ( ($D$21:$D$27 = D53) * IF($D$19&lt;&gt;"", --($E$21:$E$27 = E53), 1) * IF($H$19&lt;&gt;"", --($F$21:$F$27 = F53), 1)  ) / ( ( $D$21:$D$27 = D53) * IF($D$19&lt;&gt;"", --($E$21:$E$27 = E53), 1)  * IF($H$19&lt;&gt;"", --($F$21:$F$27 = F53), 1) ) ) * $AF$21:$AF$27,1)    ), "-")</f>
        <v>-</v>
      </c>
      <c r="BB53"/>
      <c r="BE53" s="67"/>
    </row>
    <row r="54" spans="2:57" x14ac:dyDescent="0.25">
      <c r="B54" s="158" t="s">
        <v>290</v>
      </c>
      <c r="C54" s="158"/>
      <c r="D54" s="189" t="s">
        <v>1010</v>
      </c>
      <c r="E54" s="160" t="s">
        <v>732</v>
      </c>
      <c r="F54" s="162" t="s">
        <v>605</v>
      </c>
      <c r="G54" s="163"/>
      <c r="H54" s="163"/>
      <c r="I54" s="158" t="s">
        <v>1037</v>
      </c>
      <c r="J54" s="158" t="s">
        <v>1038</v>
      </c>
      <c r="K54" s="167"/>
      <c r="L54" s="168"/>
      <c r="M54" s="167" t="s">
        <v>74</v>
      </c>
      <c r="N54" s="167"/>
      <c r="O54" s="210"/>
      <c r="P54" s="201" t="s">
        <v>86</v>
      </c>
      <c r="Q54" s="169"/>
      <c r="R54" s="158" t="s">
        <v>1036</v>
      </c>
      <c r="S54" s="158"/>
      <c r="T54" s="162"/>
      <c r="U54" s="164"/>
      <c r="V54" s="165"/>
      <c r="W54" s="166"/>
      <c r="X54" s="172"/>
      <c r="Y54" s="174"/>
      <c r="Z54" s="176"/>
      <c r="AA54" s="178" t="str">
        <f t="shared" si="4"/>
        <v xml:space="preserve"> - </v>
      </c>
      <c r="AB54" s="180" t="str">
        <f t="shared" si="5"/>
        <v xml:space="preserve"> - </v>
      </c>
      <c r="AC54" s="180" t="str">
        <f t="shared" si="6"/>
        <v xml:space="preserve"> - </v>
      </c>
      <c r="AD54" s="182" t="str">
        <f t="shared" si="2"/>
        <v xml:space="preserve"> - </v>
      </c>
      <c r="AE54" s="184">
        <f t="shared" si="7"/>
        <v>0</v>
      </c>
      <c r="AF54" s="186">
        <f t="shared" si="3"/>
        <v>0</v>
      </c>
      <c r="AG54" s="188" t="str">
        <f t="array" ref="AG54" xml:space="preserve"> IFERROR( IF( D54="", "-", _xlfn.AGGREGATE(15,6, ( ( ($D$21:$D$27 = D54) * IF($D$19&lt;&gt;"", --($E$21:$E$27 = E54), 1) * IF($H$19&lt;&gt;"", --($F$21:$F$27 = F54), 1)  ) / ( ( $D$21:$D$27 = D54) * IF($D$19&lt;&gt;"", --($E$21:$E$27 = E54), 1)  * IF($H$19&lt;&gt;"", --($F$21:$F$27 = F54), 1) ) ) * $AF$21:$AF$27,1)    ), "-")</f>
        <v>-</v>
      </c>
      <c r="BB54"/>
      <c r="BE54" s="67"/>
    </row>
    <row r="55" spans="2:57" x14ac:dyDescent="0.25">
      <c r="B55" s="158" t="s">
        <v>291</v>
      </c>
      <c r="C55" s="158"/>
      <c r="D55" s="189" t="s">
        <v>1010</v>
      </c>
      <c r="E55" s="160" t="s">
        <v>732</v>
      </c>
      <c r="F55" s="162" t="s">
        <v>606</v>
      </c>
      <c r="G55" s="163"/>
      <c r="H55" s="163"/>
      <c r="I55" s="158" t="s">
        <v>1037</v>
      </c>
      <c r="J55" s="158" t="s">
        <v>1038</v>
      </c>
      <c r="K55" s="167"/>
      <c r="L55" s="168"/>
      <c r="M55" s="167" t="s">
        <v>74</v>
      </c>
      <c r="N55" s="167"/>
      <c r="O55" s="210"/>
      <c r="P55" s="201" t="s">
        <v>86</v>
      </c>
      <c r="Q55" s="169"/>
      <c r="R55" s="158" t="s">
        <v>1036</v>
      </c>
      <c r="S55" s="158"/>
      <c r="T55" s="162"/>
      <c r="U55" s="164"/>
      <c r="V55" s="165"/>
      <c r="W55" s="166"/>
      <c r="X55" s="172"/>
      <c r="Y55" s="174"/>
      <c r="Z55" s="176"/>
      <c r="AA55" s="178" t="str">
        <f t="shared" si="4"/>
        <v xml:space="preserve"> - </v>
      </c>
      <c r="AB55" s="180" t="str">
        <f t="shared" si="5"/>
        <v xml:space="preserve"> - </v>
      </c>
      <c r="AC55" s="180" t="str">
        <f t="shared" si="6"/>
        <v xml:space="preserve"> - </v>
      </c>
      <c r="AD55" s="182" t="str">
        <f t="shared" si="2"/>
        <v xml:space="preserve"> - </v>
      </c>
      <c r="AE55" s="184">
        <f t="shared" si="7"/>
        <v>0</v>
      </c>
      <c r="AF55" s="186">
        <f t="shared" si="3"/>
        <v>0</v>
      </c>
      <c r="AG55" s="188" t="str">
        <f t="array" ref="AG55" xml:space="preserve"> IFERROR( IF( D55="", "-", _xlfn.AGGREGATE(15,6, ( ( ($D$21:$D$27 = D55) * IF($D$19&lt;&gt;"", --($E$21:$E$27 = E55), 1) * IF($H$19&lt;&gt;"", --($F$21:$F$27 = F55), 1)  ) / ( ( $D$21:$D$27 = D55) * IF($D$19&lt;&gt;"", --($E$21:$E$27 = E55), 1)  * IF($H$19&lt;&gt;"", --($F$21:$F$27 = F55), 1) ) ) * $AF$21:$AF$27,1)    ), "-")</f>
        <v>-</v>
      </c>
      <c r="BB55"/>
      <c r="BE55" s="67"/>
    </row>
    <row r="56" spans="2:57" x14ac:dyDescent="0.25">
      <c r="B56" s="158" t="s">
        <v>292</v>
      </c>
      <c r="C56" s="158"/>
      <c r="D56" s="189" t="s">
        <v>1010</v>
      </c>
      <c r="E56" s="160" t="s">
        <v>732</v>
      </c>
      <c r="F56" s="162" t="s">
        <v>607</v>
      </c>
      <c r="G56" s="163"/>
      <c r="H56" s="163"/>
      <c r="I56" s="158" t="s">
        <v>1037</v>
      </c>
      <c r="J56" s="158" t="s">
        <v>1038</v>
      </c>
      <c r="K56" s="167"/>
      <c r="L56" s="168"/>
      <c r="M56" s="167" t="s">
        <v>74</v>
      </c>
      <c r="N56" s="167"/>
      <c r="O56" s="210"/>
      <c r="P56" s="201" t="s">
        <v>86</v>
      </c>
      <c r="Q56" s="169"/>
      <c r="R56" s="158" t="s">
        <v>1036</v>
      </c>
      <c r="S56" s="158"/>
      <c r="T56" s="162"/>
      <c r="U56" s="164"/>
      <c r="V56" s="165"/>
      <c r="W56" s="166"/>
      <c r="X56" s="172"/>
      <c r="Y56" s="174"/>
      <c r="Z56" s="176"/>
      <c r="AA56" s="178" t="str">
        <f t="shared" si="4"/>
        <v xml:space="preserve"> - </v>
      </c>
      <c r="AB56" s="180" t="str">
        <f t="shared" si="5"/>
        <v xml:space="preserve"> - </v>
      </c>
      <c r="AC56" s="180" t="str">
        <f t="shared" si="6"/>
        <v xml:space="preserve"> - </v>
      </c>
      <c r="AD56" s="182" t="str">
        <f t="shared" si="2"/>
        <v xml:space="preserve"> - </v>
      </c>
      <c r="AE56" s="184">
        <f t="shared" si="7"/>
        <v>0</v>
      </c>
      <c r="AF56" s="186">
        <f t="shared" si="3"/>
        <v>0</v>
      </c>
      <c r="AG56" s="188" t="str">
        <f t="array" ref="AG56" xml:space="preserve"> IFERROR( IF( D56="", "-", _xlfn.AGGREGATE(15,6, ( ( ($D$21:$D$27 = D56) * IF($D$19&lt;&gt;"", --($E$21:$E$27 = E56), 1) * IF($H$19&lt;&gt;"", --($F$21:$F$27 = F56), 1)  ) / ( ( $D$21:$D$27 = D56) * IF($D$19&lt;&gt;"", --($E$21:$E$27 = E56), 1)  * IF($H$19&lt;&gt;"", --($F$21:$F$27 = F56), 1) ) ) * $AF$21:$AF$27,1)    ), "-")</f>
        <v>-</v>
      </c>
      <c r="BB56"/>
      <c r="BE56" s="67"/>
    </row>
    <row r="57" spans="2:57" x14ac:dyDescent="0.25">
      <c r="B57" s="158" t="s">
        <v>293</v>
      </c>
      <c r="C57" s="195"/>
      <c r="D57" s="162" t="s">
        <v>769</v>
      </c>
      <c r="E57" s="160"/>
      <c r="F57" s="162"/>
      <c r="G57" s="163"/>
      <c r="H57" s="163"/>
      <c r="I57" s="195" t="s">
        <v>1019</v>
      </c>
      <c r="J57" s="195"/>
      <c r="K57" s="167"/>
      <c r="L57" s="168"/>
      <c r="M57" s="143" t="s">
        <v>921</v>
      </c>
      <c r="N57" s="143"/>
      <c r="O57" s="209"/>
      <c r="P57" s="146" t="s">
        <v>1065</v>
      </c>
      <c r="Q57" s="145"/>
      <c r="R57" s="158"/>
      <c r="S57" s="195"/>
      <c r="T57" s="162"/>
      <c r="U57" s="164"/>
      <c r="V57" s="165"/>
      <c r="W57" s="166"/>
      <c r="X57" s="172"/>
      <c r="Y57" s="174"/>
      <c r="Z57" s="176"/>
      <c r="AA57" s="178" t="str">
        <f t="shared" si="4"/>
        <v xml:space="preserve"> - </v>
      </c>
      <c r="AB57" s="180" t="str">
        <f t="shared" si="5"/>
        <v xml:space="preserve"> - </v>
      </c>
      <c r="AC57" s="180" t="str">
        <f t="shared" si="6"/>
        <v xml:space="preserve"> - </v>
      </c>
      <c r="AD57" s="182" t="str">
        <f t="shared" si="2"/>
        <v xml:space="preserve"> - </v>
      </c>
      <c r="AE57" s="184">
        <f t="shared" si="7"/>
        <v>0</v>
      </c>
      <c r="AF57" s="186">
        <f t="shared" si="3"/>
        <v>0</v>
      </c>
      <c r="AG57" s="188" t="str">
        <f t="array" ref="AG57" xml:space="preserve"> IFERROR( IF( D57="", "-", _xlfn.AGGREGATE(15,6, ( ( ($D$21:$D$27 = D57) * IF($D$19&lt;&gt;"", --($E$21:$E$27 = E57), 1) * IF($H$19&lt;&gt;"", --($F$21:$F$27 = F57), 1)  ) / ( ( $D$21:$D$27 = D57) * IF($D$19&lt;&gt;"", --($E$21:$E$27 = E57), 1)  * IF($H$19&lt;&gt;"", --($F$21:$F$27 = F57), 1) ) ) * $AF$21:$AF$27,1)    ), "-")</f>
        <v>-</v>
      </c>
      <c r="BB57"/>
      <c r="BE57" s="67"/>
    </row>
    <row r="58" spans="2:57" x14ac:dyDescent="0.25">
      <c r="B58" s="158" t="s">
        <v>294</v>
      </c>
      <c r="C58" s="195"/>
      <c r="D58" s="162" t="s">
        <v>770</v>
      </c>
      <c r="E58" s="160"/>
      <c r="F58" s="162"/>
      <c r="G58" s="163"/>
      <c r="H58" s="163"/>
      <c r="I58" s="195" t="s">
        <v>1019</v>
      </c>
      <c r="J58" s="195"/>
      <c r="K58" s="167"/>
      <c r="L58" s="168"/>
      <c r="M58" s="143" t="s">
        <v>921</v>
      </c>
      <c r="N58" s="143"/>
      <c r="O58" s="209"/>
      <c r="P58" s="146" t="s">
        <v>1065</v>
      </c>
      <c r="Q58" s="145"/>
      <c r="R58" s="158"/>
      <c r="S58" s="195"/>
      <c r="T58" s="162"/>
      <c r="U58" s="164"/>
      <c r="V58" s="165"/>
      <c r="W58" s="166"/>
      <c r="X58" s="172"/>
      <c r="Y58" s="174"/>
      <c r="Z58" s="176"/>
      <c r="AA58" s="178" t="str">
        <f t="shared" si="4"/>
        <v xml:space="preserve"> - </v>
      </c>
      <c r="AB58" s="180" t="str">
        <f t="shared" si="5"/>
        <v xml:space="preserve"> - </v>
      </c>
      <c r="AC58" s="180" t="str">
        <f t="shared" si="6"/>
        <v xml:space="preserve"> - </v>
      </c>
      <c r="AD58" s="182" t="str">
        <f t="shared" si="2"/>
        <v xml:space="preserve"> - </v>
      </c>
      <c r="AE58" s="184">
        <f t="shared" si="7"/>
        <v>0</v>
      </c>
      <c r="AF58" s="186">
        <f t="shared" si="3"/>
        <v>0</v>
      </c>
      <c r="AG58" s="188" t="str">
        <f t="array" ref="AG58" xml:space="preserve"> IFERROR( IF( D58="", "-", _xlfn.AGGREGATE(15,6, ( ( ($D$21:$D$27 = D58) * IF($D$19&lt;&gt;"", --($E$21:$E$27 = E58), 1) * IF($H$19&lt;&gt;"", --($F$21:$F$27 = F58), 1)  ) / ( ( $D$21:$D$27 = D58) * IF($D$19&lt;&gt;"", --($E$21:$E$27 = E58), 1)  * IF($H$19&lt;&gt;"", --($F$21:$F$27 = F58), 1) ) ) * $AF$21:$AF$27,1)    ), "-")</f>
        <v>-</v>
      </c>
      <c r="BB58"/>
      <c r="BE58" s="67"/>
    </row>
    <row r="59" spans="2:57" x14ac:dyDescent="0.25">
      <c r="B59" s="158" t="s">
        <v>295</v>
      </c>
      <c r="C59" s="158"/>
      <c r="D59" s="189" t="s">
        <v>748</v>
      </c>
      <c r="E59" s="160"/>
      <c r="F59" s="189" t="s">
        <v>617</v>
      </c>
      <c r="G59" s="163"/>
      <c r="H59" s="163"/>
      <c r="I59" s="158" t="s">
        <v>1037</v>
      </c>
      <c r="J59" s="158" t="s">
        <v>1040</v>
      </c>
      <c r="K59" s="167"/>
      <c r="L59" s="168"/>
      <c r="M59" s="167" t="s">
        <v>74</v>
      </c>
      <c r="N59" s="167"/>
      <c r="O59" s="210"/>
      <c r="P59" s="201" t="s">
        <v>86</v>
      </c>
      <c r="Q59" s="169"/>
      <c r="R59" s="158" t="s">
        <v>1039</v>
      </c>
      <c r="S59" s="158"/>
      <c r="T59" s="162"/>
      <c r="U59" s="164"/>
      <c r="V59" s="165"/>
      <c r="W59" s="166"/>
      <c r="X59" s="172"/>
      <c r="Y59" s="174"/>
      <c r="Z59" s="176"/>
      <c r="AA59" s="178" t="str">
        <f t="shared" si="4"/>
        <v xml:space="preserve"> - </v>
      </c>
      <c r="AB59" s="180" t="str">
        <f t="shared" si="5"/>
        <v xml:space="preserve"> - </v>
      </c>
      <c r="AC59" s="180" t="str">
        <f t="shared" si="6"/>
        <v xml:space="preserve"> - </v>
      </c>
      <c r="AD59" s="182" t="str">
        <f t="shared" si="2"/>
        <v xml:space="preserve"> - </v>
      </c>
      <c r="AE59" s="184">
        <f t="shared" si="7"/>
        <v>0</v>
      </c>
      <c r="AF59" s="186">
        <f t="shared" si="3"/>
        <v>0</v>
      </c>
      <c r="AG59" s="188" t="str">
        <f t="array" ref="AG59" xml:space="preserve"> IFERROR( IF( D59="", "-", _xlfn.AGGREGATE(15,6, ( ( ($D$21:$D$27 = D59) * IF($D$19&lt;&gt;"", --($E$21:$E$27 = E59), 1) * IF($H$19&lt;&gt;"", --($F$21:$F$27 = F59), 1)  ) / ( ( $D$21:$D$27 = D59) * IF($D$19&lt;&gt;"", --($E$21:$E$27 = E59), 1)  * IF($H$19&lt;&gt;"", --($F$21:$F$27 = F59), 1) ) ) * $AF$21:$AF$27,1)    ), "-")</f>
        <v>-</v>
      </c>
      <c r="BB59"/>
      <c r="BE59" s="67"/>
    </row>
    <row r="60" spans="2:57" x14ac:dyDescent="0.25">
      <c r="B60" s="158" t="s">
        <v>296</v>
      </c>
      <c r="C60" s="195"/>
      <c r="D60" s="189" t="s">
        <v>608</v>
      </c>
      <c r="E60" s="160"/>
      <c r="F60" s="162" t="s">
        <v>609</v>
      </c>
      <c r="G60" s="163"/>
      <c r="H60" s="163"/>
      <c r="I60" s="195" t="s">
        <v>1021</v>
      </c>
      <c r="J60" s="195"/>
      <c r="K60" s="167"/>
      <c r="L60" s="168"/>
      <c r="M60" s="143" t="s">
        <v>921</v>
      </c>
      <c r="N60" s="143"/>
      <c r="O60" s="210"/>
      <c r="P60" s="146" t="s">
        <v>111</v>
      </c>
      <c r="Q60" s="169"/>
      <c r="R60" s="158"/>
      <c r="S60" s="195"/>
      <c r="T60" s="162"/>
      <c r="U60" s="164"/>
      <c r="V60" s="165"/>
      <c r="W60" s="166"/>
      <c r="X60" s="172"/>
      <c r="Y60" s="174"/>
      <c r="Z60" s="176"/>
      <c r="AA60" s="178" t="str">
        <f t="shared" si="4"/>
        <v xml:space="preserve"> - </v>
      </c>
      <c r="AB60" s="180" t="str">
        <f t="shared" si="5"/>
        <v xml:space="preserve"> - </v>
      </c>
      <c r="AC60" s="180" t="str">
        <f t="shared" si="6"/>
        <v xml:space="preserve"> - </v>
      </c>
      <c r="AD60" s="182" t="str">
        <f t="shared" si="2"/>
        <v xml:space="preserve"> - </v>
      </c>
      <c r="AE60" s="184">
        <f t="shared" si="7"/>
        <v>0</v>
      </c>
      <c r="AF60" s="186">
        <f t="shared" si="3"/>
        <v>0</v>
      </c>
      <c r="AG60" s="188" t="str">
        <f t="array" ref="AG60" xml:space="preserve"> IFERROR( IF( D60="", "-", _xlfn.AGGREGATE(15,6, ( ( ($D$21:$D$27 = D60) * IF($D$19&lt;&gt;"", --($E$21:$E$27 = E60), 1) * IF($H$19&lt;&gt;"", --($F$21:$F$27 = F60), 1)  ) / ( ( $D$21:$D$27 = D60) * IF($D$19&lt;&gt;"", --($E$21:$E$27 = E60), 1)  * IF($H$19&lt;&gt;"", --($F$21:$F$27 = F60), 1) ) ) * $AF$21:$AF$27,1)    ), "-")</f>
        <v>-</v>
      </c>
      <c r="BB60"/>
      <c r="BE60" s="67"/>
    </row>
    <row r="61" spans="2:57" x14ac:dyDescent="0.25">
      <c r="B61" s="158" t="s">
        <v>297</v>
      </c>
      <c r="C61" s="195"/>
      <c r="D61" s="189" t="s">
        <v>608</v>
      </c>
      <c r="E61" s="160"/>
      <c r="F61" s="162" t="s">
        <v>610</v>
      </c>
      <c r="G61" s="163"/>
      <c r="H61" s="163"/>
      <c r="I61" s="195" t="s">
        <v>1021</v>
      </c>
      <c r="J61" s="195"/>
      <c r="K61" s="167"/>
      <c r="L61" s="168"/>
      <c r="M61" s="143" t="s">
        <v>921</v>
      </c>
      <c r="N61" s="143"/>
      <c r="O61" s="210"/>
      <c r="P61" s="146" t="s">
        <v>111</v>
      </c>
      <c r="Q61" s="169"/>
      <c r="R61" s="158"/>
      <c r="S61" s="195"/>
      <c r="T61" s="162"/>
      <c r="U61" s="164"/>
      <c r="V61" s="165"/>
      <c r="W61" s="166"/>
      <c r="X61" s="172"/>
      <c r="Y61" s="174"/>
      <c r="Z61" s="176"/>
      <c r="AA61" s="178" t="str">
        <f t="shared" si="4"/>
        <v xml:space="preserve"> - </v>
      </c>
      <c r="AB61" s="180" t="str">
        <f t="shared" si="5"/>
        <v xml:space="preserve"> - </v>
      </c>
      <c r="AC61" s="180" t="str">
        <f t="shared" si="6"/>
        <v xml:space="preserve"> - </v>
      </c>
      <c r="AD61" s="182" t="str">
        <f t="shared" si="2"/>
        <v xml:space="preserve"> - </v>
      </c>
      <c r="AE61" s="184">
        <f t="shared" si="7"/>
        <v>0</v>
      </c>
      <c r="AF61" s="186">
        <f t="shared" si="3"/>
        <v>0</v>
      </c>
      <c r="AG61" s="188" t="str">
        <f t="array" ref="AG61" xml:space="preserve"> IFERROR( IF( D61="", "-", _xlfn.AGGREGATE(15,6, ( ( ($D$21:$D$27 = D61) * IF($D$19&lt;&gt;"", --($E$21:$E$27 = E61), 1) * IF($H$19&lt;&gt;"", --($F$21:$F$27 = F61), 1)  ) / ( ( $D$21:$D$27 = D61) * IF($D$19&lt;&gt;"", --($E$21:$E$27 = E61), 1)  * IF($H$19&lt;&gt;"", --($F$21:$F$27 = F61), 1) ) ) * $AF$21:$AF$27,1)    ), "-")</f>
        <v>-</v>
      </c>
      <c r="BB61"/>
      <c r="BE61" s="67"/>
    </row>
    <row r="62" spans="2:57" x14ac:dyDescent="0.25">
      <c r="B62" s="158" t="s">
        <v>298</v>
      </c>
      <c r="C62" s="195"/>
      <c r="D62" s="189" t="s">
        <v>608</v>
      </c>
      <c r="E62" s="160"/>
      <c r="F62" s="162" t="s">
        <v>611</v>
      </c>
      <c r="G62" s="163"/>
      <c r="H62" s="163"/>
      <c r="I62" s="195" t="s">
        <v>1021</v>
      </c>
      <c r="J62" s="195"/>
      <c r="K62" s="167"/>
      <c r="L62" s="168"/>
      <c r="M62" s="143" t="s">
        <v>921</v>
      </c>
      <c r="N62" s="143"/>
      <c r="O62" s="210"/>
      <c r="P62" s="146" t="s">
        <v>111</v>
      </c>
      <c r="Q62" s="169"/>
      <c r="R62" s="158"/>
      <c r="S62" s="195"/>
      <c r="T62" s="162"/>
      <c r="U62" s="164"/>
      <c r="V62" s="165"/>
      <c r="W62" s="166"/>
      <c r="X62" s="172"/>
      <c r="Y62" s="174"/>
      <c r="Z62" s="176"/>
      <c r="AA62" s="178" t="str">
        <f t="shared" si="4"/>
        <v xml:space="preserve"> - </v>
      </c>
      <c r="AB62" s="180" t="str">
        <f t="shared" si="5"/>
        <v xml:space="preserve"> - </v>
      </c>
      <c r="AC62" s="180" t="str">
        <f t="shared" si="6"/>
        <v xml:space="preserve"> - </v>
      </c>
      <c r="AD62" s="182" t="str">
        <f t="shared" si="2"/>
        <v xml:space="preserve"> - </v>
      </c>
      <c r="AE62" s="184">
        <f t="shared" si="7"/>
        <v>0</v>
      </c>
      <c r="AF62" s="186">
        <f t="shared" si="3"/>
        <v>0</v>
      </c>
      <c r="AG62" s="188" t="str">
        <f t="array" ref="AG62" xml:space="preserve"> IFERROR( IF( D62="", "-", _xlfn.AGGREGATE(15,6, ( ( ($D$21:$D$27 = D62) * IF($D$19&lt;&gt;"", --($E$21:$E$27 = E62), 1) * IF($H$19&lt;&gt;"", --($F$21:$F$27 = F62), 1)  ) / ( ( $D$21:$D$27 = D62) * IF($D$19&lt;&gt;"", --($E$21:$E$27 = E62), 1)  * IF($H$19&lt;&gt;"", --($F$21:$F$27 = F62), 1) ) ) * $AF$21:$AF$27,1)    ), "-")</f>
        <v>-</v>
      </c>
      <c r="BB62"/>
      <c r="BE62" s="67"/>
    </row>
    <row r="63" spans="2:57" x14ac:dyDescent="0.25">
      <c r="B63" s="158" t="s">
        <v>299</v>
      </c>
      <c r="C63" s="195"/>
      <c r="D63" s="189" t="s">
        <v>608</v>
      </c>
      <c r="E63" s="160"/>
      <c r="F63" s="162" t="s">
        <v>612</v>
      </c>
      <c r="G63" s="163"/>
      <c r="H63" s="163"/>
      <c r="I63" s="195" t="s">
        <v>1021</v>
      </c>
      <c r="J63" s="195"/>
      <c r="K63" s="167"/>
      <c r="L63" s="168"/>
      <c r="M63" s="143" t="s">
        <v>921</v>
      </c>
      <c r="N63" s="143"/>
      <c r="O63" s="210"/>
      <c r="P63" s="146" t="s">
        <v>111</v>
      </c>
      <c r="Q63" s="169"/>
      <c r="R63" s="158"/>
      <c r="S63" s="195"/>
      <c r="T63" s="162"/>
      <c r="U63" s="164"/>
      <c r="V63" s="165"/>
      <c r="W63" s="166"/>
      <c r="X63" s="172"/>
      <c r="Y63" s="174"/>
      <c r="Z63" s="176"/>
      <c r="AA63" s="178" t="str">
        <f t="shared" si="4"/>
        <v xml:space="preserve"> - </v>
      </c>
      <c r="AB63" s="180" t="str">
        <f t="shared" si="5"/>
        <v xml:space="preserve"> - </v>
      </c>
      <c r="AC63" s="180" t="str">
        <f t="shared" si="6"/>
        <v xml:space="preserve"> - </v>
      </c>
      <c r="AD63" s="182" t="str">
        <f t="shared" si="2"/>
        <v xml:space="preserve"> - </v>
      </c>
      <c r="AE63" s="184">
        <f t="shared" si="7"/>
        <v>0</v>
      </c>
      <c r="AF63" s="186">
        <f t="shared" ref="AF63:AF126" si="8">AE63 / IF( ISNUMBER($Q63),  $Q63, 1)</f>
        <v>0</v>
      </c>
      <c r="AG63" s="188" t="str">
        <f t="array" ref="AG63" xml:space="preserve"> IFERROR( IF( D63="", "-", _xlfn.AGGREGATE(15,6, ( ( ($D$21:$D$27 = D63) * IF($D$19&lt;&gt;"", --($E$21:$E$27 = E63), 1) * IF($H$19&lt;&gt;"", --($F$21:$F$27 = F63), 1)  ) / ( ( $D$21:$D$27 = D63) * IF($D$19&lt;&gt;"", --($E$21:$E$27 = E63), 1)  * IF($H$19&lt;&gt;"", --($F$21:$F$27 = F63), 1) ) ) * $AF$21:$AF$27,1)    ), "-")</f>
        <v>-</v>
      </c>
      <c r="BB63"/>
      <c r="BE63" s="67"/>
    </row>
    <row r="64" spans="2:57" x14ac:dyDescent="0.25">
      <c r="B64" s="158" t="s">
        <v>300</v>
      </c>
      <c r="C64" s="195"/>
      <c r="D64" s="189" t="s">
        <v>608</v>
      </c>
      <c r="E64" s="160"/>
      <c r="F64" s="162" t="s">
        <v>613</v>
      </c>
      <c r="G64" s="163"/>
      <c r="H64" s="163"/>
      <c r="I64" s="195" t="s">
        <v>1021</v>
      </c>
      <c r="J64" s="195"/>
      <c r="K64" s="167"/>
      <c r="L64" s="168"/>
      <c r="M64" s="143" t="s">
        <v>921</v>
      </c>
      <c r="N64" s="143"/>
      <c r="O64" s="210"/>
      <c r="P64" s="146" t="s">
        <v>111</v>
      </c>
      <c r="Q64" s="169"/>
      <c r="R64" s="158"/>
      <c r="S64" s="195"/>
      <c r="T64" s="162"/>
      <c r="U64" s="164"/>
      <c r="V64" s="165"/>
      <c r="W64" s="166"/>
      <c r="X64" s="172"/>
      <c r="Y64" s="174"/>
      <c r="Z64" s="176"/>
      <c r="AA64" s="178" t="str">
        <f t="shared" si="4"/>
        <v xml:space="preserve"> - </v>
      </c>
      <c r="AB64" s="180" t="str">
        <f t="shared" si="5"/>
        <v xml:space="preserve"> - </v>
      </c>
      <c r="AC64" s="180" t="str">
        <f t="shared" si="6"/>
        <v xml:space="preserve"> - </v>
      </c>
      <c r="AD64" s="182" t="str">
        <f t="shared" si="2"/>
        <v xml:space="preserve"> - </v>
      </c>
      <c r="AE64" s="184">
        <f t="shared" si="7"/>
        <v>0</v>
      </c>
      <c r="AF64" s="186">
        <f t="shared" si="8"/>
        <v>0</v>
      </c>
      <c r="AG64" s="188" t="str">
        <f t="array" ref="AG64" xml:space="preserve"> IFERROR( IF( D64="", "-", _xlfn.AGGREGATE(15,6, ( ( ($D$21:$D$27 = D64) * IF($D$19&lt;&gt;"", --($E$21:$E$27 = E64), 1) * IF($H$19&lt;&gt;"", --($F$21:$F$27 = F64), 1)  ) / ( ( $D$21:$D$27 = D64) * IF($D$19&lt;&gt;"", --($E$21:$E$27 = E64), 1)  * IF($H$19&lt;&gt;"", --($F$21:$F$27 = F64), 1) ) ) * $AF$21:$AF$27,1)    ), "-")</f>
        <v>-</v>
      </c>
      <c r="BB64"/>
      <c r="BE64" s="67"/>
    </row>
    <row r="65" spans="2:57" x14ac:dyDescent="0.25">
      <c r="B65" s="158" t="s">
        <v>301</v>
      </c>
      <c r="C65" s="195"/>
      <c r="D65" s="189" t="s">
        <v>608</v>
      </c>
      <c r="E65" s="160"/>
      <c r="F65" s="162" t="s">
        <v>614</v>
      </c>
      <c r="G65" s="163"/>
      <c r="H65" s="163"/>
      <c r="I65" s="195" t="s">
        <v>1021</v>
      </c>
      <c r="J65" s="195"/>
      <c r="K65" s="167"/>
      <c r="L65" s="168"/>
      <c r="M65" s="143" t="s">
        <v>921</v>
      </c>
      <c r="N65" s="143"/>
      <c r="O65" s="210"/>
      <c r="P65" s="146" t="s">
        <v>111</v>
      </c>
      <c r="Q65" s="169"/>
      <c r="R65" s="158"/>
      <c r="S65" s="195"/>
      <c r="T65" s="162"/>
      <c r="U65" s="164"/>
      <c r="V65" s="165"/>
      <c r="W65" s="166"/>
      <c r="X65" s="172"/>
      <c r="Y65" s="174"/>
      <c r="Z65" s="176"/>
      <c r="AA65" s="178" t="str">
        <f t="shared" si="4"/>
        <v xml:space="preserve"> - </v>
      </c>
      <c r="AB65" s="180" t="str">
        <f t="shared" si="5"/>
        <v xml:space="preserve"> - </v>
      </c>
      <c r="AC65" s="180" t="str">
        <f t="shared" si="6"/>
        <v xml:space="preserve"> - </v>
      </c>
      <c r="AD65" s="182" t="str">
        <f t="shared" si="2"/>
        <v xml:space="preserve"> - </v>
      </c>
      <c r="AE65" s="184">
        <f t="shared" si="7"/>
        <v>0</v>
      </c>
      <c r="AF65" s="186">
        <f t="shared" si="8"/>
        <v>0</v>
      </c>
      <c r="AG65" s="188" t="str">
        <f t="array" ref="AG65" xml:space="preserve"> IFERROR( IF( D65="", "-", _xlfn.AGGREGATE(15,6, ( ( ($D$21:$D$27 = D65) * IF($D$19&lt;&gt;"", --($E$21:$E$27 = E65), 1) * IF($H$19&lt;&gt;"", --($F$21:$F$27 = F65), 1)  ) / ( ( $D$21:$D$27 = D65) * IF($D$19&lt;&gt;"", --($E$21:$E$27 = E65), 1)  * IF($H$19&lt;&gt;"", --($F$21:$F$27 = F65), 1) ) ) * $AF$21:$AF$27,1)    ), "-")</f>
        <v>-</v>
      </c>
      <c r="BB65"/>
      <c r="BE65" s="67"/>
    </row>
    <row r="66" spans="2:57" x14ac:dyDescent="0.25">
      <c r="B66" s="158" t="s">
        <v>302</v>
      </c>
      <c r="C66" s="158"/>
      <c r="D66" s="189" t="s">
        <v>771</v>
      </c>
      <c r="E66" s="160"/>
      <c r="F66" s="162" t="s">
        <v>615</v>
      </c>
      <c r="G66" s="163"/>
      <c r="H66" s="163"/>
      <c r="I66" s="158"/>
      <c r="J66" s="158"/>
      <c r="K66" s="167"/>
      <c r="L66" s="168"/>
      <c r="M66" s="143" t="s">
        <v>921</v>
      </c>
      <c r="N66" s="143"/>
      <c r="O66" s="210"/>
      <c r="P66" s="146" t="s">
        <v>1065</v>
      </c>
      <c r="Q66" s="169"/>
      <c r="R66" s="158"/>
      <c r="S66" s="158"/>
      <c r="T66" s="162"/>
      <c r="U66" s="164"/>
      <c r="V66" s="165"/>
      <c r="W66" s="166"/>
      <c r="X66" s="172"/>
      <c r="Y66" s="174"/>
      <c r="Z66" s="176"/>
      <c r="AA66" s="178" t="str">
        <f t="shared" si="4"/>
        <v xml:space="preserve"> - </v>
      </c>
      <c r="AB66" s="180" t="str">
        <f t="shared" si="5"/>
        <v xml:space="preserve"> - </v>
      </c>
      <c r="AC66" s="180" t="str">
        <f t="shared" si="6"/>
        <v xml:space="preserve"> - </v>
      </c>
      <c r="AD66" s="182" t="str">
        <f t="shared" si="2"/>
        <v xml:space="preserve"> - </v>
      </c>
      <c r="AE66" s="184">
        <f t="shared" si="7"/>
        <v>0</v>
      </c>
      <c r="AF66" s="186">
        <f t="shared" si="8"/>
        <v>0</v>
      </c>
      <c r="AG66" s="188" t="str">
        <f t="array" ref="AG66" xml:space="preserve"> IFERROR( IF( D66="", "-", _xlfn.AGGREGATE(15,6, ( ( ($D$21:$D$27 = D66) * IF($D$19&lt;&gt;"", --($E$21:$E$27 = E66), 1) * IF($H$19&lt;&gt;"", --($F$21:$F$27 = F66), 1)  ) / ( ( $D$21:$D$27 = D66) * IF($D$19&lt;&gt;"", --($E$21:$E$27 = E66), 1)  * IF($H$19&lt;&gt;"", --($F$21:$F$27 = F66), 1) ) ) * $AF$21:$AF$27,1)    ), "-")</f>
        <v>-</v>
      </c>
      <c r="BB66"/>
      <c r="BE66" s="67"/>
    </row>
    <row r="67" spans="2:57" x14ac:dyDescent="0.25">
      <c r="B67" s="158" t="s">
        <v>303</v>
      </c>
      <c r="C67" s="158"/>
      <c r="D67" s="189" t="s">
        <v>771</v>
      </c>
      <c r="E67" s="160"/>
      <c r="F67" s="162" t="s">
        <v>616</v>
      </c>
      <c r="G67" s="163"/>
      <c r="H67" s="163"/>
      <c r="I67" s="158"/>
      <c r="J67" s="158"/>
      <c r="K67" s="167"/>
      <c r="L67" s="168"/>
      <c r="M67" s="143" t="s">
        <v>921</v>
      </c>
      <c r="N67" s="143"/>
      <c r="O67" s="210"/>
      <c r="P67" s="146" t="s">
        <v>1065</v>
      </c>
      <c r="Q67" s="169"/>
      <c r="R67" s="158"/>
      <c r="S67" s="158"/>
      <c r="T67" s="162"/>
      <c r="U67" s="164"/>
      <c r="V67" s="165"/>
      <c r="W67" s="166"/>
      <c r="X67" s="172"/>
      <c r="Y67" s="174"/>
      <c r="Z67" s="176"/>
      <c r="AA67" s="178" t="str">
        <f t="shared" si="4"/>
        <v xml:space="preserve"> - </v>
      </c>
      <c r="AB67" s="180" t="str">
        <f t="shared" si="5"/>
        <v xml:space="preserve"> - </v>
      </c>
      <c r="AC67" s="180" t="str">
        <f t="shared" si="6"/>
        <v xml:space="preserve"> - </v>
      </c>
      <c r="AD67" s="182" t="str">
        <f t="shared" si="2"/>
        <v xml:space="preserve"> - </v>
      </c>
      <c r="AE67" s="184">
        <f t="shared" si="7"/>
        <v>0</v>
      </c>
      <c r="AF67" s="186">
        <f t="shared" si="8"/>
        <v>0</v>
      </c>
      <c r="AG67" s="188" t="str">
        <f t="array" ref="AG67" xml:space="preserve"> IFERROR( IF( D67="", "-", _xlfn.AGGREGATE(15,6, ( ( ($D$21:$D$27 = D67) * IF($D$19&lt;&gt;"", --($E$21:$E$27 = E67), 1) * IF($H$19&lt;&gt;"", --($F$21:$F$27 = F67), 1)  ) / ( ( $D$21:$D$27 = D67) * IF($D$19&lt;&gt;"", --($E$21:$E$27 = E67), 1)  * IF($H$19&lt;&gt;"", --($F$21:$F$27 = F67), 1) ) ) * $AF$21:$AF$27,1)    ), "-")</f>
        <v>-</v>
      </c>
      <c r="BB67"/>
      <c r="BE67" s="67"/>
    </row>
    <row r="68" spans="2:57" x14ac:dyDescent="0.25">
      <c r="B68" s="158" t="s">
        <v>304</v>
      </c>
      <c r="C68" s="158"/>
      <c r="D68" s="189" t="s">
        <v>772</v>
      </c>
      <c r="E68" s="160"/>
      <c r="F68" s="162" t="s">
        <v>618</v>
      </c>
      <c r="G68" s="163"/>
      <c r="H68" s="163"/>
      <c r="I68" s="195" t="s">
        <v>1019</v>
      </c>
      <c r="J68" s="158"/>
      <c r="K68" s="167"/>
      <c r="L68" s="168"/>
      <c r="M68" s="143" t="s">
        <v>921</v>
      </c>
      <c r="N68" s="143"/>
      <c r="O68" s="210"/>
      <c r="P68" s="146" t="s">
        <v>1065</v>
      </c>
      <c r="Q68" s="169"/>
      <c r="R68" s="157" t="s">
        <v>1034</v>
      </c>
      <c r="S68" s="158"/>
      <c r="T68" s="162"/>
      <c r="U68" s="164"/>
      <c r="V68" s="165"/>
      <c r="W68" s="166"/>
      <c r="X68" s="172"/>
      <c r="Y68" s="174"/>
      <c r="Z68" s="176"/>
      <c r="AA68" s="178" t="str">
        <f t="shared" si="4"/>
        <v xml:space="preserve"> - </v>
      </c>
      <c r="AB68" s="180" t="str">
        <f t="shared" si="5"/>
        <v xml:space="preserve"> - </v>
      </c>
      <c r="AC68" s="180" t="str">
        <f t="shared" si="6"/>
        <v xml:space="preserve"> - </v>
      </c>
      <c r="AD68" s="182" t="str">
        <f t="shared" si="2"/>
        <v xml:space="preserve"> - </v>
      </c>
      <c r="AE68" s="184">
        <f t="shared" si="7"/>
        <v>0</v>
      </c>
      <c r="AF68" s="186">
        <f t="shared" si="8"/>
        <v>0</v>
      </c>
      <c r="AG68" s="188" t="str">
        <f t="array" ref="AG68" xml:space="preserve"> IFERROR( IF( D68="", "-", _xlfn.AGGREGATE(15,6, ( ( ($D$21:$D$27 = D68) * IF($D$19&lt;&gt;"", --($E$21:$E$27 = E68), 1) * IF($H$19&lt;&gt;"", --($F$21:$F$27 = F68), 1)  ) / ( ( $D$21:$D$27 = D68) * IF($D$19&lt;&gt;"", --($E$21:$E$27 = E68), 1)  * IF($H$19&lt;&gt;"", --($F$21:$F$27 = F68), 1) ) ) * $AF$21:$AF$27,1)    ), "-")</f>
        <v>-</v>
      </c>
      <c r="BB68"/>
      <c r="BE68" s="67"/>
    </row>
    <row r="69" spans="2:57" x14ac:dyDescent="0.25">
      <c r="B69" s="158" t="s">
        <v>305</v>
      </c>
      <c r="C69" s="158"/>
      <c r="D69" s="162" t="s">
        <v>1041</v>
      </c>
      <c r="E69" s="160"/>
      <c r="F69" s="162" t="s">
        <v>619</v>
      </c>
      <c r="G69" s="163"/>
      <c r="H69" s="163"/>
      <c r="I69" s="195" t="s">
        <v>1019</v>
      </c>
      <c r="J69" s="158"/>
      <c r="K69" s="167"/>
      <c r="L69" s="168"/>
      <c r="M69" s="143" t="s">
        <v>921</v>
      </c>
      <c r="N69" s="143"/>
      <c r="O69" s="210"/>
      <c r="P69" s="146" t="s">
        <v>1065</v>
      </c>
      <c r="Q69" s="169"/>
      <c r="R69" s="157" t="s">
        <v>1034</v>
      </c>
      <c r="S69" s="158"/>
      <c r="T69" s="162"/>
      <c r="U69" s="164"/>
      <c r="V69" s="165"/>
      <c r="W69" s="166"/>
      <c r="X69" s="172"/>
      <c r="Y69" s="174"/>
      <c r="Z69" s="176"/>
      <c r="AA69" s="178" t="str">
        <f t="shared" si="4"/>
        <v xml:space="preserve"> - </v>
      </c>
      <c r="AB69" s="180" t="str">
        <f t="shared" si="5"/>
        <v xml:space="preserve"> - </v>
      </c>
      <c r="AC69" s="180" t="str">
        <f t="shared" si="6"/>
        <v xml:space="preserve"> - </v>
      </c>
      <c r="AD69" s="182" t="str">
        <f t="shared" si="2"/>
        <v xml:space="preserve"> - </v>
      </c>
      <c r="AE69" s="184">
        <f t="shared" si="7"/>
        <v>0</v>
      </c>
      <c r="AF69" s="186">
        <f t="shared" si="8"/>
        <v>0</v>
      </c>
      <c r="AG69" s="188" t="str">
        <f t="array" ref="AG69" xml:space="preserve"> IFERROR( IF( D69="", "-", _xlfn.AGGREGATE(15,6, ( ( ($D$21:$D$27 = D69) * IF($D$19&lt;&gt;"", --($E$21:$E$27 = E69), 1) * IF($H$19&lt;&gt;"", --($F$21:$F$27 = F69), 1)  ) / ( ( $D$21:$D$27 = D69) * IF($D$19&lt;&gt;"", --($E$21:$E$27 = E69), 1)  * IF($H$19&lt;&gt;"", --($F$21:$F$27 = F69), 1) ) ) * $AF$21:$AF$27,1)    ), "-")</f>
        <v>-</v>
      </c>
      <c r="BB69"/>
      <c r="BE69" s="67"/>
    </row>
    <row r="70" spans="2:57" x14ac:dyDescent="0.25">
      <c r="B70" s="158" t="s">
        <v>306</v>
      </c>
      <c r="C70" s="158" t="s">
        <v>20</v>
      </c>
      <c r="D70" s="189" t="s">
        <v>773</v>
      </c>
      <c r="E70" s="160"/>
      <c r="F70" s="162"/>
      <c r="G70" s="163"/>
      <c r="H70" s="163"/>
      <c r="I70" s="158" t="s">
        <v>1026</v>
      </c>
      <c r="J70" s="158" t="s">
        <v>1042</v>
      </c>
      <c r="K70" s="167"/>
      <c r="L70" s="168"/>
      <c r="M70" s="143" t="s">
        <v>921</v>
      </c>
      <c r="N70" s="143"/>
      <c r="O70" s="210"/>
      <c r="P70" s="146" t="s">
        <v>1065</v>
      </c>
      <c r="Q70" s="169"/>
      <c r="R70" s="157" t="s">
        <v>1034</v>
      </c>
      <c r="S70" s="158"/>
      <c r="T70" s="162"/>
      <c r="U70" s="164"/>
      <c r="V70" s="165"/>
      <c r="W70" s="166"/>
      <c r="X70" s="172"/>
      <c r="Y70" s="174"/>
      <c r="Z70" s="176"/>
      <c r="AA70" s="178" t="str">
        <f t="shared" si="4"/>
        <v xml:space="preserve"> - </v>
      </c>
      <c r="AB70" s="180" t="str">
        <f t="shared" si="5"/>
        <v xml:space="preserve"> - </v>
      </c>
      <c r="AC70" s="180" t="str">
        <f t="shared" si="6"/>
        <v xml:space="preserve"> - </v>
      </c>
      <c r="AD70" s="182" t="str">
        <f t="shared" si="2"/>
        <v xml:space="preserve"> - </v>
      </c>
      <c r="AE70" s="184">
        <f t="shared" si="7"/>
        <v>0</v>
      </c>
      <c r="AF70" s="186">
        <f t="shared" si="8"/>
        <v>0</v>
      </c>
      <c r="AG70" s="188" t="str">
        <f t="array" ref="AG70" xml:space="preserve"> IFERROR( IF( D70="", "-", _xlfn.AGGREGATE(15,6, ( ( ($D$21:$D$27 = D70) * IF($D$19&lt;&gt;"", --($E$21:$E$27 = E70), 1) * IF($H$19&lt;&gt;"", --($F$21:$F$27 = F70), 1)  ) / ( ( $D$21:$D$27 = D70) * IF($D$19&lt;&gt;"", --($E$21:$E$27 = E70), 1)  * IF($H$19&lt;&gt;"", --($F$21:$F$27 = F70), 1) ) ) * $AF$21:$AF$27,1)    ), "-")</f>
        <v>-</v>
      </c>
      <c r="BB70"/>
      <c r="BE70" s="67"/>
    </row>
    <row r="71" spans="2:57" x14ac:dyDescent="0.25">
      <c r="B71" s="158" t="s">
        <v>307</v>
      </c>
      <c r="C71" s="158" t="s">
        <v>20</v>
      </c>
      <c r="D71" s="189" t="s">
        <v>773</v>
      </c>
      <c r="E71" s="160"/>
      <c r="F71" s="162" t="s">
        <v>620</v>
      </c>
      <c r="G71" s="163"/>
      <c r="H71" s="163"/>
      <c r="I71" s="158" t="s">
        <v>1026</v>
      </c>
      <c r="J71" s="158" t="s">
        <v>1042</v>
      </c>
      <c r="K71" s="167"/>
      <c r="L71" s="168"/>
      <c r="M71" s="143" t="s">
        <v>921</v>
      </c>
      <c r="N71" s="143"/>
      <c r="O71" s="210"/>
      <c r="P71" s="146" t="s">
        <v>1065</v>
      </c>
      <c r="Q71" s="169"/>
      <c r="R71" s="157" t="s">
        <v>1034</v>
      </c>
      <c r="S71" s="158"/>
      <c r="T71" s="162"/>
      <c r="U71" s="164"/>
      <c r="V71" s="165"/>
      <c r="W71" s="166"/>
      <c r="X71" s="172"/>
      <c r="Y71" s="174"/>
      <c r="Z71" s="176"/>
      <c r="AA71" s="178" t="str">
        <f t="shared" si="4"/>
        <v xml:space="preserve"> - </v>
      </c>
      <c r="AB71" s="180" t="str">
        <f t="shared" si="5"/>
        <v xml:space="preserve"> - </v>
      </c>
      <c r="AC71" s="180" t="str">
        <f t="shared" si="6"/>
        <v xml:space="preserve"> - </v>
      </c>
      <c r="AD71" s="182" t="str">
        <f t="shared" si="2"/>
        <v xml:space="preserve"> - </v>
      </c>
      <c r="AE71" s="184">
        <f t="shared" si="7"/>
        <v>0</v>
      </c>
      <c r="AF71" s="186">
        <f t="shared" si="8"/>
        <v>0</v>
      </c>
      <c r="AG71" s="188" t="str">
        <f t="array" ref="AG71" xml:space="preserve"> IFERROR( IF( D71="", "-", _xlfn.AGGREGATE(15,6, ( ( ($D$21:$D$27 = D71) * IF($D$19&lt;&gt;"", --($E$21:$E$27 = E71), 1) * IF($H$19&lt;&gt;"", --($F$21:$F$27 = F71), 1)  ) / ( ( $D$21:$D$27 = D71) * IF($D$19&lt;&gt;"", --($E$21:$E$27 = E71), 1)  * IF($H$19&lt;&gt;"", --($F$21:$F$27 = F71), 1) ) ) * $AF$21:$AF$27,1)    ), "-")</f>
        <v>-</v>
      </c>
      <c r="BB71"/>
      <c r="BE71" s="67"/>
    </row>
    <row r="72" spans="2:57" x14ac:dyDescent="0.25">
      <c r="B72" s="158" t="s">
        <v>308</v>
      </c>
      <c r="C72" s="158"/>
      <c r="D72" s="189" t="s">
        <v>774</v>
      </c>
      <c r="E72" s="160"/>
      <c r="F72" s="162" t="s">
        <v>621</v>
      </c>
      <c r="G72" s="163"/>
      <c r="H72" s="163"/>
      <c r="I72" s="158"/>
      <c r="J72" s="158" t="s">
        <v>1043</v>
      </c>
      <c r="K72" s="167"/>
      <c r="L72" s="168"/>
      <c r="M72" s="167" t="s">
        <v>74</v>
      </c>
      <c r="N72" s="167"/>
      <c r="O72" s="210"/>
      <c r="P72" s="201" t="s">
        <v>86</v>
      </c>
      <c r="Q72" s="169"/>
      <c r="R72" s="158"/>
      <c r="S72" s="158"/>
      <c r="T72" s="162"/>
      <c r="U72" s="164"/>
      <c r="V72" s="165"/>
      <c r="W72" s="166"/>
      <c r="X72" s="172"/>
      <c r="Y72" s="174"/>
      <c r="Z72" s="176"/>
      <c r="AA72" s="178" t="str">
        <f t="shared" si="4"/>
        <v xml:space="preserve"> - </v>
      </c>
      <c r="AB72" s="180" t="str">
        <f t="shared" si="5"/>
        <v xml:space="preserve"> - </v>
      </c>
      <c r="AC72" s="180" t="str">
        <f t="shared" si="6"/>
        <v xml:space="preserve"> - </v>
      </c>
      <c r="AD72" s="182" t="str">
        <f t="shared" si="2"/>
        <v xml:space="preserve"> - </v>
      </c>
      <c r="AE72" s="184">
        <f t="shared" si="7"/>
        <v>0</v>
      </c>
      <c r="AF72" s="186">
        <f t="shared" si="8"/>
        <v>0</v>
      </c>
      <c r="AG72" s="188" t="str">
        <f t="array" ref="AG72" xml:space="preserve"> IFERROR( IF( D72="", "-", _xlfn.AGGREGATE(15,6, ( ( ($D$21:$D$27 = D72) * IF($D$19&lt;&gt;"", --($E$21:$E$27 = E72), 1) * IF($H$19&lt;&gt;"", --($F$21:$F$27 = F72), 1)  ) / ( ( $D$21:$D$27 = D72) * IF($D$19&lt;&gt;"", --($E$21:$E$27 = E72), 1)  * IF($H$19&lt;&gt;"", --($F$21:$F$27 = F72), 1) ) ) * $AF$21:$AF$27,1)    ), "-")</f>
        <v>-</v>
      </c>
      <c r="BB72"/>
      <c r="BE72" s="67"/>
    </row>
    <row r="73" spans="2:57" x14ac:dyDescent="0.25">
      <c r="B73" s="158" t="s">
        <v>309</v>
      </c>
      <c r="C73" s="158"/>
      <c r="D73" s="162" t="s">
        <v>775</v>
      </c>
      <c r="E73" s="160"/>
      <c r="F73" s="162"/>
      <c r="G73" s="163"/>
      <c r="H73" s="163"/>
      <c r="I73" s="158"/>
      <c r="J73" s="158"/>
      <c r="K73" s="167"/>
      <c r="L73" s="168"/>
      <c r="M73" s="143" t="s">
        <v>921</v>
      </c>
      <c r="N73" s="143"/>
      <c r="O73" s="210"/>
      <c r="P73" s="201" t="s">
        <v>86</v>
      </c>
      <c r="Q73" s="169"/>
      <c r="R73" s="158"/>
      <c r="S73" s="158"/>
      <c r="T73" s="162"/>
      <c r="U73" s="164"/>
      <c r="V73" s="165"/>
      <c r="W73" s="166"/>
      <c r="X73" s="172"/>
      <c r="Y73" s="174"/>
      <c r="Z73" s="176"/>
      <c r="AA73" s="178" t="str">
        <f t="shared" si="4"/>
        <v xml:space="preserve"> - </v>
      </c>
      <c r="AB73" s="180" t="str">
        <f t="shared" si="5"/>
        <v xml:space="preserve"> - </v>
      </c>
      <c r="AC73" s="180" t="str">
        <f t="shared" si="6"/>
        <v xml:space="preserve"> - </v>
      </c>
      <c r="AD73" s="182" t="str">
        <f t="shared" si="2"/>
        <v xml:space="preserve"> - </v>
      </c>
      <c r="AE73" s="184">
        <f t="shared" si="7"/>
        <v>0</v>
      </c>
      <c r="AF73" s="186">
        <f t="shared" si="8"/>
        <v>0</v>
      </c>
      <c r="AG73" s="188" t="str">
        <f t="array" ref="AG73" xml:space="preserve"> IFERROR( IF( D73="", "-", _xlfn.AGGREGATE(15,6, ( ( ($D$21:$D$27 = D73) * IF($D$19&lt;&gt;"", --($E$21:$E$27 = E73), 1) * IF($H$19&lt;&gt;"", --($F$21:$F$27 = F73), 1)  ) / ( ( $D$21:$D$27 = D73) * IF($D$19&lt;&gt;"", --($E$21:$E$27 = E73), 1)  * IF($H$19&lt;&gt;"", --($F$21:$F$27 = F73), 1) ) ) * $AF$21:$AF$27,1)    ), "-")</f>
        <v>-</v>
      </c>
      <c r="BB73"/>
      <c r="BE73" s="67"/>
    </row>
    <row r="74" spans="2:57" x14ac:dyDescent="0.25">
      <c r="B74" s="158" t="s">
        <v>310</v>
      </c>
      <c r="C74" s="158"/>
      <c r="D74" s="189" t="s">
        <v>776</v>
      </c>
      <c r="E74" s="160"/>
      <c r="F74" s="162" t="s">
        <v>622</v>
      </c>
      <c r="G74" s="163"/>
      <c r="H74" s="163"/>
      <c r="I74" s="158"/>
      <c r="J74" s="158"/>
      <c r="K74" s="167"/>
      <c r="L74" s="168"/>
      <c r="M74" s="143" t="s">
        <v>921</v>
      </c>
      <c r="N74" s="143"/>
      <c r="O74" s="210"/>
      <c r="P74" s="146" t="s">
        <v>1065</v>
      </c>
      <c r="Q74" s="169"/>
      <c r="R74" s="158"/>
      <c r="S74" s="158"/>
      <c r="T74" s="162"/>
      <c r="U74" s="164"/>
      <c r="V74" s="165"/>
      <c r="W74" s="166"/>
      <c r="X74" s="172"/>
      <c r="Y74" s="174"/>
      <c r="Z74" s="176"/>
      <c r="AA74" s="178" t="str">
        <f t="shared" si="4"/>
        <v xml:space="preserve"> - </v>
      </c>
      <c r="AB74" s="180" t="str">
        <f t="shared" si="5"/>
        <v xml:space="preserve"> - </v>
      </c>
      <c r="AC74" s="180" t="str">
        <f t="shared" si="6"/>
        <v xml:space="preserve"> - </v>
      </c>
      <c r="AD74" s="182" t="str">
        <f t="shared" si="2"/>
        <v xml:space="preserve"> - </v>
      </c>
      <c r="AE74" s="184">
        <f t="shared" si="7"/>
        <v>0</v>
      </c>
      <c r="AF74" s="186">
        <f t="shared" si="8"/>
        <v>0</v>
      </c>
      <c r="AG74" s="188" t="str">
        <f t="array" ref="AG74" xml:space="preserve"> IFERROR( IF( D74="", "-", _xlfn.AGGREGATE(15,6, ( ( ($D$21:$D$27 = D74) * IF($D$19&lt;&gt;"", --($E$21:$E$27 = E74), 1) * IF($H$19&lt;&gt;"", --($F$21:$F$27 = F74), 1)  ) / ( ( $D$21:$D$27 = D74) * IF($D$19&lt;&gt;"", --($E$21:$E$27 = E74), 1)  * IF($H$19&lt;&gt;"", --($F$21:$F$27 = F74), 1) ) ) * $AF$21:$AF$27,1)    ), "-")</f>
        <v>-</v>
      </c>
      <c r="BB74"/>
      <c r="BE74" s="67"/>
    </row>
    <row r="75" spans="2:57" x14ac:dyDescent="0.25">
      <c r="B75" s="158" t="s">
        <v>311</v>
      </c>
      <c r="C75" s="158"/>
      <c r="D75" s="189" t="s">
        <v>776</v>
      </c>
      <c r="E75" s="160"/>
      <c r="F75" s="189" t="s">
        <v>623</v>
      </c>
      <c r="G75" s="163"/>
      <c r="H75" s="163"/>
      <c r="I75" s="158"/>
      <c r="J75" s="158"/>
      <c r="K75" s="167"/>
      <c r="L75" s="168"/>
      <c r="M75" s="143" t="s">
        <v>921</v>
      </c>
      <c r="N75" s="143"/>
      <c r="O75" s="210"/>
      <c r="P75" s="146" t="s">
        <v>1065</v>
      </c>
      <c r="Q75" s="169"/>
      <c r="R75" s="158"/>
      <c r="S75" s="158"/>
      <c r="T75" s="162"/>
      <c r="U75" s="164"/>
      <c r="V75" s="165"/>
      <c r="W75" s="166"/>
      <c r="X75" s="172"/>
      <c r="Y75" s="174"/>
      <c r="Z75" s="176"/>
      <c r="AA75" s="178" t="str">
        <f t="shared" si="4"/>
        <v xml:space="preserve"> - </v>
      </c>
      <c r="AB75" s="180" t="str">
        <f t="shared" si="5"/>
        <v xml:space="preserve"> - </v>
      </c>
      <c r="AC75" s="180" t="str">
        <f t="shared" si="6"/>
        <v xml:space="preserve"> - </v>
      </c>
      <c r="AD75" s="182" t="str">
        <f t="shared" si="2"/>
        <v xml:space="preserve"> - </v>
      </c>
      <c r="AE75" s="184">
        <f t="shared" si="7"/>
        <v>0</v>
      </c>
      <c r="AF75" s="186">
        <f t="shared" si="8"/>
        <v>0</v>
      </c>
      <c r="AG75" s="188" t="str">
        <f t="array" ref="AG75" xml:space="preserve"> IFERROR( IF( D75="", "-", _xlfn.AGGREGATE(15,6, ( ( ($D$21:$D$27 = D75) * IF($D$19&lt;&gt;"", --($E$21:$E$27 = E75), 1) * IF($H$19&lt;&gt;"", --($F$21:$F$27 = F75), 1)  ) / ( ( $D$21:$D$27 = D75) * IF($D$19&lt;&gt;"", --($E$21:$E$27 = E75), 1)  * IF($H$19&lt;&gt;"", --($F$21:$F$27 = F75), 1) ) ) * $AF$21:$AF$27,1)    ), "-")</f>
        <v>-</v>
      </c>
      <c r="BB75"/>
      <c r="BE75" s="67"/>
    </row>
    <row r="76" spans="2:57" x14ac:dyDescent="0.25">
      <c r="B76" s="158" t="s">
        <v>312</v>
      </c>
      <c r="C76" s="158"/>
      <c r="D76" s="189" t="s">
        <v>1090</v>
      </c>
      <c r="E76" s="160"/>
      <c r="F76" s="189" t="s">
        <v>1231</v>
      </c>
      <c r="G76" s="163"/>
      <c r="H76" s="163"/>
      <c r="I76" s="158"/>
      <c r="J76" s="158"/>
      <c r="K76" s="167"/>
      <c r="L76" s="168"/>
      <c r="M76" s="143" t="s">
        <v>921</v>
      </c>
      <c r="N76" s="143"/>
      <c r="O76" s="210"/>
      <c r="P76" s="146" t="s">
        <v>1065</v>
      </c>
      <c r="Q76" s="169"/>
      <c r="R76" s="158"/>
      <c r="S76" s="158"/>
      <c r="T76" s="162"/>
      <c r="U76" s="164"/>
      <c r="V76" s="165"/>
      <c r="W76" s="166"/>
      <c r="X76" s="172"/>
      <c r="Y76" s="174"/>
      <c r="Z76" s="176"/>
      <c r="AA76" s="178" t="str">
        <f t="shared" si="4"/>
        <v xml:space="preserve"> - </v>
      </c>
      <c r="AB76" s="180" t="str">
        <f t="shared" si="5"/>
        <v xml:space="preserve"> - </v>
      </c>
      <c r="AC76" s="180" t="str">
        <f t="shared" si="6"/>
        <v xml:space="preserve"> - </v>
      </c>
      <c r="AD76" s="182" t="str">
        <f t="shared" si="2"/>
        <v xml:space="preserve"> - </v>
      </c>
      <c r="AE76" s="184">
        <f t="shared" si="7"/>
        <v>0</v>
      </c>
      <c r="AF76" s="186">
        <f t="shared" si="8"/>
        <v>0</v>
      </c>
      <c r="AG76" s="188" t="str">
        <f t="array" ref="AG76" xml:space="preserve"> IFERROR( IF( D76="", "-", _xlfn.AGGREGATE(15,6, ( ( ($D$21:$D$27 = D76) * IF($D$19&lt;&gt;"", --($E$21:$E$27 = E76), 1) * IF($H$19&lt;&gt;"", --($F$21:$F$27 = F76), 1)  ) / ( ( $D$21:$D$27 = D76) * IF($D$19&lt;&gt;"", --($E$21:$E$27 = E76), 1)  * IF($H$19&lt;&gt;"", --($F$21:$F$27 = F76), 1) ) ) * $AF$21:$AF$27,1)    ), "-")</f>
        <v>-</v>
      </c>
      <c r="BB76"/>
      <c r="BE76" s="67"/>
    </row>
    <row r="77" spans="2:57" x14ac:dyDescent="0.25">
      <c r="B77" s="158" t="s">
        <v>313</v>
      </c>
      <c r="C77" s="158"/>
      <c r="D77" s="162" t="s">
        <v>777</v>
      </c>
      <c r="E77" s="160"/>
      <c r="F77" s="162"/>
      <c r="G77" s="163"/>
      <c r="H77" s="163"/>
      <c r="I77" s="158"/>
      <c r="J77" s="158"/>
      <c r="K77" s="167"/>
      <c r="L77" s="168"/>
      <c r="M77" s="143" t="s">
        <v>921</v>
      </c>
      <c r="N77" s="143"/>
      <c r="O77" s="210"/>
      <c r="P77" s="146" t="s">
        <v>1065</v>
      </c>
      <c r="Q77" s="169"/>
      <c r="R77" s="158"/>
      <c r="S77" s="158"/>
      <c r="T77" s="162"/>
      <c r="U77" s="164"/>
      <c r="V77" s="165"/>
      <c r="W77" s="166"/>
      <c r="X77" s="172"/>
      <c r="Y77" s="174"/>
      <c r="Z77" s="176"/>
      <c r="AA77" s="178" t="str">
        <f t="shared" si="4"/>
        <v xml:space="preserve"> - </v>
      </c>
      <c r="AB77" s="180" t="str">
        <f t="shared" si="5"/>
        <v xml:space="preserve"> - </v>
      </c>
      <c r="AC77" s="180" t="str">
        <f t="shared" si="6"/>
        <v xml:space="preserve"> - </v>
      </c>
      <c r="AD77" s="182" t="str">
        <f t="shared" si="2"/>
        <v xml:space="preserve"> - </v>
      </c>
      <c r="AE77" s="184">
        <f t="shared" si="7"/>
        <v>0</v>
      </c>
      <c r="AF77" s="186">
        <f t="shared" si="8"/>
        <v>0</v>
      </c>
      <c r="AG77" s="188" t="str">
        <f t="array" ref="AG77" xml:space="preserve"> IFERROR( IF( D77="", "-", _xlfn.AGGREGATE(15,6, ( ( ($D$21:$D$27 = D77) * IF($D$19&lt;&gt;"", --($E$21:$E$27 = E77), 1) * IF($H$19&lt;&gt;"", --($F$21:$F$27 = F77), 1)  ) / ( ( $D$21:$D$27 = D77) * IF($D$19&lt;&gt;"", --($E$21:$E$27 = E77), 1)  * IF($H$19&lt;&gt;"", --($F$21:$F$27 = F77), 1) ) ) * $AF$21:$AF$27,1)    ), "-")</f>
        <v>-</v>
      </c>
      <c r="BB77"/>
      <c r="BE77" s="67"/>
    </row>
    <row r="78" spans="2:57" x14ac:dyDescent="0.25">
      <c r="B78" s="158" t="s">
        <v>314</v>
      </c>
      <c r="C78" s="158"/>
      <c r="D78" s="162" t="s">
        <v>314</v>
      </c>
      <c r="E78" s="160"/>
      <c r="F78" s="162"/>
      <c r="G78" s="163"/>
      <c r="H78" s="163"/>
      <c r="I78" s="158"/>
      <c r="J78" s="158"/>
      <c r="K78" s="167"/>
      <c r="L78" s="168"/>
      <c r="M78" s="143" t="s">
        <v>921</v>
      </c>
      <c r="N78" s="143"/>
      <c r="O78" s="210"/>
      <c r="P78" s="146" t="s">
        <v>1065</v>
      </c>
      <c r="Q78" s="169"/>
      <c r="R78" s="158"/>
      <c r="S78" s="158"/>
      <c r="T78" s="162"/>
      <c r="U78" s="164"/>
      <c r="V78" s="165"/>
      <c r="W78" s="166"/>
      <c r="X78" s="172"/>
      <c r="Y78" s="174"/>
      <c r="Z78" s="176"/>
      <c r="AA78" s="178" t="str">
        <f t="shared" si="4"/>
        <v xml:space="preserve"> - </v>
      </c>
      <c r="AB78" s="180" t="str">
        <f t="shared" si="5"/>
        <v xml:space="preserve"> - </v>
      </c>
      <c r="AC78" s="180" t="str">
        <f t="shared" si="6"/>
        <v xml:space="preserve"> - </v>
      </c>
      <c r="AD78" s="182" t="str">
        <f t="shared" si="2"/>
        <v xml:space="preserve"> - </v>
      </c>
      <c r="AE78" s="184">
        <f t="shared" si="7"/>
        <v>0</v>
      </c>
      <c r="AF78" s="186">
        <f t="shared" si="8"/>
        <v>0</v>
      </c>
      <c r="AG78" s="188" t="str">
        <f t="array" ref="AG78" xml:space="preserve"> IFERROR( IF( D78="", "-", _xlfn.AGGREGATE(15,6, ( ( ($D$21:$D$27 = D78) * IF($D$19&lt;&gt;"", --($E$21:$E$27 = E78), 1) * IF($H$19&lt;&gt;"", --($F$21:$F$27 = F78), 1)  ) / ( ( $D$21:$D$27 = D78) * IF($D$19&lt;&gt;"", --($E$21:$E$27 = E78), 1)  * IF($H$19&lt;&gt;"", --($F$21:$F$27 = F78), 1) ) ) * $AF$21:$AF$27,1)    ), "-")</f>
        <v>-</v>
      </c>
      <c r="BB78"/>
      <c r="BE78" s="67"/>
    </row>
    <row r="79" spans="2:57" x14ac:dyDescent="0.25">
      <c r="B79" s="158" t="s">
        <v>315</v>
      </c>
      <c r="C79" s="158"/>
      <c r="D79" s="162" t="s">
        <v>315</v>
      </c>
      <c r="E79" s="160"/>
      <c r="F79" s="162"/>
      <c r="G79" s="163"/>
      <c r="H79" s="163"/>
      <c r="I79" s="158"/>
      <c r="J79" s="158"/>
      <c r="K79" s="167"/>
      <c r="L79" s="168"/>
      <c r="M79" s="143" t="s">
        <v>921</v>
      </c>
      <c r="N79" s="143"/>
      <c r="O79" s="210"/>
      <c r="P79" s="146" t="s">
        <v>1065</v>
      </c>
      <c r="Q79" s="169"/>
      <c r="R79" s="158"/>
      <c r="S79" s="158"/>
      <c r="T79" s="162"/>
      <c r="U79" s="164"/>
      <c r="V79" s="165"/>
      <c r="W79" s="166"/>
      <c r="X79" s="172"/>
      <c r="Y79" s="174"/>
      <c r="Z79" s="176"/>
      <c r="AA79" s="178" t="str">
        <f t="shared" si="4"/>
        <v xml:space="preserve"> - </v>
      </c>
      <c r="AB79" s="180" t="str">
        <f t="shared" si="5"/>
        <v xml:space="preserve"> - </v>
      </c>
      <c r="AC79" s="180" t="str">
        <f t="shared" si="6"/>
        <v xml:space="preserve"> - </v>
      </c>
      <c r="AD79" s="182" t="str">
        <f t="shared" si="2"/>
        <v xml:space="preserve"> - </v>
      </c>
      <c r="AE79" s="184">
        <f t="shared" si="7"/>
        <v>0</v>
      </c>
      <c r="AF79" s="186">
        <f t="shared" si="8"/>
        <v>0</v>
      </c>
      <c r="AG79" s="188" t="str">
        <f t="array" ref="AG79" xml:space="preserve"> IFERROR( IF( D79="", "-", _xlfn.AGGREGATE(15,6, ( ( ($D$21:$D$27 = D79) * IF($D$19&lt;&gt;"", --($E$21:$E$27 = E79), 1) * IF($H$19&lt;&gt;"", --($F$21:$F$27 = F79), 1)  ) / ( ( $D$21:$D$27 = D79) * IF($D$19&lt;&gt;"", --($E$21:$E$27 = E79), 1)  * IF($H$19&lt;&gt;"", --($F$21:$F$27 = F79), 1) ) ) * $AF$21:$AF$27,1)    ), "-")</f>
        <v>-</v>
      </c>
      <c r="BB79"/>
      <c r="BE79" s="67"/>
    </row>
    <row r="80" spans="2:57" x14ac:dyDescent="0.25">
      <c r="B80" s="158" t="s">
        <v>316</v>
      </c>
      <c r="C80" s="158"/>
      <c r="D80" s="189" t="s">
        <v>778</v>
      </c>
      <c r="E80" s="160"/>
      <c r="F80" s="162" t="s">
        <v>624</v>
      </c>
      <c r="G80" s="163"/>
      <c r="H80" s="163"/>
      <c r="I80" s="158"/>
      <c r="J80" s="158"/>
      <c r="K80" s="167"/>
      <c r="L80" s="168"/>
      <c r="M80" s="143" t="s">
        <v>921</v>
      </c>
      <c r="N80" s="143"/>
      <c r="O80" s="210"/>
      <c r="P80" s="146" t="s">
        <v>1065</v>
      </c>
      <c r="Q80" s="169"/>
      <c r="R80" s="158"/>
      <c r="S80" s="158"/>
      <c r="T80" s="162"/>
      <c r="U80" s="164"/>
      <c r="V80" s="165"/>
      <c r="W80" s="166"/>
      <c r="X80" s="172"/>
      <c r="Y80" s="174"/>
      <c r="Z80" s="176"/>
      <c r="AA80" s="178" t="str">
        <f t="shared" si="4"/>
        <v xml:space="preserve"> - </v>
      </c>
      <c r="AB80" s="180" t="str">
        <f t="shared" si="5"/>
        <v xml:space="preserve"> - </v>
      </c>
      <c r="AC80" s="180" t="str">
        <f t="shared" si="6"/>
        <v xml:space="preserve"> - </v>
      </c>
      <c r="AD80" s="182" t="str">
        <f t="shared" si="2"/>
        <v xml:space="preserve"> - </v>
      </c>
      <c r="AE80" s="184">
        <f t="shared" si="7"/>
        <v>0</v>
      </c>
      <c r="AF80" s="186">
        <f t="shared" si="8"/>
        <v>0</v>
      </c>
      <c r="AG80" s="188" t="str">
        <f t="array" ref="AG80" xml:space="preserve"> IFERROR( IF( D80="", "-", _xlfn.AGGREGATE(15,6, ( ( ($D$21:$D$27 = D80) * IF($D$19&lt;&gt;"", --($E$21:$E$27 = E80), 1) * IF($H$19&lt;&gt;"", --($F$21:$F$27 = F80), 1)  ) / ( ( $D$21:$D$27 = D80) * IF($D$19&lt;&gt;"", --($E$21:$E$27 = E80), 1)  * IF($H$19&lt;&gt;"", --($F$21:$F$27 = F80), 1) ) ) * $AF$21:$AF$27,1)    ), "-")</f>
        <v>-</v>
      </c>
      <c r="BB80"/>
      <c r="BE80" s="67"/>
    </row>
    <row r="81" spans="2:57" x14ac:dyDescent="0.25">
      <c r="B81" s="158" t="s">
        <v>317</v>
      </c>
      <c r="C81" s="158"/>
      <c r="D81" s="189" t="s">
        <v>779</v>
      </c>
      <c r="E81" s="160"/>
      <c r="F81" s="162" t="s">
        <v>22</v>
      </c>
      <c r="G81" s="163"/>
      <c r="H81" s="163"/>
      <c r="I81" s="158"/>
      <c r="J81" s="158"/>
      <c r="K81" s="167"/>
      <c r="L81" s="168"/>
      <c r="M81" s="143" t="s">
        <v>921</v>
      </c>
      <c r="N81" s="143"/>
      <c r="O81" s="210"/>
      <c r="P81" s="146" t="s">
        <v>1065</v>
      </c>
      <c r="Q81" s="169"/>
      <c r="R81" s="158"/>
      <c r="S81" s="158"/>
      <c r="T81" s="162"/>
      <c r="U81" s="164"/>
      <c r="V81" s="165"/>
      <c r="W81" s="166"/>
      <c r="X81" s="172"/>
      <c r="Y81" s="174"/>
      <c r="Z81" s="176"/>
      <c r="AA81" s="178" t="str">
        <f t="shared" si="4"/>
        <v xml:space="preserve"> - </v>
      </c>
      <c r="AB81" s="180" t="str">
        <f t="shared" si="5"/>
        <v xml:space="preserve"> - </v>
      </c>
      <c r="AC81" s="180" t="str">
        <f t="shared" si="6"/>
        <v xml:space="preserve"> - </v>
      </c>
      <c r="AD81" s="182" t="str">
        <f t="shared" si="2"/>
        <v xml:space="preserve"> - </v>
      </c>
      <c r="AE81" s="184">
        <f t="shared" si="7"/>
        <v>0</v>
      </c>
      <c r="AF81" s="186">
        <f t="shared" si="8"/>
        <v>0</v>
      </c>
      <c r="AG81" s="188" t="str">
        <f t="array" ref="AG81" xml:space="preserve"> IFERROR( IF( D81="", "-", _xlfn.AGGREGATE(15,6, ( ( ($D$21:$D$27 = D81) * IF($D$19&lt;&gt;"", --($E$21:$E$27 = E81), 1) * IF($H$19&lt;&gt;"", --($F$21:$F$27 = F81), 1)  ) / ( ( $D$21:$D$27 = D81) * IF($D$19&lt;&gt;"", --($E$21:$E$27 = E81), 1)  * IF($H$19&lt;&gt;"", --($F$21:$F$27 = F81), 1) ) ) * $AF$21:$AF$27,1)    ), "-")</f>
        <v>-</v>
      </c>
      <c r="BB81"/>
      <c r="BE81" s="67"/>
    </row>
    <row r="82" spans="2:57" x14ac:dyDescent="0.25">
      <c r="B82" s="158" t="s">
        <v>318</v>
      </c>
      <c r="C82" s="195"/>
      <c r="D82" s="189" t="s">
        <v>625</v>
      </c>
      <c r="E82" s="160"/>
      <c r="F82" s="162"/>
      <c r="G82" s="163"/>
      <c r="H82" s="163"/>
      <c r="I82" s="195" t="s">
        <v>1020</v>
      </c>
      <c r="J82" s="195"/>
      <c r="K82" s="167"/>
      <c r="L82" s="168"/>
      <c r="M82" s="143" t="s">
        <v>921</v>
      </c>
      <c r="N82" s="143"/>
      <c r="O82" s="210"/>
      <c r="P82" s="146" t="s">
        <v>1065</v>
      </c>
      <c r="Q82" s="169"/>
      <c r="R82" s="158"/>
      <c r="S82" s="195"/>
      <c r="T82" s="162"/>
      <c r="U82" s="164"/>
      <c r="V82" s="165"/>
      <c r="W82" s="166"/>
      <c r="X82" s="172"/>
      <c r="Y82" s="174"/>
      <c r="Z82" s="176"/>
      <c r="AA82" s="178" t="str">
        <f t="shared" si="4"/>
        <v xml:space="preserve"> - </v>
      </c>
      <c r="AB82" s="180" t="str">
        <f t="shared" si="5"/>
        <v xml:space="preserve"> - </v>
      </c>
      <c r="AC82" s="180" t="str">
        <f t="shared" si="6"/>
        <v xml:space="preserve"> - </v>
      </c>
      <c r="AD82" s="182" t="str">
        <f t="shared" si="2"/>
        <v xml:space="preserve"> - </v>
      </c>
      <c r="AE82" s="184">
        <f t="shared" si="7"/>
        <v>0</v>
      </c>
      <c r="AF82" s="186">
        <f t="shared" si="8"/>
        <v>0</v>
      </c>
      <c r="AG82" s="188" t="str">
        <f t="array" ref="AG82" xml:space="preserve"> IFERROR( IF( D82="", "-", _xlfn.AGGREGATE(15,6, ( ( ($D$21:$D$27 = D82) * IF($D$19&lt;&gt;"", --($E$21:$E$27 = E82), 1) * IF($H$19&lt;&gt;"", --($F$21:$F$27 = F82), 1)  ) / ( ( $D$21:$D$27 = D82) * IF($D$19&lt;&gt;"", --($E$21:$E$27 = E82), 1)  * IF($H$19&lt;&gt;"", --($F$21:$F$27 = F82), 1) ) ) * $AF$21:$AF$27,1)    ), "-")</f>
        <v>-</v>
      </c>
      <c r="BB82"/>
      <c r="BE82" s="67"/>
    </row>
    <row r="83" spans="2:57" x14ac:dyDescent="0.25">
      <c r="B83" s="158" t="s">
        <v>319</v>
      </c>
      <c r="C83" s="195"/>
      <c r="D83" s="189" t="s">
        <v>780</v>
      </c>
      <c r="E83" s="160"/>
      <c r="F83" s="160"/>
      <c r="G83" s="163"/>
      <c r="H83" s="163"/>
      <c r="I83" s="195" t="s">
        <v>1020</v>
      </c>
      <c r="J83" s="195"/>
      <c r="K83" s="167"/>
      <c r="L83" s="168"/>
      <c r="M83" s="143" t="s">
        <v>921</v>
      </c>
      <c r="N83" s="143"/>
      <c r="O83" s="210"/>
      <c r="P83" s="146" t="s">
        <v>1065</v>
      </c>
      <c r="Q83" s="169"/>
      <c r="R83" s="158"/>
      <c r="S83" s="195"/>
      <c r="T83" s="162"/>
      <c r="U83" s="164"/>
      <c r="V83" s="165"/>
      <c r="W83" s="166"/>
      <c r="X83" s="172"/>
      <c r="Y83" s="174"/>
      <c r="Z83" s="176"/>
      <c r="AA83" s="178" t="str">
        <f t="shared" si="4"/>
        <v xml:space="preserve"> - </v>
      </c>
      <c r="AB83" s="180" t="str">
        <f t="shared" si="5"/>
        <v xml:space="preserve"> - </v>
      </c>
      <c r="AC83" s="180" t="str">
        <f t="shared" si="6"/>
        <v xml:space="preserve"> - </v>
      </c>
      <c r="AD83" s="182" t="str">
        <f t="shared" si="2"/>
        <v xml:space="preserve"> - </v>
      </c>
      <c r="AE83" s="184">
        <f t="shared" si="7"/>
        <v>0</v>
      </c>
      <c r="AF83" s="186">
        <f t="shared" si="8"/>
        <v>0</v>
      </c>
      <c r="AG83" s="188" t="str">
        <f t="array" ref="AG83" xml:space="preserve"> IFERROR( IF( D83="", "-", _xlfn.AGGREGATE(15,6, ( ( ($D$21:$D$27 = D83) * IF($D$19&lt;&gt;"", --($E$21:$E$27 = E83), 1) * IF($H$19&lt;&gt;"", --($F$21:$F$27 = F83), 1)  ) / ( ( $D$21:$D$27 = D83) * IF($D$19&lt;&gt;"", --($E$21:$E$27 = E83), 1)  * IF($H$19&lt;&gt;"", --($F$21:$F$27 = F83), 1) ) ) * $AF$21:$AF$27,1)    ), "-")</f>
        <v>-</v>
      </c>
      <c r="BB83"/>
      <c r="BE83" s="67"/>
    </row>
    <row r="84" spans="2:57" x14ac:dyDescent="0.25">
      <c r="B84" s="158" t="s">
        <v>320</v>
      </c>
      <c r="C84" s="158"/>
      <c r="D84" s="162" t="s">
        <v>781</v>
      </c>
      <c r="E84" s="160"/>
      <c r="F84" s="160"/>
      <c r="G84" s="163"/>
      <c r="H84" s="163"/>
      <c r="I84" s="158"/>
      <c r="J84" s="158"/>
      <c r="K84" s="167"/>
      <c r="L84" s="168"/>
      <c r="M84" s="167" t="s">
        <v>64</v>
      </c>
      <c r="N84" s="167"/>
      <c r="O84" s="210"/>
      <c r="P84" s="201" t="s">
        <v>111</v>
      </c>
      <c r="Q84" s="169"/>
      <c r="R84" s="158"/>
      <c r="S84" s="158"/>
      <c r="T84" s="162"/>
      <c r="U84" s="164"/>
      <c r="V84" s="165"/>
      <c r="W84" s="166"/>
      <c r="X84" s="172"/>
      <c r="Y84" s="174"/>
      <c r="Z84" s="176"/>
      <c r="AA84" s="178" t="str">
        <f t="shared" si="4"/>
        <v xml:space="preserve"> - </v>
      </c>
      <c r="AB84" s="180" t="str">
        <f t="shared" si="5"/>
        <v xml:space="preserve"> - </v>
      </c>
      <c r="AC84" s="180" t="str">
        <f t="shared" si="6"/>
        <v xml:space="preserve"> - </v>
      </c>
      <c r="AD84" s="182" t="str">
        <f t="shared" si="2"/>
        <v xml:space="preserve"> - </v>
      </c>
      <c r="AE84" s="184">
        <f t="shared" si="7"/>
        <v>0</v>
      </c>
      <c r="AF84" s="186">
        <f t="shared" si="8"/>
        <v>0</v>
      </c>
      <c r="AG84" s="188" t="str">
        <f t="array" ref="AG84" xml:space="preserve"> IFERROR( IF( D84="", "-", _xlfn.AGGREGATE(15,6, ( ( ($D$21:$D$27 = D84) * IF($D$19&lt;&gt;"", --($E$21:$E$27 = E84), 1) * IF($H$19&lt;&gt;"", --($F$21:$F$27 = F84), 1)  ) / ( ( $D$21:$D$27 = D84) * IF($D$19&lt;&gt;"", --($E$21:$E$27 = E84), 1)  * IF($H$19&lt;&gt;"", --($F$21:$F$27 = F84), 1) ) ) * $AF$21:$AF$27,1)    ), "-")</f>
        <v>-</v>
      </c>
      <c r="BB84"/>
      <c r="BE84" s="67"/>
    </row>
    <row r="85" spans="2:57" x14ac:dyDescent="0.25">
      <c r="B85" s="158" t="s">
        <v>321</v>
      </c>
      <c r="C85" s="195"/>
      <c r="D85" s="189" t="s">
        <v>689</v>
      </c>
      <c r="E85" s="162" t="s">
        <v>923</v>
      </c>
      <c r="F85" s="162" t="s">
        <v>782</v>
      </c>
      <c r="G85" s="163" t="s">
        <v>690</v>
      </c>
      <c r="H85" s="163" t="s">
        <v>691</v>
      </c>
      <c r="I85" s="195" t="s">
        <v>1022</v>
      </c>
      <c r="J85" s="195"/>
      <c r="K85" s="167" t="s">
        <v>70</v>
      </c>
      <c r="L85" s="168">
        <v>100</v>
      </c>
      <c r="M85" s="167" t="s">
        <v>1051</v>
      </c>
      <c r="N85" s="167"/>
      <c r="O85" s="210"/>
      <c r="P85" s="146" t="s">
        <v>1065</v>
      </c>
      <c r="Q85" s="169"/>
      <c r="R85" s="158"/>
      <c r="S85" s="195"/>
      <c r="T85" s="162"/>
      <c r="U85" s="164"/>
      <c r="V85" s="165"/>
      <c r="W85" s="166">
        <v>1</v>
      </c>
      <c r="X85" s="172"/>
      <c r="Y85" s="174"/>
      <c r="Z85" s="176"/>
      <c r="AA85" s="178" t="str">
        <f t="shared" si="4"/>
        <v xml:space="preserve"> - </v>
      </c>
      <c r="AB85" s="180" t="str">
        <f t="shared" si="5"/>
        <v xml:space="preserve"> - </v>
      </c>
      <c r="AC85" s="180" t="e">
        <f t="shared" si="6"/>
        <v>#VALUE!</v>
      </c>
      <c r="AD85" s="182" t="str">
        <f t="shared" ref="AD85:AD148" si="9">IF($Q85&gt;0,$AC85/$Q85, " - " )</f>
        <v xml:space="preserve"> - </v>
      </c>
      <c r="AE85" s="184">
        <f t="shared" si="7"/>
        <v>0</v>
      </c>
      <c r="AF85" s="186">
        <f t="shared" si="8"/>
        <v>0</v>
      </c>
      <c r="AG85" s="188" t="str">
        <f t="array" ref="AG85" xml:space="preserve"> IFERROR( IF( D85="", "-", _xlfn.AGGREGATE(15,6, ( ( ($D$21:$D$27 = D85) * IF($D$19&lt;&gt;"", --($E$21:$E$27 =#REF!), 1) * IF($H$19&lt;&gt;"", --($F$21:$F$27 = F85), 1)  ) / ( ( $D$21:$D$27 = D85) * IF($D$19&lt;&gt;"", --($E$21:$E$27 =#REF!), 1)  * IF($H$19&lt;&gt;"", --($F$21:$F$27 = F85), 1) ) ) * $AF$21:$AF$27,1)    ), "-")</f>
        <v>-</v>
      </c>
      <c r="BB85"/>
      <c r="BE85" s="67"/>
    </row>
    <row r="86" spans="2:57" x14ac:dyDescent="0.25">
      <c r="B86" s="158" t="s">
        <v>322</v>
      </c>
      <c r="C86" s="195"/>
      <c r="D86" s="162" t="s">
        <v>689</v>
      </c>
      <c r="E86" s="160" t="s">
        <v>922</v>
      </c>
      <c r="F86" s="162"/>
      <c r="G86" s="163"/>
      <c r="H86" s="163"/>
      <c r="I86" s="195" t="s">
        <v>1022</v>
      </c>
      <c r="J86" s="195"/>
      <c r="K86" s="167"/>
      <c r="L86" s="168"/>
      <c r="M86" s="167" t="s">
        <v>1051</v>
      </c>
      <c r="N86" s="167"/>
      <c r="O86" s="210"/>
      <c r="P86" s="146" t="s">
        <v>1065</v>
      </c>
      <c r="Q86" s="169"/>
      <c r="R86" s="158"/>
      <c r="S86" s="195"/>
      <c r="T86" s="162"/>
      <c r="U86" s="164"/>
      <c r="V86" s="165"/>
      <c r="W86" s="166"/>
      <c r="X86" s="172"/>
      <c r="Y86" s="174"/>
      <c r="Z86" s="176"/>
      <c r="AA86" s="178" t="str">
        <f t="shared" si="4"/>
        <v xml:space="preserve"> - </v>
      </c>
      <c r="AB86" s="180" t="str">
        <f t="shared" si="5"/>
        <v xml:space="preserve"> - </v>
      </c>
      <c r="AC86" s="180" t="str">
        <f t="shared" si="6"/>
        <v xml:space="preserve"> - </v>
      </c>
      <c r="AD86" s="182" t="str">
        <f t="shared" si="9"/>
        <v xml:space="preserve"> - </v>
      </c>
      <c r="AE86" s="184">
        <f t="shared" si="7"/>
        <v>0</v>
      </c>
      <c r="AF86" s="186">
        <f t="shared" si="8"/>
        <v>0</v>
      </c>
      <c r="AG86" s="188" t="str">
        <f t="array" ref="AG86" xml:space="preserve"> IFERROR( IF( D86="", "-", _xlfn.AGGREGATE(15,6, ( ( ($D$21:$D$27 = D86) * IF($D$19&lt;&gt;"", --($E$21:$E$27 = E86), 1) * IF($H$19&lt;&gt;"", --($F$21:$F$27 = F86), 1)  ) / ( ( $D$21:$D$27 = D86) * IF($D$19&lt;&gt;"", --($E$21:$E$27 = E86), 1)  * IF($H$19&lt;&gt;"", --($F$21:$F$27 = F86), 1) ) ) * $AF$21:$AF$27,1)    ), "-")</f>
        <v>-</v>
      </c>
      <c r="BB86"/>
      <c r="BE86" s="67"/>
    </row>
    <row r="87" spans="2:57" x14ac:dyDescent="0.25">
      <c r="B87" s="158" t="s">
        <v>323</v>
      </c>
      <c r="C87" s="195"/>
      <c r="D87" s="162" t="s">
        <v>689</v>
      </c>
      <c r="E87" s="160" t="s">
        <v>920</v>
      </c>
      <c r="F87" s="162"/>
      <c r="G87" s="163"/>
      <c r="H87" s="163"/>
      <c r="I87" s="195" t="s">
        <v>1022</v>
      </c>
      <c r="J87" s="195"/>
      <c r="K87" s="167"/>
      <c r="L87" s="168">
        <v>50</v>
      </c>
      <c r="M87" s="167" t="s">
        <v>1051</v>
      </c>
      <c r="N87" s="167"/>
      <c r="O87" s="210"/>
      <c r="P87" s="146" t="s">
        <v>1065</v>
      </c>
      <c r="Q87" s="169"/>
      <c r="R87" s="158"/>
      <c r="S87" s="195"/>
      <c r="T87" s="162"/>
      <c r="U87" s="164"/>
      <c r="V87" s="165"/>
      <c r="W87" s="166"/>
      <c r="X87" s="172"/>
      <c r="Y87" s="174"/>
      <c r="Z87" s="176"/>
      <c r="AA87" s="178" t="str">
        <f t="shared" si="4"/>
        <v xml:space="preserve"> - </v>
      </c>
      <c r="AB87" s="180" t="str">
        <f t="shared" si="5"/>
        <v xml:space="preserve"> - </v>
      </c>
      <c r="AC87" s="180" t="e">
        <f t="shared" si="6"/>
        <v>#VALUE!</v>
      </c>
      <c r="AD87" s="182" t="str">
        <f t="shared" si="9"/>
        <v xml:space="preserve"> - </v>
      </c>
      <c r="AE87" s="184">
        <f t="shared" si="7"/>
        <v>0</v>
      </c>
      <c r="AF87" s="186">
        <f t="shared" si="8"/>
        <v>0</v>
      </c>
      <c r="AG87" s="188" t="str">
        <f t="array" ref="AG87" xml:space="preserve"> IFERROR( IF( D87="", "-", _xlfn.AGGREGATE(15,6, ( ( ($D$21:$D$27 = D87) * IF($D$19&lt;&gt;"", --($E$21:$E$27 = E87), 1) * IF($H$19&lt;&gt;"", --($F$21:$F$27 = F87), 1)  ) / ( ( $D$21:$D$27 = D87) * IF($D$19&lt;&gt;"", --($E$21:$E$27 = E87), 1)  * IF($H$19&lt;&gt;"", --($F$21:$F$27 = F87), 1) ) ) * $AF$21:$AF$27,1)    ), "-")</f>
        <v>-</v>
      </c>
      <c r="BB87"/>
      <c r="BE87" s="67"/>
    </row>
    <row r="88" spans="2:57" ht="15" customHeight="1" x14ac:dyDescent="0.25">
      <c r="B88" s="158" t="s">
        <v>324</v>
      </c>
      <c r="C88" s="158"/>
      <c r="D88" s="189" t="s">
        <v>689</v>
      </c>
      <c r="E88" s="193" t="s">
        <v>1023</v>
      </c>
      <c r="F88" s="162"/>
      <c r="G88" s="163"/>
      <c r="H88" s="163"/>
      <c r="I88" s="158"/>
      <c r="J88" s="158"/>
      <c r="K88" s="167"/>
      <c r="L88" s="168"/>
      <c r="M88" s="167" t="s">
        <v>1051</v>
      </c>
      <c r="N88" s="167"/>
      <c r="O88" s="210"/>
      <c r="P88" s="146" t="s">
        <v>1065</v>
      </c>
      <c r="Q88" s="169"/>
      <c r="R88" s="158"/>
      <c r="S88" s="158"/>
      <c r="T88" s="162"/>
      <c r="U88" s="164"/>
      <c r="V88" s="165"/>
      <c r="W88" s="166"/>
      <c r="X88" s="172"/>
      <c r="Y88" s="174"/>
      <c r="Z88" s="176"/>
      <c r="AA88" s="178" t="str">
        <f t="shared" si="4"/>
        <v xml:space="preserve"> - </v>
      </c>
      <c r="AB88" s="180" t="str">
        <f t="shared" si="5"/>
        <v xml:space="preserve"> - </v>
      </c>
      <c r="AC88" s="180" t="str">
        <f t="shared" si="6"/>
        <v xml:space="preserve"> - </v>
      </c>
      <c r="AD88" s="182" t="str">
        <f t="shared" si="9"/>
        <v xml:space="preserve"> - </v>
      </c>
      <c r="AE88" s="184">
        <f t="shared" si="7"/>
        <v>0</v>
      </c>
      <c r="AF88" s="186">
        <f t="shared" si="8"/>
        <v>0</v>
      </c>
      <c r="AG88" s="188" t="str">
        <f t="array" ref="AG88" xml:space="preserve"> IFERROR( IF( D88="", "-", _xlfn.AGGREGATE(15,6, ( ( ($D$21:$D$27 = D88) * IF($D$19&lt;&gt;"", --($E$21:$E$27 = E88), 1) * IF($H$19&lt;&gt;"", --($F$21:$F$27 = F88), 1)  ) / ( ( $D$21:$D$27 = D88) * IF($D$19&lt;&gt;"", --($E$21:$E$27 = E88), 1)  * IF($H$19&lt;&gt;"", --($F$21:$F$27 = F88), 1) ) ) * $AF$21:$AF$27,1)    ), "-")</f>
        <v>-</v>
      </c>
      <c r="BB88"/>
    </row>
    <row r="89" spans="2:57" ht="15" customHeight="1" x14ac:dyDescent="0.25">
      <c r="B89" s="158" t="s">
        <v>325</v>
      </c>
      <c r="C89" s="195"/>
      <c r="D89" s="189" t="s">
        <v>783</v>
      </c>
      <c r="E89" s="160" t="s">
        <v>692</v>
      </c>
      <c r="F89" s="189" t="s">
        <v>626</v>
      </c>
      <c r="G89" s="163"/>
      <c r="H89" s="163"/>
      <c r="I89" s="195" t="s">
        <v>1019</v>
      </c>
      <c r="J89" s="195"/>
      <c r="K89" s="167"/>
      <c r="L89" s="168"/>
      <c r="M89" s="167" t="s">
        <v>70</v>
      </c>
      <c r="N89" s="167"/>
      <c r="O89" s="210"/>
      <c r="P89" s="201" t="s">
        <v>912</v>
      </c>
      <c r="Q89" s="169"/>
      <c r="R89" s="158"/>
      <c r="S89" s="195"/>
      <c r="T89" s="162"/>
      <c r="U89" s="164"/>
      <c r="V89" s="165"/>
      <c r="W89" s="166"/>
      <c r="X89" s="172"/>
      <c r="Y89" s="174"/>
      <c r="Z89" s="176"/>
      <c r="AA89" s="178" t="str">
        <f t="shared" si="4"/>
        <v xml:space="preserve"> - </v>
      </c>
      <c r="AB89" s="180" t="str">
        <f t="shared" si="5"/>
        <v xml:space="preserve"> - </v>
      </c>
      <c r="AC89" s="180" t="str">
        <f t="shared" si="6"/>
        <v xml:space="preserve"> - </v>
      </c>
      <c r="AD89" s="182" t="str">
        <f t="shared" si="9"/>
        <v xml:space="preserve"> - </v>
      </c>
      <c r="AE89" s="184">
        <f t="shared" si="7"/>
        <v>0</v>
      </c>
      <c r="AF89" s="186">
        <f t="shared" si="8"/>
        <v>0</v>
      </c>
      <c r="AG89" s="188" t="str">
        <f t="array" ref="AG89" xml:space="preserve"> IFERROR( IF( D89="", "-", _xlfn.AGGREGATE(15,6, ( ( ($D$21:$D$27 = D89) * IF($D$19&lt;&gt;"", --($E$21:$E$27 = E89), 1) * IF($H$19&lt;&gt;"", --($F$21:$F$27 = F89), 1)  ) / ( ( $D$21:$D$27 = D89) * IF($D$19&lt;&gt;"", --($E$21:$E$27 = E89), 1)  * IF($H$19&lt;&gt;"", --($F$21:$F$27 = F89), 1) ) ) * $AF$21:$AF$27,1)    ), "-")</f>
        <v>-</v>
      </c>
      <c r="BB89"/>
    </row>
    <row r="90" spans="2:57" ht="15" customHeight="1" x14ac:dyDescent="0.25">
      <c r="B90" s="158" t="s">
        <v>326</v>
      </c>
      <c r="C90" s="195"/>
      <c r="D90" s="189" t="s">
        <v>783</v>
      </c>
      <c r="E90" s="160" t="s">
        <v>692</v>
      </c>
      <c r="F90" s="162" t="s">
        <v>627</v>
      </c>
      <c r="G90" s="163"/>
      <c r="H90" s="163"/>
      <c r="I90" s="195" t="s">
        <v>1019</v>
      </c>
      <c r="J90" s="195"/>
      <c r="K90" s="167"/>
      <c r="L90" s="168"/>
      <c r="M90" s="167" t="s">
        <v>70</v>
      </c>
      <c r="N90" s="167"/>
      <c r="O90" s="210"/>
      <c r="P90" s="201" t="s">
        <v>912</v>
      </c>
      <c r="Q90" s="169"/>
      <c r="R90" s="158"/>
      <c r="S90" s="195"/>
      <c r="T90" s="162"/>
      <c r="U90" s="164"/>
      <c r="V90" s="165"/>
      <c r="W90" s="166"/>
      <c r="X90" s="172"/>
      <c r="Y90" s="174"/>
      <c r="Z90" s="176"/>
      <c r="AA90" s="178" t="str">
        <f t="shared" ref="AA90:AA153" si="10">IF( ISNUMBER($U90), $U90, IF( ISNUMBER($T90), $T90 * IF( $V90="", 1,  $V90),            IF( ISNUMBER($V90), $V90 * IF( $W90="", 1,  $W90), " - ")           ) )</f>
        <v xml:space="preserve"> - </v>
      </c>
      <c r="AB90" s="180" t="str">
        <f t="shared" ref="AB90:AB153" si="11">IF( ISNUMBER($V90), $V90, IF( ISNUMBER($U90), $U90 / IF( $W90 &lt;&gt;"",  $W90, 1), " - ") )</f>
        <v xml:space="preserve"> - </v>
      </c>
      <c r="AC90" s="180" t="str">
        <f t="shared" ref="AC90:AC153" si="12">IF($L90&gt;0,$AB90/$L90, " - " )</f>
        <v xml:space="preserve"> - </v>
      </c>
      <c r="AD90" s="182" t="str">
        <f t="shared" si="9"/>
        <v xml:space="preserve"> - </v>
      </c>
      <c r="AE90" s="184">
        <f t="shared" ref="AE90:AE153" si="13">IFERROR(   (IF(ISNUMBER( $U90 ), $U90, IF( ISNUMBER( $V90 ),$V90, 0 ) ) + $X90 ) /  (  IF(ISNUMBER( $W90), $W90, 1) * IF(ISNUMBER( $L90), $L90, 1) ), "-")</f>
        <v>0</v>
      </c>
      <c r="AF90" s="186">
        <f t="shared" si="8"/>
        <v>0</v>
      </c>
      <c r="AG90" s="188" t="str">
        <f t="array" ref="AG90" xml:space="preserve"> IFERROR( IF( D90="", "-", _xlfn.AGGREGATE(15,6, ( ( ($D$21:$D$27 = D90) * IF($D$19&lt;&gt;"", --($E$21:$E$27 = E90), 1) * IF($H$19&lt;&gt;"", --($F$21:$F$27 = F90), 1)  ) / ( ( $D$21:$D$27 = D90) * IF($D$19&lt;&gt;"", --($E$21:$E$27 = E90), 1)  * IF($H$19&lt;&gt;"", --($F$21:$F$27 = F90), 1) ) ) * $AF$21:$AF$27,1)    ), "-")</f>
        <v>-</v>
      </c>
      <c r="BB90"/>
    </row>
    <row r="91" spans="2:57" ht="15" customHeight="1" x14ac:dyDescent="0.25">
      <c r="B91" s="158" t="s">
        <v>327</v>
      </c>
      <c r="C91" s="195"/>
      <c r="D91" s="189" t="s">
        <v>783</v>
      </c>
      <c r="E91" s="160" t="s">
        <v>692</v>
      </c>
      <c r="F91" s="162" t="s">
        <v>628</v>
      </c>
      <c r="G91" s="163"/>
      <c r="H91" s="163"/>
      <c r="I91" s="195" t="s">
        <v>1019</v>
      </c>
      <c r="J91" s="195"/>
      <c r="K91" s="167"/>
      <c r="L91" s="168"/>
      <c r="M91" s="167" t="s">
        <v>70</v>
      </c>
      <c r="N91" s="167"/>
      <c r="O91" s="210"/>
      <c r="P91" s="201" t="s">
        <v>912</v>
      </c>
      <c r="Q91" s="169"/>
      <c r="R91" s="158"/>
      <c r="S91" s="195"/>
      <c r="T91" s="162"/>
      <c r="U91" s="164"/>
      <c r="V91" s="165"/>
      <c r="W91" s="166"/>
      <c r="X91" s="172"/>
      <c r="Y91" s="174"/>
      <c r="Z91" s="176"/>
      <c r="AA91" s="178" t="str">
        <f t="shared" si="10"/>
        <v xml:space="preserve"> - </v>
      </c>
      <c r="AB91" s="180" t="str">
        <f t="shared" si="11"/>
        <v xml:space="preserve"> - </v>
      </c>
      <c r="AC91" s="180" t="str">
        <f t="shared" si="12"/>
        <v xml:space="preserve"> - </v>
      </c>
      <c r="AD91" s="182" t="str">
        <f t="shared" si="9"/>
        <v xml:space="preserve"> - </v>
      </c>
      <c r="AE91" s="184">
        <f t="shared" si="13"/>
        <v>0</v>
      </c>
      <c r="AF91" s="186">
        <f t="shared" si="8"/>
        <v>0</v>
      </c>
      <c r="AG91" s="188" t="str">
        <f t="array" ref="AG91" xml:space="preserve"> IFERROR( IF( D91="", "-", _xlfn.AGGREGATE(15,6, ( ( ($D$21:$D$27 = D91) * IF($D$19&lt;&gt;"", --($E$21:$E$27 = E91), 1) * IF($H$19&lt;&gt;"", --($F$21:$F$27 = F91), 1)  ) / ( ( $D$21:$D$27 = D91) * IF($D$19&lt;&gt;"", --($E$21:$E$27 = E91), 1)  * IF($H$19&lt;&gt;"", --($F$21:$F$27 = F91), 1) ) ) * $AF$21:$AF$27,1)    ), "-")</f>
        <v>-</v>
      </c>
      <c r="BB91"/>
    </row>
    <row r="92" spans="2:57" ht="15" customHeight="1" x14ac:dyDescent="0.25">
      <c r="B92" s="158" t="s">
        <v>328</v>
      </c>
      <c r="C92" s="195"/>
      <c r="D92" s="189" t="s">
        <v>783</v>
      </c>
      <c r="E92" s="160" t="s">
        <v>692</v>
      </c>
      <c r="F92" s="162" t="s">
        <v>629</v>
      </c>
      <c r="G92" s="163"/>
      <c r="H92" s="163"/>
      <c r="I92" s="195" t="s">
        <v>1019</v>
      </c>
      <c r="J92" s="195"/>
      <c r="K92" s="167"/>
      <c r="L92" s="168"/>
      <c r="M92" s="167" t="s">
        <v>70</v>
      </c>
      <c r="N92" s="167"/>
      <c r="O92" s="210"/>
      <c r="P92" s="201" t="s">
        <v>912</v>
      </c>
      <c r="Q92" s="169"/>
      <c r="R92" s="158"/>
      <c r="S92" s="195"/>
      <c r="T92" s="162"/>
      <c r="U92" s="164"/>
      <c r="V92" s="165"/>
      <c r="W92" s="166"/>
      <c r="X92" s="172"/>
      <c r="Y92" s="174"/>
      <c r="Z92" s="176"/>
      <c r="AA92" s="178" t="str">
        <f t="shared" si="10"/>
        <v xml:space="preserve"> - </v>
      </c>
      <c r="AB92" s="180" t="str">
        <f t="shared" si="11"/>
        <v xml:space="preserve"> - </v>
      </c>
      <c r="AC92" s="180" t="str">
        <f t="shared" si="12"/>
        <v xml:space="preserve"> - </v>
      </c>
      <c r="AD92" s="182" t="str">
        <f t="shared" si="9"/>
        <v xml:space="preserve"> - </v>
      </c>
      <c r="AE92" s="184">
        <f t="shared" si="13"/>
        <v>0</v>
      </c>
      <c r="AF92" s="186">
        <f t="shared" si="8"/>
        <v>0</v>
      </c>
      <c r="AG92" s="188" t="str">
        <f t="array" ref="AG92" xml:space="preserve"> IFERROR( IF( D92="", "-", _xlfn.AGGREGATE(15,6, ( ( ($D$21:$D$27 = D92) * IF($D$19&lt;&gt;"", --($E$21:$E$27 = E92), 1) * IF($H$19&lt;&gt;"", --($F$21:$F$27 = F92), 1)  ) / ( ( $D$21:$D$27 = D92) * IF($D$19&lt;&gt;"", --($E$21:$E$27 = E92), 1)  * IF($H$19&lt;&gt;"", --($F$21:$F$27 = F92), 1) ) ) * $AF$21:$AF$27,1)    ), "-")</f>
        <v>-</v>
      </c>
      <c r="BB92"/>
    </row>
    <row r="93" spans="2:57" ht="15" customHeight="1" x14ac:dyDescent="0.25">
      <c r="B93" s="158" t="s">
        <v>329</v>
      </c>
      <c r="C93" s="195"/>
      <c r="D93" s="189" t="s">
        <v>783</v>
      </c>
      <c r="E93" s="160" t="s">
        <v>692</v>
      </c>
      <c r="F93" s="162" t="s">
        <v>630</v>
      </c>
      <c r="G93" s="163"/>
      <c r="H93" s="163"/>
      <c r="I93" s="195" t="s">
        <v>1019</v>
      </c>
      <c r="J93" s="195"/>
      <c r="K93" s="167"/>
      <c r="L93" s="168"/>
      <c r="M93" s="167" t="s">
        <v>70</v>
      </c>
      <c r="N93" s="167"/>
      <c r="O93" s="210"/>
      <c r="P93" s="201" t="s">
        <v>912</v>
      </c>
      <c r="Q93" s="169"/>
      <c r="R93" s="158"/>
      <c r="S93" s="195"/>
      <c r="T93" s="162"/>
      <c r="U93" s="164"/>
      <c r="V93" s="165"/>
      <c r="W93" s="166"/>
      <c r="X93" s="172"/>
      <c r="Y93" s="174"/>
      <c r="Z93" s="176"/>
      <c r="AA93" s="178" t="str">
        <f t="shared" si="10"/>
        <v xml:space="preserve"> - </v>
      </c>
      <c r="AB93" s="180" t="str">
        <f t="shared" si="11"/>
        <v xml:space="preserve"> - </v>
      </c>
      <c r="AC93" s="180" t="str">
        <f t="shared" si="12"/>
        <v xml:space="preserve"> - </v>
      </c>
      <c r="AD93" s="182" t="str">
        <f t="shared" si="9"/>
        <v xml:space="preserve"> - </v>
      </c>
      <c r="AE93" s="184">
        <f t="shared" si="13"/>
        <v>0</v>
      </c>
      <c r="AF93" s="186">
        <f t="shared" si="8"/>
        <v>0</v>
      </c>
      <c r="AG93" s="188" t="str">
        <f t="array" ref="AG93" xml:space="preserve"> IFERROR( IF( D93="", "-", _xlfn.AGGREGATE(15,6, ( ( ($D$21:$D$27 = D93) * IF($D$19&lt;&gt;"", --($E$21:$E$27 = E93), 1) * IF($H$19&lt;&gt;"", --($F$21:$F$27 = F93), 1)  ) / ( ( $D$21:$D$27 = D93) * IF($D$19&lt;&gt;"", --($E$21:$E$27 = E93), 1)  * IF($H$19&lt;&gt;"", --($F$21:$F$27 = F93), 1) ) ) * $AF$21:$AF$27,1)    ), "-")</f>
        <v>-</v>
      </c>
      <c r="BB93"/>
    </row>
    <row r="94" spans="2:57" ht="15" customHeight="1" x14ac:dyDescent="0.25">
      <c r="B94" s="158" t="s">
        <v>330</v>
      </c>
      <c r="C94" s="195"/>
      <c r="D94" s="189" t="s">
        <v>783</v>
      </c>
      <c r="E94" s="160" t="s">
        <v>692</v>
      </c>
      <c r="F94" s="162" t="s">
        <v>631</v>
      </c>
      <c r="G94" s="163"/>
      <c r="H94" s="163"/>
      <c r="I94" s="195" t="s">
        <v>1019</v>
      </c>
      <c r="J94" s="195"/>
      <c r="K94" s="167"/>
      <c r="L94" s="168"/>
      <c r="M94" s="167" t="s">
        <v>70</v>
      </c>
      <c r="N94" s="167"/>
      <c r="O94" s="210"/>
      <c r="P94" s="201" t="s">
        <v>912</v>
      </c>
      <c r="Q94" s="169"/>
      <c r="R94" s="158"/>
      <c r="S94" s="195"/>
      <c r="T94" s="162"/>
      <c r="U94" s="164"/>
      <c r="V94" s="165"/>
      <c r="W94" s="166"/>
      <c r="X94" s="172"/>
      <c r="Y94" s="174"/>
      <c r="Z94" s="176"/>
      <c r="AA94" s="178" t="str">
        <f t="shared" si="10"/>
        <v xml:space="preserve"> - </v>
      </c>
      <c r="AB94" s="180" t="str">
        <f t="shared" si="11"/>
        <v xml:space="preserve"> - </v>
      </c>
      <c r="AC94" s="180" t="str">
        <f t="shared" si="12"/>
        <v xml:space="preserve"> - </v>
      </c>
      <c r="AD94" s="182" t="str">
        <f t="shared" si="9"/>
        <v xml:space="preserve"> - </v>
      </c>
      <c r="AE94" s="184">
        <f t="shared" si="13"/>
        <v>0</v>
      </c>
      <c r="AF94" s="186">
        <f t="shared" si="8"/>
        <v>0</v>
      </c>
      <c r="AG94" s="188" t="str">
        <f t="array" ref="AG94" xml:space="preserve"> IFERROR( IF( D94="", "-", _xlfn.AGGREGATE(15,6, ( ( ($D$21:$D$27 = D94) * IF($D$19&lt;&gt;"", --($E$21:$E$27 = E94), 1) * IF($H$19&lt;&gt;"", --($F$21:$F$27 = F94), 1)  ) / ( ( $D$21:$D$27 = D94) * IF($D$19&lt;&gt;"", --($E$21:$E$27 = E94), 1)  * IF($H$19&lt;&gt;"", --($F$21:$F$27 = F94), 1) ) ) * $AF$21:$AF$27,1)    ), "-")</f>
        <v>-</v>
      </c>
      <c r="BB94"/>
    </row>
    <row r="95" spans="2:57" ht="15" customHeight="1" x14ac:dyDescent="0.25">
      <c r="B95" s="158" t="s">
        <v>331</v>
      </c>
      <c r="C95" s="195"/>
      <c r="D95" s="189" t="s">
        <v>783</v>
      </c>
      <c r="E95" s="160" t="s">
        <v>692</v>
      </c>
      <c r="F95" s="162" t="s">
        <v>632</v>
      </c>
      <c r="G95" s="163"/>
      <c r="H95" s="163"/>
      <c r="I95" s="195" t="s">
        <v>1019</v>
      </c>
      <c r="J95" s="195"/>
      <c r="K95" s="167"/>
      <c r="L95" s="168"/>
      <c r="M95" s="167" t="s">
        <v>70</v>
      </c>
      <c r="N95" s="167"/>
      <c r="O95" s="210"/>
      <c r="P95" s="201" t="s">
        <v>912</v>
      </c>
      <c r="Q95" s="169"/>
      <c r="R95" s="158"/>
      <c r="S95" s="195"/>
      <c r="T95" s="162"/>
      <c r="U95" s="164"/>
      <c r="V95" s="165"/>
      <c r="W95" s="166"/>
      <c r="X95" s="172"/>
      <c r="Y95" s="174"/>
      <c r="Z95" s="176"/>
      <c r="AA95" s="178" t="str">
        <f t="shared" si="10"/>
        <v xml:space="preserve"> - </v>
      </c>
      <c r="AB95" s="180" t="str">
        <f t="shared" si="11"/>
        <v xml:space="preserve"> - </v>
      </c>
      <c r="AC95" s="180" t="str">
        <f t="shared" si="12"/>
        <v xml:space="preserve"> - </v>
      </c>
      <c r="AD95" s="182" t="str">
        <f t="shared" si="9"/>
        <v xml:space="preserve"> - </v>
      </c>
      <c r="AE95" s="184">
        <f t="shared" si="13"/>
        <v>0</v>
      </c>
      <c r="AF95" s="186">
        <f t="shared" si="8"/>
        <v>0</v>
      </c>
      <c r="AG95" s="188" t="str">
        <f t="array" ref="AG95" xml:space="preserve"> IFERROR( IF( D95="", "-", _xlfn.AGGREGATE(15,6, ( ( ($D$21:$D$27 = D95) * IF($D$19&lt;&gt;"", --($E$21:$E$27 = E95), 1) * IF($H$19&lt;&gt;"", --($F$21:$F$27 = F95), 1)  ) / ( ( $D$21:$D$27 = D95) * IF($D$19&lt;&gt;"", --($E$21:$E$27 = E95), 1)  * IF($H$19&lt;&gt;"", --($F$21:$F$27 = F95), 1) ) ) * $AF$21:$AF$27,1)    ), "-")</f>
        <v>-</v>
      </c>
      <c r="BB95"/>
    </row>
    <row r="96" spans="2:57" ht="15" customHeight="1" x14ac:dyDescent="0.25">
      <c r="B96" s="158" t="s">
        <v>332</v>
      </c>
      <c r="C96" s="158"/>
      <c r="D96" s="162" t="s">
        <v>784</v>
      </c>
      <c r="E96" s="160"/>
      <c r="F96" s="162"/>
      <c r="G96" s="163"/>
      <c r="H96" s="163"/>
      <c r="I96" s="158"/>
      <c r="J96" s="158"/>
      <c r="K96" s="167"/>
      <c r="L96" s="168"/>
      <c r="M96" s="167" t="s">
        <v>134</v>
      </c>
      <c r="N96" s="167"/>
      <c r="O96" s="210"/>
      <c r="P96" s="201" t="s">
        <v>111</v>
      </c>
      <c r="Q96" s="169"/>
      <c r="R96" s="158"/>
      <c r="S96" s="158"/>
      <c r="T96" s="162"/>
      <c r="U96" s="164"/>
      <c r="V96" s="165"/>
      <c r="W96" s="166"/>
      <c r="X96" s="172"/>
      <c r="Y96" s="174"/>
      <c r="Z96" s="176"/>
      <c r="AA96" s="178" t="str">
        <f t="shared" si="10"/>
        <v xml:space="preserve"> - </v>
      </c>
      <c r="AB96" s="180" t="str">
        <f t="shared" si="11"/>
        <v xml:space="preserve"> - </v>
      </c>
      <c r="AC96" s="180" t="str">
        <f t="shared" si="12"/>
        <v xml:space="preserve"> - </v>
      </c>
      <c r="AD96" s="182" t="str">
        <f t="shared" si="9"/>
        <v xml:space="preserve"> - </v>
      </c>
      <c r="AE96" s="184">
        <f t="shared" si="13"/>
        <v>0</v>
      </c>
      <c r="AF96" s="186">
        <f t="shared" si="8"/>
        <v>0</v>
      </c>
      <c r="AG96" s="188" t="str">
        <f t="array" ref="AG96" xml:space="preserve"> IFERROR( IF( D96="", "-", _xlfn.AGGREGATE(15,6, ( ( ($D$21:$D$27 = D96) * IF($D$19&lt;&gt;"", --($E$21:$E$27 = E96), 1) * IF($H$19&lt;&gt;"", --($F$21:$F$27 = F96), 1)  ) / ( ( $D$21:$D$27 = D96) * IF($D$19&lt;&gt;"", --($E$21:$E$27 = E96), 1)  * IF($H$19&lt;&gt;"", --($F$21:$F$27 = F96), 1) ) ) * $AF$21:$AF$27,1)    ), "-")</f>
        <v>-</v>
      </c>
      <c r="BB96"/>
    </row>
    <row r="97" spans="2:57" ht="15" customHeight="1" x14ac:dyDescent="0.25">
      <c r="B97" s="158" t="s">
        <v>333</v>
      </c>
      <c r="C97" s="195"/>
      <c r="D97" s="162" t="s">
        <v>785</v>
      </c>
      <c r="E97" s="160"/>
      <c r="F97" s="162"/>
      <c r="G97" s="163"/>
      <c r="H97" s="163"/>
      <c r="I97" s="195" t="s">
        <v>1019</v>
      </c>
      <c r="J97" s="195"/>
      <c r="K97" s="167"/>
      <c r="L97" s="168"/>
      <c r="M97" s="167" t="s">
        <v>112</v>
      </c>
      <c r="N97" s="167"/>
      <c r="O97" s="210"/>
      <c r="P97" s="201" t="s">
        <v>111</v>
      </c>
      <c r="Q97" s="169"/>
      <c r="R97" s="158"/>
      <c r="S97" s="195"/>
      <c r="T97" s="162"/>
      <c r="U97" s="164"/>
      <c r="V97" s="165"/>
      <c r="W97" s="166"/>
      <c r="X97" s="172"/>
      <c r="Y97" s="174"/>
      <c r="Z97" s="176"/>
      <c r="AA97" s="178" t="str">
        <f t="shared" si="10"/>
        <v xml:space="preserve"> - </v>
      </c>
      <c r="AB97" s="180" t="str">
        <f t="shared" si="11"/>
        <v xml:space="preserve"> - </v>
      </c>
      <c r="AC97" s="180" t="str">
        <f t="shared" si="12"/>
        <v xml:space="preserve"> - </v>
      </c>
      <c r="AD97" s="182" t="str">
        <f t="shared" si="9"/>
        <v xml:space="preserve"> - </v>
      </c>
      <c r="AE97" s="184">
        <f t="shared" si="13"/>
        <v>0</v>
      </c>
      <c r="AF97" s="186">
        <f t="shared" si="8"/>
        <v>0</v>
      </c>
      <c r="AG97" s="188" t="str">
        <f t="array" ref="AG97" xml:space="preserve"> IFERROR( IF( D97="", "-", _xlfn.AGGREGATE(15,6, ( ( ($D$21:$D$27 = D97) * IF($D$19&lt;&gt;"", --($E$21:$E$27 = E97), 1) * IF($H$19&lt;&gt;"", --($F$21:$F$27 = F97), 1)  ) / ( ( $D$21:$D$27 = D97) * IF($D$19&lt;&gt;"", --($E$21:$E$27 = E97), 1)  * IF($H$19&lt;&gt;"", --($F$21:$F$27 = F97), 1) ) ) * $AF$21:$AF$27,1)    ), "-")</f>
        <v>-</v>
      </c>
      <c r="BB97"/>
    </row>
    <row r="98" spans="2:57" ht="15" customHeight="1" x14ac:dyDescent="0.25">
      <c r="B98" s="158" t="s">
        <v>334</v>
      </c>
      <c r="C98" s="158"/>
      <c r="D98" s="162" t="s">
        <v>786</v>
      </c>
      <c r="E98" s="160"/>
      <c r="F98" s="162"/>
      <c r="G98" s="163"/>
      <c r="H98" s="163"/>
      <c r="I98" s="158"/>
      <c r="J98" s="158"/>
      <c r="K98" s="167"/>
      <c r="L98" s="168"/>
      <c r="M98" s="167" t="s">
        <v>909</v>
      </c>
      <c r="N98" s="167"/>
      <c r="O98" s="210"/>
      <c r="P98" s="201" t="s">
        <v>102</v>
      </c>
      <c r="Q98" s="169"/>
      <c r="R98" s="158"/>
      <c r="S98" s="158"/>
      <c r="T98" s="162"/>
      <c r="U98" s="164"/>
      <c r="V98" s="165"/>
      <c r="W98" s="166"/>
      <c r="X98" s="172"/>
      <c r="Y98" s="174"/>
      <c r="Z98" s="176"/>
      <c r="AA98" s="178" t="str">
        <f t="shared" si="10"/>
        <v xml:space="preserve"> - </v>
      </c>
      <c r="AB98" s="180" t="str">
        <f t="shared" si="11"/>
        <v xml:space="preserve"> - </v>
      </c>
      <c r="AC98" s="180" t="str">
        <f t="shared" si="12"/>
        <v xml:space="preserve"> - </v>
      </c>
      <c r="AD98" s="182" t="str">
        <f t="shared" si="9"/>
        <v xml:space="preserve"> - </v>
      </c>
      <c r="AE98" s="184">
        <f t="shared" si="13"/>
        <v>0</v>
      </c>
      <c r="AF98" s="186">
        <f t="shared" si="8"/>
        <v>0</v>
      </c>
      <c r="AG98" s="188" t="str">
        <f t="array" ref="AG98" xml:space="preserve"> IFERROR( IF( D98="", "-", _xlfn.AGGREGATE(15,6, ( ( ($D$21:$D$27 = D98) * IF($D$19&lt;&gt;"", --($E$21:$E$27 = E98), 1) * IF($H$19&lt;&gt;"", --($F$21:$F$27 = F98), 1)  ) / ( ( $D$21:$D$27 = D98) * IF($D$19&lt;&gt;"", --($E$21:$E$27 = E98), 1)  * IF($H$19&lt;&gt;"", --($F$21:$F$27 = F98), 1) ) ) * $AF$21:$AF$27,1)    ), "-")</f>
        <v>-</v>
      </c>
      <c r="BB98"/>
    </row>
    <row r="99" spans="2:57" ht="15" customHeight="1" x14ac:dyDescent="0.25">
      <c r="B99" s="158" t="s">
        <v>335</v>
      </c>
      <c r="C99" s="158"/>
      <c r="D99" s="162" t="s">
        <v>787</v>
      </c>
      <c r="E99" s="160"/>
      <c r="F99" s="162"/>
      <c r="G99" s="163"/>
      <c r="H99" s="163"/>
      <c r="I99" s="158"/>
      <c r="J99" s="158"/>
      <c r="K99" s="167"/>
      <c r="L99" s="168"/>
      <c r="M99" s="167" t="s">
        <v>909</v>
      </c>
      <c r="N99" s="167"/>
      <c r="O99" s="210"/>
      <c r="P99" s="201" t="s">
        <v>102</v>
      </c>
      <c r="Q99" s="169"/>
      <c r="R99" s="158"/>
      <c r="S99" s="158"/>
      <c r="T99" s="162"/>
      <c r="U99" s="164"/>
      <c r="V99" s="165"/>
      <c r="W99" s="166"/>
      <c r="X99" s="172"/>
      <c r="Y99" s="174"/>
      <c r="Z99" s="176"/>
      <c r="AA99" s="178" t="str">
        <f t="shared" si="10"/>
        <v xml:space="preserve"> - </v>
      </c>
      <c r="AB99" s="180" t="str">
        <f t="shared" si="11"/>
        <v xml:space="preserve"> - </v>
      </c>
      <c r="AC99" s="180" t="str">
        <f t="shared" si="12"/>
        <v xml:space="preserve"> - </v>
      </c>
      <c r="AD99" s="182" t="str">
        <f t="shared" si="9"/>
        <v xml:space="preserve"> - </v>
      </c>
      <c r="AE99" s="184">
        <f t="shared" si="13"/>
        <v>0</v>
      </c>
      <c r="AF99" s="186">
        <f t="shared" si="8"/>
        <v>0</v>
      </c>
      <c r="AG99" s="188" t="str">
        <f t="array" ref="AG99" xml:space="preserve"> IFERROR( IF( D99="", "-", _xlfn.AGGREGATE(15,6, ( ( ($D$21:$D$27 = D99) * IF($D$19&lt;&gt;"", --($E$21:$E$27 = E99), 1) * IF($H$19&lt;&gt;"", --($F$21:$F$27 = F99), 1)  ) / ( ( $D$21:$D$27 = D99) * IF($D$19&lt;&gt;"", --($E$21:$E$27 = E99), 1)  * IF($H$19&lt;&gt;"", --($F$21:$F$27 = F99), 1) ) ) * $AF$21:$AF$27,1)    ), "-")</f>
        <v>-</v>
      </c>
      <c r="BB99"/>
    </row>
    <row r="100" spans="2:57" ht="15" customHeight="1" x14ac:dyDescent="0.25">
      <c r="B100" s="158" t="s">
        <v>336</v>
      </c>
      <c r="C100" s="158"/>
      <c r="D100" s="162" t="s">
        <v>788</v>
      </c>
      <c r="E100" s="160"/>
      <c r="F100" s="162"/>
      <c r="G100" s="163"/>
      <c r="H100" s="163"/>
      <c r="I100" s="158"/>
      <c r="J100" s="158"/>
      <c r="K100" s="167"/>
      <c r="L100" s="168"/>
      <c r="M100" s="167" t="s">
        <v>909</v>
      </c>
      <c r="N100" s="167"/>
      <c r="O100" s="210"/>
      <c r="P100" s="201" t="s">
        <v>102</v>
      </c>
      <c r="Q100" s="169"/>
      <c r="R100" s="158"/>
      <c r="S100" s="158"/>
      <c r="T100" s="162"/>
      <c r="U100" s="164"/>
      <c r="V100" s="165"/>
      <c r="W100" s="166"/>
      <c r="X100" s="172"/>
      <c r="Y100" s="174"/>
      <c r="Z100" s="176"/>
      <c r="AA100" s="178" t="str">
        <f t="shared" si="10"/>
        <v xml:space="preserve"> - </v>
      </c>
      <c r="AB100" s="180" t="str">
        <f t="shared" si="11"/>
        <v xml:space="preserve"> - </v>
      </c>
      <c r="AC100" s="180" t="str">
        <f t="shared" si="12"/>
        <v xml:space="preserve"> - </v>
      </c>
      <c r="AD100" s="182" t="str">
        <f t="shared" si="9"/>
        <v xml:space="preserve"> - </v>
      </c>
      <c r="AE100" s="184">
        <f t="shared" si="13"/>
        <v>0</v>
      </c>
      <c r="AF100" s="186">
        <f t="shared" si="8"/>
        <v>0</v>
      </c>
      <c r="AG100" s="188" t="str">
        <f t="array" ref="AG100" xml:space="preserve"> IFERROR( IF( D100="", "-", _xlfn.AGGREGATE(15,6, ( ( ($D$21:$D$27 = D100) * IF($D$19&lt;&gt;"", --($E$21:$E$27 = E100), 1) * IF($H$19&lt;&gt;"", --($F$21:$F$27 = F100), 1)  ) / ( ( $D$21:$D$27 = D100) * IF($D$19&lt;&gt;"", --($E$21:$E$27 = E100), 1)  * IF($H$19&lt;&gt;"", --($F$21:$F$27 = F100), 1) ) ) * $AF$21:$AF$27,1)    ), "-")</f>
        <v>-</v>
      </c>
      <c r="BB100"/>
    </row>
    <row r="101" spans="2:57" ht="15" customHeight="1" x14ac:dyDescent="0.25">
      <c r="B101" s="158" t="s">
        <v>337</v>
      </c>
      <c r="C101" s="158"/>
      <c r="D101" s="162" t="s">
        <v>789</v>
      </c>
      <c r="E101" s="160"/>
      <c r="F101" s="162"/>
      <c r="G101" s="163"/>
      <c r="H101" s="163"/>
      <c r="I101" s="158"/>
      <c r="J101" s="158"/>
      <c r="K101" s="167"/>
      <c r="L101" s="168"/>
      <c r="M101" s="167" t="s">
        <v>909</v>
      </c>
      <c r="N101" s="167"/>
      <c r="O101" s="210"/>
      <c r="P101" s="201" t="s">
        <v>102</v>
      </c>
      <c r="Q101" s="169"/>
      <c r="R101" s="158"/>
      <c r="S101" s="158"/>
      <c r="T101" s="162"/>
      <c r="U101" s="164"/>
      <c r="V101" s="165"/>
      <c r="W101" s="166"/>
      <c r="X101" s="172"/>
      <c r="Y101" s="174"/>
      <c r="Z101" s="176"/>
      <c r="AA101" s="178" t="str">
        <f t="shared" si="10"/>
        <v xml:space="preserve"> - </v>
      </c>
      <c r="AB101" s="180" t="str">
        <f t="shared" si="11"/>
        <v xml:space="preserve"> - </v>
      </c>
      <c r="AC101" s="180" t="str">
        <f t="shared" si="12"/>
        <v xml:space="preserve"> - </v>
      </c>
      <c r="AD101" s="182" t="str">
        <f t="shared" si="9"/>
        <v xml:space="preserve"> - </v>
      </c>
      <c r="AE101" s="184">
        <f t="shared" si="13"/>
        <v>0</v>
      </c>
      <c r="AF101" s="186">
        <f t="shared" si="8"/>
        <v>0</v>
      </c>
      <c r="AG101" s="188" t="str">
        <f t="array" ref="AG101" xml:space="preserve"> IFERROR( IF( D101="", "-", _xlfn.AGGREGATE(15,6, ( ( ($D$21:$D$27 = D101) * IF($D$19&lt;&gt;"", --($E$21:$E$27 = E101), 1) * IF($H$19&lt;&gt;"", --($F$21:$F$27 = F101), 1)  ) / ( ( $D$21:$D$27 = D101) * IF($D$19&lt;&gt;"", --($E$21:$E$27 = E101), 1)  * IF($H$19&lt;&gt;"", --($F$21:$F$27 = F101), 1) ) ) * $AF$21:$AF$27,1)    ), "-")</f>
        <v>-</v>
      </c>
      <c r="BB101"/>
    </row>
    <row r="102" spans="2:57" ht="15" customHeight="1" x14ac:dyDescent="0.25">
      <c r="B102" s="158" t="s">
        <v>338</v>
      </c>
      <c r="C102" s="158"/>
      <c r="D102" s="162" t="s">
        <v>790</v>
      </c>
      <c r="E102" s="160"/>
      <c r="F102" s="162"/>
      <c r="G102" s="163"/>
      <c r="H102" s="163"/>
      <c r="I102" s="158"/>
      <c r="J102" s="158"/>
      <c r="K102" s="167"/>
      <c r="L102" s="168"/>
      <c r="M102" s="167" t="s">
        <v>134</v>
      </c>
      <c r="N102" s="167"/>
      <c r="O102" s="210"/>
      <c r="P102" s="201" t="s">
        <v>102</v>
      </c>
      <c r="Q102" s="169"/>
      <c r="R102" s="158"/>
      <c r="S102" s="158"/>
      <c r="T102" s="162"/>
      <c r="U102" s="164"/>
      <c r="V102" s="165"/>
      <c r="W102" s="166"/>
      <c r="X102" s="172"/>
      <c r="Y102" s="174"/>
      <c r="Z102" s="176"/>
      <c r="AA102" s="178" t="str">
        <f t="shared" si="10"/>
        <v xml:space="preserve"> - </v>
      </c>
      <c r="AB102" s="180" t="str">
        <f t="shared" si="11"/>
        <v xml:space="preserve"> - </v>
      </c>
      <c r="AC102" s="180" t="str">
        <f t="shared" si="12"/>
        <v xml:space="preserve"> - </v>
      </c>
      <c r="AD102" s="182" t="str">
        <f t="shared" si="9"/>
        <v xml:space="preserve"> - </v>
      </c>
      <c r="AE102" s="184">
        <f t="shared" si="13"/>
        <v>0</v>
      </c>
      <c r="AF102" s="186">
        <f t="shared" si="8"/>
        <v>0</v>
      </c>
      <c r="AG102" s="188" t="str">
        <f t="array" ref="AG102" xml:space="preserve"> IFERROR( IF( D102="", "-", _xlfn.AGGREGATE(15,6, ( ( ($D$21:$D$27 = D102) * IF($D$19&lt;&gt;"", --($E$21:$E$27 = E102), 1) * IF($H$19&lt;&gt;"", --($F$21:$F$27 = F102), 1)  ) / ( ( $D$21:$D$27 = D102) * IF($D$19&lt;&gt;"", --($E$21:$E$27 = E102), 1)  * IF($H$19&lt;&gt;"", --($F$21:$F$27 = F102), 1) ) ) * $AF$21:$AF$27,1)    ), "-")</f>
        <v>-</v>
      </c>
      <c r="BB102"/>
    </row>
    <row r="103" spans="2:57" ht="15" customHeight="1" x14ac:dyDescent="0.25">
      <c r="B103" s="158" t="s">
        <v>339</v>
      </c>
      <c r="C103" s="195"/>
      <c r="D103" s="189" t="s">
        <v>791</v>
      </c>
      <c r="E103" s="160"/>
      <c r="F103" s="162" t="s">
        <v>633</v>
      </c>
      <c r="G103" s="163"/>
      <c r="H103" s="163"/>
      <c r="I103" s="195" t="s">
        <v>1019</v>
      </c>
      <c r="J103" s="195"/>
      <c r="K103" s="167"/>
      <c r="L103" s="168"/>
      <c r="M103" s="167" t="s">
        <v>70</v>
      </c>
      <c r="N103" s="167"/>
      <c r="O103" s="210"/>
      <c r="P103" s="201" t="s">
        <v>912</v>
      </c>
      <c r="Q103" s="169"/>
      <c r="R103" s="158"/>
      <c r="S103" s="195"/>
      <c r="T103" s="162"/>
      <c r="U103" s="164"/>
      <c r="V103" s="165"/>
      <c r="W103" s="166"/>
      <c r="X103" s="172"/>
      <c r="Y103" s="174"/>
      <c r="Z103" s="176"/>
      <c r="AA103" s="178" t="str">
        <f t="shared" si="10"/>
        <v xml:space="preserve"> - </v>
      </c>
      <c r="AB103" s="180" t="str">
        <f t="shared" si="11"/>
        <v xml:space="preserve"> - </v>
      </c>
      <c r="AC103" s="180" t="str">
        <f t="shared" si="12"/>
        <v xml:space="preserve"> - </v>
      </c>
      <c r="AD103" s="182" t="str">
        <f t="shared" si="9"/>
        <v xml:space="preserve"> - </v>
      </c>
      <c r="AE103" s="184">
        <f t="shared" si="13"/>
        <v>0</v>
      </c>
      <c r="AF103" s="186">
        <f t="shared" si="8"/>
        <v>0</v>
      </c>
      <c r="AG103" s="188" t="str">
        <f t="array" ref="AG103" xml:space="preserve"> IFERROR( IF( D103="", "-", _xlfn.AGGREGATE(15,6, ( ( ($D$21:$D$27 = D103) * IF($D$19&lt;&gt;"", --($E$21:$E$27 = E103), 1) * IF($H$19&lt;&gt;"", --($F$21:$F$27 = F103), 1)  ) / ( ( $D$21:$D$27 = D103) * IF($D$19&lt;&gt;"", --($E$21:$E$27 = E103), 1)  * IF($H$19&lt;&gt;"", --($F$21:$F$27 = F103), 1) ) ) * $AF$21:$AF$27,1)    ), "-")</f>
        <v>-</v>
      </c>
      <c r="BB103"/>
    </row>
    <row r="104" spans="2:57" ht="15" customHeight="1" x14ac:dyDescent="0.25">
      <c r="B104" s="158" t="s">
        <v>340</v>
      </c>
      <c r="C104" s="195"/>
      <c r="D104" s="189" t="s">
        <v>791</v>
      </c>
      <c r="E104" s="160"/>
      <c r="F104" s="162" t="s">
        <v>634</v>
      </c>
      <c r="G104" s="163"/>
      <c r="H104" s="163"/>
      <c r="I104" s="195" t="s">
        <v>1019</v>
      </c>
      <c r="J104" s="195"/>
      <c r="K104" s="167"/>
      <c r="L104" s="168"/>
      <c r="M104" s="167" t="s">
        <v>70</v>
      </c>
      <c r="N104" s="167"/>
      <c r="O104" s="210"/>
      <c r="P104" s="201" t="s">
        <v>912</v>
      </c>
      <c r="Q104" s="169"/>
      <c r="R104" s="158"/>
      <c r="S104" s="195"/>
      <c r="T104" s="162"/>
      <c r="U104" s="164"/>
      <c r="V104" s="165"/>
      <c r="W104" s="166"/>
      <c r="X104" s="172"/>
      <c r="Y104" s="174"/>
      <c r="Z104" s="176"/>
      <c r="AA104" s="178" t="str">
        <f t="shared" si="10"/>
        <v xml:space="preserve"> - </v>
      </c>
      <c r="AB104" s="180" t="str">
        <f t="shared" si="11"/>
        <v xml:space="preserve"> - </v>
      </c>
      <c r="AC104" s="180" t="str">
        <f t="shared" si="12"/>
        <v xml:space="preserve"> - </v>
      </c>
      <c r="AD104" s="182" t="str">
        <f t="shared" si="9"/>
        <v xml:space="preserve"> - </v>
      </c>
      <c r="AE104" s="184">
        <f t="shared" si="13"/>
        <v>0</v>
      </c>
      <c r="AF104" s="186">
        <f t="shared" si="8"/>
        <v>0</v>
      </c>
      <c r="AG104" s="188" t="str">
        <f t="array" ref="AG104" xml:space="preserve"> IFERROR( IF( D104="", "-", _xlfn.AGGREGATE(15,6, ( ( ($D$21:$D$27 = D104) * IF($D$19&lt;&gt;"", --($E$21:$E$27 = E104), 1) * IF($H$19&lt;&gt;"", --($F$21:$F$27 = F104), 1)  ) / ( ( $D$21:$D$27 = D104) * IF($D$19&lt;&gt;"", --($E$21:$E$27 = E104), 1)  * IF($H$19&lt;&gt;"", --($F$21:$F$27 = F104), 1) ) ) * $AF$21:$AF$27,1)    ), "-")</f>
        <v>-</v>
      </c>
      <c r="BB104"/>
    </row>
    <row r="105" spans="2:57" ht="15" customHeight="1" x14ac:dyDescent="0.25">
      <c r="B105" s="158" t="s">
        <v>341</v>
      </c>
      <c r="C105" s="195"/>
      <c r="D105" s="189" t="s">
        <v>791</v>
      </c>
      <c r="E105" s="160"/>
      <c r="F105" s="189" t="s">
        <v>635</v>
      </c>
      <c r="G105" s="163"/>
      <c r="H105" s="163"/>
      <c r="I105" s="195" t="s">
        <v>1019</v>
      </c>
      <c r="J105" s="195"/>
      <c r="K105" s="167"/>
      <c r="L105" s="168"/>
      <c r="M105" s="167" t="s">
        <v>70</v>
      </c>
      <c r="N105" s="167"/>
      <c r="O105" s="210"/>
      <c r="P105" s="201" t="s">
        <v>912</v>
      </c>
      <c r="Q105" s="169"/>
      <c r="R105" s="158"/>
      <c r="S105" s="195"/>
      <c r="T105" s="162"/>
      <c r="U105" s="164"/>
      <c r="V105" s="165"/>
      <c r="W105" s="166"/>
      <c r="X105" s="172"/>
      <c r="Y105" s="174"/>
      <c r="Z105" s="176"/>
      <c r="AA105" s="178" t="str">
        <f t="shared" si="10"/>
        <v xml:space="preserve"> - </v>
      </c>
      <c r="AB105" s="180" t="str">
        <f t="shared" si="11"/>
        <v xml:space="preserve"> - </v>
      </c>
      <c r="AC105" s="180" t="str">
        <f t="shared" si="12"/>
        <v xml:space="preserve"> - </v>
      </c>
      <c r="AD105" s="182" t="str">
        <f t="shared" si="9"/>
        <v xml:space="preserve"> - </v>
      </c>
      <c r="AE105" s="184">
        <f t="shared" si="13"/>
        <v>0</v>
      </c>
      <c r="AF105" s="186">
        <f t="shared" si="8"/>
        <v>0</v>
      </c>
      <c r="AG105" s="188" t="str">
        <f t="array" ref="AG105" xml:space="preserve"> IFERROR( IF( D105="", "-", _xlfn.AGGREGATE(15,6, ( ( ($D$21:$D$27 = D105) * IF($D$19&lt;&gt;"", --($E$21:$E$27 = E105), 1) * IF($H$19&lt;&gt;"", --($F$21:$F$27 = F105), 1)  ) / ( ( $D$21:$D$27 = D105) * IF($D$19&lt;&gt;"", --($E$21:$E$27 = E105), 1)  * IF($H$19&lt;&gt;"", --($F$21:$F$27 = F105), 1) ) ) * $AF$21:$AF$27,1)    ), "-")</f>
        <v>-</v>
      </c>
      <c r="BB105"/>
    </row>
    <row r="106" spans="2:57" ht="15" customHeight="1" x14ac:dyDescent="0.25">
      <c r="B106" s="158" t="s">
        <v>342</v>
      </c>
      <c r="C106" s="195"/>
      <c r="D106" s="189" t="s">
        <v>791</v>
      </c>
      <c r="E106" s="160"/>
      <c r="F106" s="162" t="s">
        <v>636</v>
      </c>
      <c r="G106" s="163"/>
      <c r="H106" s="163"/>
      <c r="I106" s="195" t="s">
        <v>1019</v>
      </c>
      <c r="J106" s="195"/>
      <c r="K106" s="167"/>
      <c r="L106" s="168"/>
      <c r="M106" s="167" t="s">
        <v>70</v>
      </c>
      <c r="N106" s="167"/>
      <c r="O106" s="210"/>
      <c r="P106" s="201" t="s">
        <v>912</v>
      </c>
      <c r="Q106" s="169"/>
      <c r="R106" s="158"/>
      <c r="S106" s="195"/>
      <c r="T106" s="162"/>
      <c r="U106" s="164"/>
      <c r="V106" s="165"/>
      <c r="W106" s="166"/>
      <c r="X106" s="172"/>
      <c r="Y106" s="174"/>
      <c r="Z106" s="176"/>
      <c r="AA106" s="178" t="str">
        <f t="shared" si="10"/>
        <v xml:space="preserve"> - </v>
      </c>
      <c r="AB106" s="180" t="str">
        <f t="shared" si="11"/>
        <v xml:space="preserve"> - </v>
      </c>
      <c r="AC106" s="180" t="str">
        <f t="shared" si="12"/>
        <v xml:space="preserve"> - </v>
      </c>
      <c r="AD106" s="182" t="str">
        <f t="shared" si="9"/>
        <v xml:space="preserve"> - </v>
      </c>
      <c r="AE106" s="184">
        <f t="shared" si="13"/>
        <v>0</v>
      </c>
      <c r="AF106" s="186">
        <f t="shared" si="8"/>
        <v>0</v>
      </c>
      <c r="AG106" s="188" t="str">
        <f t="array" ref="AG106" xml:space="preserve"> IFERROR( IF( D106="", "-", _xlfn.AGGREGATE(15,6, ( ( ($D$21:$D$27 = D106) * IF($D$19&lt;&gt;"", --($E$21:$E$27 = E106), 1) * IF($H$19&lt;&gt;"", --($F$21:$F$27 = F106), 1)  ) / ( ( $D$21:$D$27 = D106) * IF($D$19&lt;&gt;"", --($E$21:$E$27 = E106), 1)  * IF($H$19&lt;&gt;"", --($F$21:$F$27 = F106), 1) ) ) * $AF$21:$AF$27,1)    ), "-")</f>
        <v>-</v>
      </c>
      <c r="BB106"/>
    </row>
    <row r="107" spans="2:57" x14ac:dyDescent="0.25">
      <c r="B107" s="158" t="s">
        <v>343</v>
      </c>
      <c r="C107" s="195"/>
      <c r="D107" s="189" t="s">
        <v>791</v>
      </c>
      <c r="E107" s="160"/>
      <c r="F107" s="162" t="s">
        <v>637</v>
      </c>
      <c r="G107" s="163"/>
      <c r="H107" s="163"/>
      <c r="I107" s="195" t="s">
        <v>1019</v>
      </c>
      <c r="J107" s="195"/>
      <c r="K107" s="167"/>
      <c r="L107" s="168"/>
      <c r="M107" s="167" t="s">
        <v>70</v>
      </c>
      <c r="N107" s="167"/>
      <c r="O107" s="210"/>
      <c r="P107" s="201" t="s">
        <v>912</v>
      </c>
      <c r="Q107" s="169"/>
      <c r="R107" s="158"/>
      <c r="S107" s="195"/>
      <c r="T107" s="162"/>
      <c r="U107" s="164"/>
      <c r="V107" s="165"/>
      <c r="W107" s="166"/>
      <c r="X107" s="172"/>
      <c r="Y107" s="174"/>
      <c r="Z107" s="176"/>
      <c r="AA107" s="178" t="str">
        <f t="shared" si="10"/>
        <v xml:space="preserve"> - </v>
      </c>
      <c r="AB107" s="180" t="str">
        <f t="shared" si="11"/>
        <v xml:space="preserve"> - </v>
      </c>
      <c r="AC107" s="180" t="str">
        <f t="shared" si="12"/>
        <v xml:space="preserve"> - </v>
      </c>
      <c r="AD107" s="182" t="str">
        <f t="shared" si="9"/>
        <v xml:space="preserve"> - </v>
      </c>
      <c r="AE107" s="184">
        <f t="shared" si="13"/>
        <v>0</v>
      </c>
      <c r="AF107" s="186">
        <f t="shared" si="8"/>
        <v>0</v>
      </c>
      <c r="AG107" s="188" t="str">
        <f t="array" ref="AG107" xml:space="preserve"> IFERROR( IF( D107="", "-", _xlfn.AGGREGATE(15,6, ( ( ($D$21:$D$27 = D107) * IF($D$19&lt;&gt;"", --($E$21:$E$27 = E107), 1) * IF($H$19&lt;&gt;"", --($F$21:$F$27 = F107), 1)  ) / ( ( $D$21:$D$27 = D107) * IF($D$19&lt;&gt;"", --($E$21:$E$27 = E107), 1)  * IF($H$19&lt;&gt;"", --($F$21:$F$27 = F107), 1) ) ) * $AF$21:$AF$27,1)    ), "-")</f>
        <v>-</v>
      </c>
      <c r="BB107"/>
      <c r="BE107" s="67"/>
    </row>
    <row r="108" spans="2:57" x14ac:dyDescent="0.25">
      <c r="B108" s="158" t="s">
        <v>344</v>
      </c>
      <c r="C108" s="158"/>
      <c r="D108" s="162" t="s">
        <v>792</v>
      </c>
      <c r="E108" s="160"/>
      <c r="F108" s="162"/>
      <c r="G108" s="163"/>
      <c r="H108" s="163"/>
      <c r="I108" s="158"/>
      <c r="J108" s="158"/>
      <c r="K108" s="167"/>
      <c r="L108" s="168"/>
      <c r="M108" s="167" t="s">
        <v>134</v>
      </c>
      <c r="N108" s="167"/>
      <c r="O108" s="210"/>
      <c r="P108" s="201" t="s">
        <v>111</v>
      </c>
      <c r="Q108" s="169"/>
      <c r="R108" s="158"/>
      <c r="S108" s="158"/>
      <c r="T108" s="162"/>
      <c r="U108" s="164"/>
      <c r="V108" s="165"/>
      <c r="W108" s="166"/>
      <c r="X108" s="172"/>
      <c r="Y108" s="174"/>
      <c r="Z108" s="176"/>
      <c r="AA108" s="178" t="str">
        <f t="shared" si="10"/>
        <v xml:space="preserve"> - </v>
      </c>
      <c r="AB108" s="180" t="str">
        <f t="shared" si="11"/>
        <v xml:space="preserve"> - </v>
      </c>
      <c r="AC108" s="180" t="str">
        <f t="shared" si="12"/>
        <v xml:space="preserve"> - </v>
      </c>
      <c r="AD108" s="182" t="str">
        <f t="shared" si="9"/>
        <v xml:space="preserve"> - </v>
      </c>
      <c r="AE108" s="184">
        <f t="shared" si="13"/>
        <v>0</v>
      </c>
      <c r="AF108" s="186">
        <f t="shared" si="8"/>
        <v>0</v>
      </c>
      <c r="AG108" s="188" t="str">
        <f t="array" ref="AG108" xml:space="preserve"> IFERROR( IF( D108="", "-", _xlfn.AGGREGATE(15,6, ( ( ($D$21:$D$27 = D108) * IF($D$19&lt;&gt;"", --($E$21:$E$27 = E108), 1) * IF($H$19&lt;&gt;"", --($F$21:$F$27 = F108), 1)  ) / ( ( $D$21:$D$27 = D108) * IF($D$19&lt;&gt;"", --($E$21:$E$27 = E108), 1)  * IF($H$19&lt;&gt;"", --($F$21:$F$27 = F108), 1) ) ) * $AF$21:$AF$27,1)    ), "-")</f>
        <v>-</v>
      </c>
      <c r="BB108"/>
      <c r="BE108" s="67"/>
    </row>
    <row r="109" spans="2:57" x14ac:dyDescent="0.25">
      <c r="B109" s="158" t="s">
        <v>345</v>
      </c>
      <c r="C109" s="158"/>
      <c r="D109" s="162" t="s">
        <v>795</v>
      </c>
      <c r="E109" s="160"/>
      <c r="F109" s="162" t="s">
        <v>794</v>
      </c>
      <c r="G109" s="163" t="s">
        <v>793</v>
      </c>
      <c r="H109" s="163"/>
      <c r="I109" s="158"/>
      <c r="J109" s="158"/>
      <c r="K109" s="167"/>
      <c r="L109" s="168"/>
      <c r="M109" s="167" t="s">
        <v>74</v>
      </c>
      <c r="N109" s="167"/>
      <c r="O109" s="210"/>
      <c r="P109" s="201" t="s">
        <v>86</v>
      </c>
      <c r="Q109" s="169"/>
      <c r="R109" s="158"/>
      <c r="S109" s="158"/>
      <c r="T109" s="162"/>
      <c r="U109" s="164"/>
      <c r="V109" s="165"/>
      <c r="W109" s="166"/>
      <c r="X109" s="172"/>
      <c r="Y109" s="174"/>
      <c r="Z109" s="176"/>
      <c r="AA109" s="178" t="str">
        <f t="shared" si="10"/>
        <v xml:space="preserve"> - </v>
      </c>
      <c r="AB109" s="180" t="str">
        <f t="shared" si="11"/>
        <v xml:space="preserve"> - </v>
      </c>
      <c r="AC109" s="180" t="str">
        <f t="shared" si="12"/>
        <v xml:space="preserve"> - </v>
      </c>
      <c r="AD109" s="182" t="str">
        <f t="shared" si="9"/>
        <v xml:space="preserve"> - </v>
      </c>
      <c r="AE109" s="184">
        <f t="shared" si="13"/>
        <v>0</v>
      </c>
      <c r="AF109" s="186">
        <f t="shared" si="8"/>
        <v>0</v>
      </c>
      <c r="AG109" s="188" t="str">
        <f t="array" ref="AG109" xml:space="preserve"> IFERROR( IF( D109="", "-", _xlfn.AGGREGATE(15,6, ( ( ($D$21:$D$27 = D109) * IF($D$19&lt;&gt;"", --($E$21:$E$27 = E109), 1) * IF($H$19&lt;&gt;"", --($F$21:$F$27 = F109), 1)  ) / ( ( $D$21:$D$27 = D109) * IF($D$19&lt;&gt;"", --($E$21:$E$27 = E109), 1)  * IF($H$19&lt;&gt;"", --($F$21:$F$27 = F109), 1) ) ) * $AF$21:$AF$27,1)    ), "-")</f>
        <v>-</v>
      </c>
      <c r="BB109"/>
      <c r="BE109" s="67"/>
    </row>
    <row r="110" spans="2:57" x14ac:dyDescent="0.25">
      <c r="B110" s="158" t="s">
        <v>346</v>
      </c>
      <c r="C110" s="158"/>
      <c r="D110" s="162" t="s">
        <v>796</v>
      </c>
      <c r="E110" s="160"/>
      <c r="F110" s="162"/>
      <c r="G110" s="163"/>
      <c r="H110" s="163"/>
      <c r="I110" s="158"/>
      <c r="J110" s="158"/>
      <c r="K110" s="167"/>
      <c r="L110" s="168"/>
      <c r="M110" s="167" t="s">
        <v>74</v>
      </c>
      <c r="N110" s="167"/>
      <c r="O110" s="210"/>
      <c r="P110" s="201" t="s">
        <v>86</v>
      </c>
      <c r="Q110" s="169"/>
      <c r="R110" s="158"/>
      <c r="S110" s="158"/>
      <c r="T110" s="162"/>
      <c r="U110" s="164"/>
      <c r="V110" s="165"/>
      <c r="W110" s="166"/>
      <c r="X110" s="172"/>
      <c r="Y110" s="174"/>
      <c r="Z110" s="176"/>
      <c r="AA110" s="178" t="str">
        <f t="shared" si="10"/>
        <v xml:space="preserve"> - </v>
      </c>
      <c r="AB110" s="180" t="str">
        <f t="shared" si="11"/>
        <v xml:space="preserve"> - </v>
      </c>
      <c r="AC110" s="180" t="str">
        <f t="shared" si="12"/>
        <v xml:space="preserve"> - </v>
      </c>
      <c r="AD110" s="182" t="str">
        <f t="shared" si="9"/>
        <v xml:space="preserve"> - </v>
      </c>
      <c r="AE110" s="184">
        <f t="shared" si="13"/>
        <v>0</v>
      </c>
      <c r="AF110" s="186">
        <f t="shared" si="8"/>
        <v>0</v>
      </c>
      <c r="AG110" s="188" t="str">
        <f t="array" ref="AG110" xml:space="preserve"> IFERROR( IF( D110="", "-", _xlfn.AGGREGATE(15,6, ( ( ($D$21:$D$27 = D110) * IF($D$19&lt;&gt;"", --($E$21:$E$27 = E110), 1) * IF($H$19&lt;&gt;"", --($F$21:$F$27 = F110), 1)  ) / ( ( $D$21:$D$27 = D110) * IF($D$19&lt;&gt;"", --($E$21:$E$27 = E110), 1)  * IF($H$19&lt;&gt;"", --($F$21:$F$27 = F110), 1) ) ) * $AF$21:$AF$27,1)    ), "-")</f>
        <v>-</v>
      </c>
      <c r="BB110"/>
      <c r="BE110" s="67"/>
    </row>
    <row r="111" spans="2:57" x14ac:dyDescent="0.25">
      <c r="B111" s="158" t="s">
        <v>347</v>
      </c>
      <c r="C111" s="195"/>
      <c r="D111" s="162" t="s">
        <v>797</v>
      </c>
      <c r="E111" s="160"/>
      <c r="F111" s="162"/>
      <c r="G111" s="163"/>
      <c r="H111" s="163"/>
      <c r="I111" s="195" t="s">
        <v>1019</v>
      </c>
      <c r="J111" s="195"/>
      <c r="K111" s="167"/>
      <c r="L111" s="168"/>
      <c r="M111" s="167" t="s">
        <v>134</v>
      </c>
      <c r="N111" s="167"/>
      <c r="O111" s="210"/>
      <c r="P111" s="201" t="s">
        <v>111</v>
      </c>
      <c r="Q111" s="169"/>
      <c r="R111" s="158"/>
      <c r="S111" s="195"/>
      <c r="T111" s="162"/>
      <c r="U111" s="164"/>
      <c r="V111" s="165"/>
      <c r="W111" s="166"/>
      <c r="X111" s="172"/>
      <c r="Y111" s="174"/>
      <c r="Z111" s="176"/>
      <c r="AA111" s="178" t="str">
        <f t="shared" si="10"/>
        <v xml:space="preserve"> - </v>
      </c>
      <c r="AB111" s="180" t="str">
        <f t="shared" si="11"/>
        <v xml:space="preserve"> - </v>
      </c>
      <c r="AC111" s="180" t="str">
        <f t="shared" si="12"/>
        <v xml:space="preserve"> - </v>
      </c>
      <c r="AD111" s="182" t="str">
        <f t="shared" si="9"/>
        <v xml:space="preserve"> - </v>
      </c>
      <c r="AE111" s="184">
        <f t="shared" si="13"/>
        <v>0</v>
      </c>
      <c r="AF111" s="186">
        <f t="shared" si="8"/>
        <v>0</v>
      </c>
      <c r="AG111" s="188" t="str">
        <f t="array" ref="AG111" xml:space="preserve"> IFERROR( IF( D111="", "-", _xlfn.AGGREGATE(15,6, ( ( ($D$21:$D$27 = D111) * IF($D$19&lt;&gt;"", --($E$21:$E$27 = E111), 1) * IF($H$19&lt;&gt;"", --($F$21:$F$27 = F111), 1)  ) / ( ( $D$21:$D$27 = D111) * IF($D$19&lt;&gt;"", --($E$21:$E$27 = E111), 1)  * IF($H$19&lt;&gt;"", --($F$21:$F$27 = F111), 1) ) ) * $AF$21:$AF$27,1)    ), "-")</f>
        <v>-</v>
      </c>
      <c r="BB111"/>
      <c r="BE111" s="67"/>
    </row>
    <row r="112" spans="2:57" x14ac:dyDescent="0.25">
      <c r="B112" s="158" t="s">
        <v>348</v>
      </c>
      <c r="C112" s="158"/>
      <c r="D112" s="162" t="s">
        <v>798</v>
      </c>
      <c r="E112" s="160"/>
      <c r="F112" s="162"/>
      <c r="G112" s="163"/>
      <c r="H112" s="163"/>
      <c r="I112" s="158"/>
      <c r="J112" s="158"/>
      <c r="K112" s="167"/>
      <c r="L112" s="168"/>
      <c r="M112" s="167" t="s">
        <v>134</v>
      </c>
      <c r="N112" s="167"/>
      <c r="O112" s="210"/>
      <c r="P112" s="201" t="s">
        <v>111</v>
      </c>
      <c r="Q112" s="169"/>
      <c r="R112" s="158"/>
      <c r="S112" s="158"/>
      <c r="T112" s="162"/>
      <c r="U112" s="164"/>
      <c r="V112" s="165"/>
      <c r="W112" s="166"/>
      <c r="X112" s="172"/>
      <c r="Y112" s="174"/>
      <c r="Z112" s="176"/>
      <c r="AA112" s="178" t="str">
        <f t="shared" si="10"/>
        <v xml:space="preserve"> - </v>
      </c>
      <c r="AB112" s="180" t="str">
        <f t="shared" si="11"/>
        <v xml:space="preserve"> - </v>
      </c>
      <c r="AC112" s="180" t="str">
        <f t="shared" si="12"/>
        <v xml:space="preserve"> - </v>
      </c>
      <c r="AD112" s="182" t="str">
        <f t="shared" si="9"/>
        <v xml:space="preserve"> - </v>
      </c>
      <c r="AE112" s="184">
        <f t="shared" si="13"/>
        <v>0</v>
      </c>
      <c r="AF112" s="186">
        <f t="shared" si="8"/>
        <v>0</v>
      </c>
      <c r="AG112" s="188" t="str">
        <f t="array" ref="AG112" xml:space="preserve"> IFERROR( IF( D112="", "-", _xlfn.AGGREGATE(15,6, ( ( ($D$21:$D$27 = D112) * IF($D$19&lt;&gt;"", --($E$21:$E$27 = E112), 1) * IF($H$19&lt;&gt;"", --($F$21:$F$27 = F112), 1)  ) / ( ( $D$21:$D$27 = D112) * IF($D$19&lt;&gt;"", --($E$21:$E$27 = E112), 1)  * IF($H$19&lt;&gt;"", --($F$21:$F$27 = F112), 1) ) ) * $AF$21:$AF$27,1)    ), "-")</f>
        <v>-</v>
      </c>
      <c r="BB112"/>
      <c r="BE112" s="67"/>
    </row>
    <row r="113" spans="2:57" x14ac:dyDescent="0.25">
      <c r="B113" s="158" t="s">
        <v>349</v>
      </c>
      <c r="C113" s="158"/>
      <c r="D113" s="189" t="s">
        <v>799</v>
      </c>
      <c r="E113" s="160"/>
      <c r="F113" s="162" t="s">
        <v>167</v>
      </c>
      <c r="G113" s="163"/>
      <c r="H113" s="163"/>
      <c r="I113" s="158"/>
      <c r="J113" s="158"/>
      <c r="K113" s="167"/>
      <c r="L113" s="168"/>
      <c r="M113" s="167" t="s">
        <v>921</v>
      </c>
      <c r="N113" s="167"/>
      <c r="O113" s="210"/>
      <c r="P113" s="201" t="s">
        <v>1065</v>
      </c>
      <c r="Q113" s="169"/>
      <c r="R113" s="158"/>
      <c r="S113" s="158"/>
      <c r="T113" s="162"/>
      <c r="U113" s="164"/>
      <c r="V113" s="165"/>
      <c r="W113" s="166"/>
      <c r="X113" s="172"/>
      <c r="Y113" s="174"/>
      <c r="Z113" s="176"/>
      <c r="AA113" s="178" t="str">
        <f t="shared" si="10"/>
        <v xml:space="preserve"> - </v>
      </c>
      <c r="AB113" s="180" t="str">
        <f t="shared" si="11"/>
        <v xml:space="preserve"> - </v>
      </c>
      <c r="AC113" s="180" t="str">
        <f t="shared" si="12"/>
        <v xml:space="preserve"> - </v>
      </c>
      <c r="AD113" s="182" t="str">
        <f t="shared" si="9"/>
        <v xml:space="preserve"> - </v>
      </c>
      <c r="AE113" s="184">
        <f t="shared" si="13"/>
        <v>0</v>
      </c>
      <c r="AF113" s="186">
        <f t="shared" si="8"/>
        <v>0</v>
      </c>
      <c r="AG113" s="188" t="str">
        <f t="array" ref="AG113" xml:space="preserve"> IFERROR( IF( D113="", "-", _xlfn.AGGREGATE(15,6, ( ( ($D$21:$D$27 = D113) * IF($D$19&lt;&gt;"", --($E$21:$E$27 = E113), 1) * IF($H$19&lt;&gt;"", --($F$21:$F$27 = F113), 1)  ) / ( ( $D$21:$D$27 = D113) * IF($D$19&lt;&gt;"", --($E$21:$E$27 = E113), 1)  * IF($H$19&lt;&gt;"", --($F$21:$F$27 = F113), 1) ) ) * $AF$21:$AF$27,1)    ), "-")</f>
        <v>-</v>
      </c>
      <c r="BB113"/>
      <c r="BE113" s="67"/>
    </row>
    <row r="114" spans="2:57" x14ac:dyDescent="0.25">
      <c r="B114" s="158" t="s">
        <v>350</v>
      </c>
      <c r="C114" s="158"/>
      <c r="D114" s="189" t="s">
        <v>799</v>
      </c>
      <c r="E114" s="160"/>
      <c r="F114" s="162" t="s">
        <v>614</v>
      </c>
      <c r="G114" s="163"/>
      <c r="H114" s="163"/>
      <c r="I114" s="158"/>
      <c r="J114" s="158"/>
      <c r="K114" s="167"/>
      <c r="L114" s="168"/>
      <c r="M114" s="167" t="s">
        <v>921</v>
      </c>
      <c r="N114" s="167"/>
      <c r="O114" s="210"/>
      <c r="P114" s="201" t="s">
        <v>1065</v>
      </c>
      <c r="Q114" s="169"/>
      <c r="R114" s="158"/>
      <c r="S114" s="158"/>
      <c r="T114" s="162"/>
      <c r="U114" s="164"/>
      <c r="V114" s="165"/>
      <c r="W114" s="166"/>
      <c r="X114" s="172"/>
      <c r="Y114" s="174"/>
      <c r="Z114" s="176"/>
      <c r="AA114" s="178" t="str">
        <f t="shared" si="10"/>
        <v xml:space="preserve"> - </v>
      </c>
      <c r="AB114" s="180" t="str">
        <f t="shared" si="11"/>
        <v xml:space="preserve"> - </v>
      </c>
      <c r="AC114" s="180" t="str">
        <f t="shared" si="12"/>
        <v xml:space="preserve"> - </v>
      </c>
      <c r="AD114" s="182" t="str">
        <f t="shared" si="9"/>
        <v xml:space="preserve"> - </v>
      </c>
      <c r="AE114" s="184">
        <f t="shared" si="13"/>
        <v>0</v>
      </c>
      <c r="AF114" s="186">
        <f t="shared" si="8"/>
        <v>0</v>
      </c>
      <c r="AG114" s="188" t="str">
        <f t="array" ref="AG114" xml:space="preserve"> IFERROR( IF( D114="", "-", _xlfn.AGGREGATE(15,6, ( ( ($D$21:$D$27 = D114) * IF($D$19&lt;&gt;"", --($E$21:$E$27 = E114), 1) * IF($H$19&lt;&gt;"", --($F$21:$F$27 = F114), 1)  ) / ( ( $D$21:$D$27 = D114) * IF($D$19&lt;&gt;"", --($E$21:$E$27 = E114), 1)  * IF($H$19&lt;&gt;"", --($F$21:$F$27 = F114), 1) ) ) * $AF$21:$AF$27,1)    ), "-")</f>
        <v>-</v>
      </c>
      <c r="BB114"/>
      <c r="BE114" s="67"/>
    </row>
    <row r="115" spans="2:57" x14ac:dyDescent="0.25">
      <c r="B115" s="158" t="s">
        <v>351</v>
      </c>
      <c r="C115" s="158"/>
      <c r="D115" s="189" t="s">
        <v>799</v>
      </c>
      <c r="E115" s="160"/>
      <c r="F115" s="162" t="s">
        <v>638</v>
      </c>
      <c r="G115" s="163"/>
      <c r="H115" s="163"/>
      <c r="I115" s="158"/>
      <c r="J115" s="158"/>
      <c r="K115" s="167"/>
      <c r="L115" s="168"/>
      <c r="M115" s="167" t="s">
        <v>921</v>
      </c>
      <c r="N115" s="167"/>
      <c r="O115" s="210"/>
      <c r="P115" s="201" t="s">
        <v>1065</v>
      </c>
      <c r="Q115" s="169"/>
      <c r="R115" s="158"/>
      <c r="S115" s="158"/>
      <c r="T115" s="162"/>
      <c r="U115" s="164"/>
      <c r="V115" s="165"/>
      <c r="W115" s="166"/>
      <c r="X115" s="172"/>
      <c r="Y115" s="174"/>
      <c r="Z115" s="176"/>
      <c r="AA115" s="178" t="str">
        <f t="shared" si="10"/>
        <v xml:space="preserve"> - </v>
      </c>
      <c r="AB115" s="180" t="str">
        <f t="shared" si="11"/>
        <v xml:space="preserve"> - </v>
      </c>
      <c r="AC115" s="180" t="str">
        <f t="shared" si="12"/>
        <v xml:space="preserve"> - </v>
      </c>
      <c r="AD115" s="182" t="str">
        <f t="shared" si="9"/>
        <v xml:space="preserve"> - </v>
      </c>
      <c r="AE115" s="184">
        <f t="shared" si="13"/>
        <v>0</v>
      </c>
      <c r="AF115" s="186">
        <f t="shared" si="8"/>
        <v>0</v>
      </c>
      <c r="AG115" s="188" t="str">
        <f t="array" ref="AG115" xml:space="preserve"> IFERROR( IF( D115="", "-", _xlfn.AGGREGATE(15,6, ( ( ($D$21:$D$27 = D115) * IF($D$19&lt;&gt;"", --($E$21:$E$27 = E115), 1) * IF($H$19&lt;&gt;"", --($F$21:$F$27 = F115), 1)  ) / ( ( $D$21:$D$27 = D115) * IF($D$19&lt;&gt;"", --($E$21:$E$27 = E115), 1)  * IF($H$19&lt;&gt;"", --($F$21:$F$27 = F115), 1) ) ) * $AF$21:$AF$27,1)    ), "-")</f>
        <v>-</v>
      </c>
      <c r="BB115"/>
      <c r="BE115" s="67"/>
    </row>
    <row r="116" spans="2:57" x14ac:dyDescent="0.25">
      <c r="B116" s="158" t="s">
        <v>352</v>
      </c>
      <c r="C116" s="158"/>
      <c r="D116" s="189" t="s">
        <v>799</v>
      </c>
      <c r="E116" s="160"/>
      <c r="F116" s="162" t="s">
        <v>46</v>
      </c>
      <c r="G116" s="163"/>
      <c r="H116" s="163"/>
      <c r="I116" s="158"/>
      <c r="J116" s="158"/>
      <c r="K116" s="167"/>
      <c r="L116" s="168"/>
      <c r="M116" s="167" t="s">
        <v>921</v>
      </c>
      <c r="N116" s="167"/>
      <c r="O116" s="210"/>
      <c r="P116" s="201" t="s">
        <v>1065</v>
      </c>
      <c r="Q116" s="169"/>
      <c r="R116" s="158"/>
      <c r="S116" s="158"/>
      <c r="T116" s="162"/>
      <c r="U116" s="164"/>
      <c r="V116" s="165"/>
      <c r="W116" s="166"/>
      <c r="X116" s="172"/>
      <c r="Y116" s="174"/>
      <c r="Z116" s="176"/>
      <c r="AA116" s="178" t="str">
        <f t="shared" si="10"/>
        <v xml:space="preserve"> - </v>
      </c>
      <c r="AB116" s="180" t="str">
        <f t="shared" si="11"/>
        <v xml:space="preserve"> - </v>
      </c>
      <c r="AC116" s="180" t="str">
        <f t="shared" si="12"/>
        <v xml:space="preserve"> - </v>
      </c>
      <c r="AD116" s="182" t="str">
        <f t="shared" si="9"/>
        <v xml:space="preserve"> - </v>
      </c>
      <c r="AE116" s="184">
        <f t="shared" si="13"/>
        <v>0</v>
      </c>
      <c r="AF116" s="186">
        <f t="shared" si="8"/>
        <v>0</v>
      </c>
      <c r="AG116" s="188" t="str">
        <f t="array" ref="AG116" xml:space="preserve"> IFERROR( IF( D116="", "-", _xlfn.AGGREGATE(15,6, ( ( ($D$21:$D$27 = D116) * IF($D$19&lt;&gt;"", --($E$21:$E$27 = E116), 1) * IF($H$19&lt;&gt;"", --($F$21:$F$27 = F116), 1)  ) / ( ( $D$21:$D$27 = D116) * IF($D$19&lt;&gt;"", --($E$21:$E$27 = E116), 1)  * IF($H$19&lt;&gt;"", --($F$21:$F$27 = F116), 1) ) ) * $AF$21:$AF$27,1)    ), "-")</f>
        <v>-</v>
      </c>
      <c r="BB116"/>
      <c r="BE116" s="67"/>
    </row>
    <row r="117" spans="2:57" x14ac:dyDescent="0.25">
      <c r="B117" s="158" t="s">
        <v>353</v>
      </c>
      <c r="C117" s="158"/>
      <c r="D117" s="189" t="s">
        <v>799</v>
      </c>
      <c r="E117" s="160"/>
      <c r="F117" s="162" t="s">
        <v>639</v>
      </c>
      <c r="G117" s="163"/>
      <c r="H117" s="163"/>
      <c r="I117" s="158"/>
      <c r="J117" s="158"/>
      <c r="K117" s="167"/>
      <c r="L117" s="168"/>
      <c r="M117" s="167" t="s">
        <v>921</v>
      </c>
      <c r="N117" s="167"/>
      <c r="O117" s="210"/>
      <c r="P117" s="201" t="s">
        <v>1065</v>
      </c>
      <c r="Q117" s="169"/>
      <c r="R117" s="158"/>
      <c r="S117" s="158"/>
      <c r="T117" s="162"/>
      <c r="U117" s="164"/>
      <c r="V117" s="165"/>
      <c r="W117" s="166"/>
      <c r="X117" s="172"/>
      <c r="Y117" s="174"/>
      <c r="Z117" s="176"/>
      <c r="AA117" s="178" t="str">
        <f t="shared" si="10"/>
        <v xml:space="preserve"> - </v>
      </c>
      <c r="AB117" s="180" t="str">
        <f t="shared" si="11"/>
        <v xml:space="preserve"> - </v>
      </c>
      <c r="AC117" s="180" t="str">
        <f t="shared" si="12"/>
        <v xml:space="preserve"> - </v>
      </c>
      <c r="AD117" s="182" t="str">
        <f t="shared" si="9"/>
        <v xml:space="preserve"> - </v>
      </c>
      <c r="AE117" s="184">
        <f t="shared" si="13"/>
        <v>0</v>
      </c>
      <c r="AF117" s="186">
        <f t="shared" si="8"/>
        <v>0</v>
      </c>
      <c r="AG117" s="188" t="str">
        <f t="array" ref="AG117" xml:space="preserve"> IFERROR( IF( D117="", "-", _xlfn.AGGREGATE(15,6, ( ( ($D$21:$D$27 = D117) * IF($D$19&lt;&gt;"", --($E$21:$E$27 = E117), 1) * IF($H$19&lt;&gt;"", --($F$21:$F$27 = F117), 1)  ) / ( ( $D$21:$D$27 = D117) * IF($D$19&lt;&gt;"", --($E$21:$E$27 = E117), 1)  * IF($H$19&lt;&gt;"", --($F$21:$F$27 = F117), 1) ) ) * $AF$21:$AF$27,1)    ), "-")</f>
        <v>-</v>
      </c>
      <c r="BB117"/>
      <c r="BE117" s="67"/>
    </row>
    <row r="118" spans="2:57" x14ac:dyDescent="0.25">
      <c r="B118" s="158" t="s">
        <v>354</v>
      </c>
      <c r="C118" s="158"/>
      <c r="D118" s="162" t="s">
        <v>800</v>
      </c>
      <c r="E118" s="160"/>
      <c r="F118" s="162"/>
      <c r="G118" s="163"/>
      <c r="H118" s="163"/>
      <c r="I118" s="158"/>
      <c r="J118" s="158"/>
      <c r="K118" s="167"/>
      <c r="L118" s="168"/>
      <c r="M118" s="167" t="s">
        <v>112</v>
      </c>
      <c r="N118" s="167"/>
      <c r="O118" s="210"/>
      <c r="P118" s="201" t="s">
        <v>111</v>
      </c>
      <c r="Q118" s="169"/>
      <c r="R118" s="158"/>
      <c r="S118" s="158"/>
      <c r="T118" s="162"/>
      <c r="U118" s="164"/>
      <c r="V118" s="165"/>
      <c r="W118" s="166"/>
      <c r="X118" s="172"/>
      <c r="Y118" s="174"/>
      <c r="Z118" s="176"/>
      <c r="AA118" s="178" t="str">
        <f t="shared" si="10"/>
        <v xml:space="preserve"> - </v>
      </c>
      <c r="AB118" s="180" t="str">
        <f t="shared" si="11"/>
        <v xml:space="preserve"> - </v>
      </c>
      <c r="AC118" s="180" t="str">
        <f t="shared" si="12"/>
        <v xml:space="preserve"> - </v>
      </c>
      <c r="AD118" s="182" t="str">
        <f t="shared" si="9"/>
        <v xml:space="preserve"> - </v>
      </c>
      <c r="AE118" s="184">
        <f t="shared" si="13"/>
        <v>0</v>
      </c>
      <c r="AF118" s="186">
        <f t="shared" si="8"/>
        <v>0</v>
      </c>
      <c r="AG118" s="188" t="str">
        <f t="array" ref="AG118" xml:space="preserve"> IFERROR( IF( D118="", "-", _xlfn.AGGREGATE(15,6, ( ( ($D$21:$D$27 = D118) * IF($D$19&lt;&gt;"", --($E$21:$E$27 = E118), 1) * IF($H$19&lt;&gt;"", --($F$21:$F$27 = F118), 1)  ) / ( ( $D$21:$D$27 = D118) * IF($D$19&lt;&gt;"", --($E$21:$E$27 = E118), 1)  * IF($H$19&lt;&gt;"", --($F$21:$F$27 = F118), 1) ) ) * $AF$21:$AF$27,1)    ), "-")</f>
        <v>-</v>
      </c>
      <c r="BB118"/>
      <c r="BE118" s="67"/>
    </row>
    <row r="119" spans="2:57" x14ac:dyDescent="0.25">
      <c r="B119" s="158" t="s">
        <v>355</v>
      </c>
      <c r="C119" s="158"/>
      <c r="D119" s="162" t="s">
        <v>801</v>
      </c>
      <c r="E119" s="160"/>
      <c r="F119" s="162"/>
      <c r="G119" s="163"/>
      <c r="H119" s="163"/>
      <c r="I119" s="158"/>
      <c r="J119" s="158"/>
      <c r="K119" s="167"/>
      <c r="L119" s="168"/>
      <c r="M119" s="167" t="s">
        <v>921</v>
      </c>
      <c r="N119" s="167"/>
      <c r="O119" s="210"/>
      <c r="P119" s="201" t="s">
        <v>1065</v>
      </c>
      <c r="Q119" s="169"/>
      <c r="R119" s="158"/>
      <c r="S119" s="158"/>
      <c r="T119" s="162"/>
      <c r="U119" s="164"/>
      <c r="V119" s="165"/>
      <c r="W119" s="166"/>
      <c r="X119" s="172"/>
      <c r="Y119" s="174"/>
      <c r="Z119" s="176"/>
      <c r="AA119" s="178" t="str">
        <f t="shared" si="10"/>
        <v xml:space="preserve"> - </v>
      </c>
      <c r="AB119" s="180" t="str">
        <f t="shared" si="11"/>
        <v xml:space="preserve"> - </v>
      </c>
      <c r="AC119" s="180" t="str">
        <f t="shared" si="12"/>
        <v xml:space="preserve"> - </v>
      </c>
      <c r="AD119" s="182" t="str">
        <f t="shared" si="9"/>
        <v xml:space="preserve"> - </v>
      </c>
      <c r="AE119" s="184">
        <f t="shared" si="13"/>
        <v>0</v>
      </c>
      <c r="AF119" s="186">
        <f t="shared" si="8"/>
        <v>0</v>
      </c>
      <c r="AG119" s="188" t="str">
        <f t="array" ref="AG119" xml:space="preserve"> IFERROR( IF( D119="", "-", _xlfn.AGGREGATE(15,6, ( ( ($D$21:$D$27 = D119) * IF($D$19&lt;&gt;"", --($E$21:$E$27 = E119), 1) * IF($H$19&lt;&gt;"", --($F$21:$F$27 = F119), 1)  ) / ( ( $D$21:$D$27 = D119) * IF($D$19&lt;&gt;"", --($E$21:$E$27 = E119), 1)  * IF($H$19&lt;&gt;"", --($F$21:$F$27 = F119), 1) ) ) * $AF$21:$AF$27,1)    ), "-")</f>
        <v>-</v>
      </c>
      <c r="BB119"/>
      <c r="BE119" s="67"/>
    </row>
    <row r="120" spans="2:57" x14ac:dyDescent="0.25">
      <c r="B120" s="158" t="s">
        <v>356</v>
      </c>
      <c r="C120" s="158"/>
      <c r="D120" s="189" t="s">
        <v>356</v>
      </c>
      <c r="E120" s="160"/>
      <c r="F120" s="162"/>
      <c r="G120" s="163"/>
      <c r="H120" s="163"/>
      <c r="I120" s="158"/>
      <c r="J120" s="158"/>
      <c r="K120" s="167"/>
      <c r="L120" s="168"/>
      <c r="M120" s="167" t="s">
        <v>921</v>
      </c>
      <c r="N120" s="167"/>
      <c r="O120" s="210"/>
      <c r="P120" s="201" t="s">
        <v>1065</v>
      </c>
      <c r="Q120" s="169"/>
      <c r="R120" s="158"/>
      <c r="S120" s="158"/>
      <c r="T120" s="162"/>
      <c r="U120" s="164"/>
      <c r="V120" s="165"/>
      <c r="W120" s="166"/>
      <c r="X120" s="172"/>
      <c r="Y120" s="174"/>
      <c r="Z120" s="176"/>
      <c r="AA120" s="178" t="str">
        <f t="shared" si="10"/>
        <v xml:space="preserve"> - </v>
      </c>
      <c r="AB120" s="180" t="str">
        <f t="shared" si="11"/>
        <v xml:space="preserve"> - </v>
      </c>
      <c r="AC120" s="180" t="str">
        <f t="shared" si="12"/>
        <v xml:space="preserve"> - </v>
      </c>
      <c r="AD120" s="182" t="str">
        <f t="shared" si="9"/>
        <v xml:space="preserve"> - </v>
      </c>
      <c r="AE120" s="184">
        <f t="shared" si="13"/>
        <v>0</v>
      </c>
      <c r="AF120" s="186">
        <f t="shared" si="8"/>
        <v>0</v>
      </c>
      <c r="AG120" s="188" t="str">
        <f t="array" ref="AG120" xml:space="preserve"> IFERROR( IF( D120="", "-", _xlfn.AGGREGATE(15,6, ( ( ($D$21:$D$27 = D120) * IF($D$19&lt;&gt;"", --($E$21:$E$27 = E120), 1) * IF($H$19&lt;&gt;"", --($F$21:$F$27 = F120), 1)  ) / ( ( $D$21:$D$27 = D120) * IF($D$19&lt;&gt;"", --($E$21:$E$27 = E120), 1)  * IF($H$19&lt;&gt;"", --($F$21:$F$27 = F120), 1) ) ) * $AF$21:$AF$27,1)    ), "-")</f>
        <v>-</v>
      </c>
      <c r="BB120"/>
      <c r="BE120" s="67"/>
    </row>
    <row r="121" spans="2:57" x14ac:dyDescent="0.25">
      <c r="B121" s="158" t="s">
        <v>357</v>
      </c>
      <c r="C121" s="158"/>
      <c r="D121" s="189" t="s">
        <v>802</v>
      </c>
      <c r="E121" s="160" t="s">
        <v>693</v>
      </c>
      <c r="F121" s="162"/>
      <c r="G121" s="163"/>
      <c r="H121" s="163"/>
      <c r="I121" s="158"/>
      <c r="J121" s="158"/>
      <c r="K121" s="167"/>
      <c r="L121" s="168"/>
      <c r="M121" s="167" t="s">
        <v>70</v>
      </c>
      <c r="N121" s="167"/>
      <c r="O121" s="210"/>
      <c r="P121" s="201" t="s">
        <v>912</v>
      </c>
      <c r="Q121" s="169"/>
      <c r="R121" s="158"/>
      <c r="S121" s="158"/>
      <c r="T121" s="162"/>
      <c r="U121" s="164"/>
      <c r="V121" s="165"/>
      <c r="W121" s="166"/>
      <c r="X121" s="172"/>
      <c r="Y121" s="174"/>
      <c r="Z121" s="176"/>
      <c r="AA121" s="178" t="str">
        <f t="shared" si="10"/>
        <v xml:space="preserve"> - </v>
      </c>
      <c r="AB121" s="180" t="str">
        <f t="shared" si="11"/>
        <v xml:space="preserve"> - </v>
      </c>
      <c r="AC121" s="180" t="str">
        <f t="shared" si="12"/>
        <v xml:space="preserve"> - </v>
      </c>
      <c r="AD121" s="182" t="str">
        <f t="shared" si="9"/>
        <v xml:space="preserve"> - </v>
      </c>
      <c r="AE121" s="184">
        <f t="shared" si="13"/>
        <v>0</v>
      </c>
      <c r="AF121" s="186">
        <f t="shared" si="8"/>
        <v>0</v>
      </c>
      <c r="AG121" s="188" t="str">
        <f t="array" ref="AG121" xml:space="preserve"> IFERROR( IF( D121="", "-", _xlfn.AGGREGATE(15,6, ( ( ($D$21:$D$27 = D121) * IF($D$19&lt;&gt;"", --($E$21:$E$27 = E121), 1) * IF($H$19&lt;&gt;"", --($F$21:$F$27 = F121), 1)  ) / ( ( $D$21:$D$27 = D121) * IF($D$19&lt;&gt;"", --($E$21:$E$27 = E121), 1)  * IF($H$19&lt;&gt;"", --($F$21:$F$27 = F121), 1) ) ) * $AF$21:$AF$27,1)    ), "-")</f>
        <v>-</v>
      </c>
      <c r="BB121"/>
      <c r="BE121" s="67"/>
    </row>
    <row r="122" spans="2:57" x14ac:dyDescent="0.25">
      <c r="B122" s="158" t="s">
        <v>358</v>
      </c>
      <c r="C122" s="158"/>
      <c r="D122" s="189" t="s">
        <v>640</v>
      </c>
      <c r="E122" s="160" t="s">
        <v>694</v>
      </c>
      <c r="F122" s="162" t="s">
        <v>41</v>
      </c>
      <c r="G122" s="163" t="s">
        <v>733</v>
      </c>
      <c r="H122" s="163"/>
      <c r="I122" s="158"/>
      <c r="J122" s="158"/>
      <c r="K122" s="167"/>
      <c r="L122" s="168"/>
      <c r="M122" s="167" t="s">
        <v>688</v>
      </c>
      <c r="N122" s="167"/>
      <c r="O122" s="210"/>
      <c r="P122" s="201" t="s">
        <v>912</v>
      </c>
      <c r="Q122" s="169"/>
      <c r="R122" s="158"/>
      <c r="S122" s="158"/>
      <c r="T122" s="162"/>
      <c r="U122" s="164"/>
      <c r="V122" s="165"/>
      <c r="W122" s="166"/>
      <c r="X122" s="172"/>
      <c r="Y122" s="174"/>
      <c r="Z122" s="176"/>
      <c r="AA122" s="178" t="str">
        <f t="shared" si="10"/>
        <v xml:space="preserve"> - </v>
      </c>
      <c r="AB122" s="180" t="str">
        <f t="shared" si="11"/>
        <v xml:space="preserve"> - </v>
      </c>
      <c r="AC122" s="180" t="str">
        <f t="shared" si="12"/>
        <v xml:space="preserve"> - </v>
      </c>
      <c r="AD122" s="182" t="str">
        <f t="shared" si="9"/>
        <v xml:space="preserve"> - </v>
      </c>
      <c r="AE122" s="184">
        <f t="shared" si="13"/>
        <v>0</v>
      </c>
      <c r="AF122" s="186">
        <f t="shared" si="8"/>
        <v>0</v>
      </c>
      <c r="AG122" s="188" t="str">
        <f t="array" ref="AG122" xml:space="preserve"> IFERROR( IF( D122="", "-", _xlfn.AGGREGATE(15,6, ( ( ($D$21:$D$27 = D122) * IF($D$19&lt;&gt;"", --($E$21:$E$27 = E122), 1) * IF($H$19&lt;&gt;"", --($F$21:$F$27 = F122), 1)  ) / ( ( $D$21:$D$27 = D122) * IF($D$19&lt;&gt;"", --($E$21:$E$27 = E122), 1)  * IF($H$19&lt;&gt;"", --($F$21:$F$27 = F122), 1) ) ) * $AF$21:$AF$27,1)    ), "-")</f>
        <v>-</v>
      </c>
      <c r="BB122"/>
      <c r="BE122" s="67"/>
    </row>
    <row r="123" spans="2:57" x14ac:dyDescent="0.25">
      <c r="B123" s="158" t="s">
        <v>359</v>
      </c>
      <c r="C123" s="158"/>
      <c r="D123" s="189" t="s">
        <v>640</v>
      </c>
      <c r="E123" s="160" t="s">
        <v>757</v>
      </c>
      <c r="F123" s="162" t="s">
        <v>695</v>
      </c>
      <c r="G123" s="163" t="s">
        <v>734</v>
      </c>
      <c r="H123" s="163"/>
      <c r="I123" s="158"/>
      <c r="J123" s="158"/>
      <c r="K123" s="167"/>
      <c r="L123" s="168"/>
      <c r="M123" s="167" t="s">
        <v>688</v>
      </c>
      <c r="N123" s="167"/>
      <c r="O123" s="210"/>
      <c r="P123" s="201" t="s">
        <v>912</v>
      </c>
      <c r="Q123" s="169"/>
      <c r="R123" s="158"/>
      <c r="S123" s="158"/>
      <c r="T123" s="162"/>
      <c r="U123" s="164"/>
      <c r="V123" s="165"/>
      <c r="W123" s="166"/>
      <c r="X123" s="172"/>
      <c r="Y123" s="174"/>
      <c r="Z123" s="176"/>
      <c r="AA123" s="178" t="str">
        <f t="shared" si="10"/>
        <v xml:space="preserve"> - </v>
      </c>
      <c r="AB123" s="180" t="str">
        <f t="shared" si="11"/>
        <v xml:space="preserve"> - </v>
      </c>
      <c r="AC123" s="180" t="str">
        <f t="shared" si="12"/>
        <v xml:space="preserve"> - </v>
      </c>
      <c r="AD123" s="182" t="str">
        <f t="shared" si="9"/>
        <v xml:space="preserve"> - </v>
      </c>
      <c r="AE123" s="184">
        <f t="shared" si="13"/>
        <v>0</v>
      </c>
      <c r="AF123" s="186">
        <f t="shared" si="8"/>
        <v>0</v>
      </c>
      <c r="AG123" s="188" t="str">
        <f t="array" ref="AG123" xml:space="preserve"> IFERROR( IF( D123="", "-", _xlfn.AGGREGATE(15,6, ( ( ($D$21:$D$27 = D123) * IF($D$19&lt;&gt;"", --($E$21:$E$27 = E123), 1) * IF($H$19&lt;&gt;"", --($F$21:$F$27 = F123), 1)  ) / ( ( $D$21:$D$27 = D123) * IF($D$19&lt;&gt;"", --($E$21:$E$27 = E123), 1)  * IF($H$19&lt;&gt;"", --($F$21:$F$27 = F123), 1) ) ) * $AF$21:$AF$27,1)    ), "-")</f>
        <v>-</v>
      </c>
      <c r="BB123"/>
      <c r="BE123" s="67"/>
    </row>
    <row r="124" spans="2:57" x14ac:dyDescent="0.25">
      <c r="B124" s="158" t="s">
        <v>360</v>
      </c>
      <c r="C124" s="158"/>
      <c r="D124" s="189" t="s">
        <v>640</v>
      </c>
      <c r="E124" s="160"/>
      <c r="F124" s="162" t="s">
        <v>696</v>
      </c>
      <c r="G124" s="163" t="s">
        <v>697</v>
      </c>
      <c r="H124" s="163"/>
      <c r="I124" s="158"/>
      <c r="J124" s="158"/>
      <c r="K124" s="167"/>
      <c r="L124" s="168"/>
      <c r="M124" s="167" t="s">
        <v>688</v>
      </c>
      <c r="N124" s="167"/>
      <c r="O124" s="210"/>
      <c r="P124" s="201" t="s">
        <v>912</v>
      </c>
      <c r="Q124" s="169"/>
      <c r="R124" s="158"/>
      <c r="S124" s="158"/>
      <c r="T124" s="162"/>
      <c r="U124" s="164"/>
      <c r="V124" s="165"/>
      <c r="W124" s="166"/>
      <c r="X124" s="172"/>
      <c r="Y124" s="174"/>
      <c r="Z124" s="176"/>
      <c r="AA124" s="178" t="str">
        <f t="shared" si="10"/>
        <v xml:space="preserve"> - </v>
      </c>
      <c r="AB124" s="180" t="str">
        <f t="shared" si="11"/>
        <v xml:space="preserve"> - </v>
      </c>
      <c r="AC124" s="180" t="str">
        <f t="shared" si="12"/>
        <v xml:space="preserve"> - </v>
      </c>
      <c r="AD124" s="182" t="str">
        <f t="shared" si="9"/>
        <v xml:space="preserve"> - </v>
      </c>
      <c r="AE124" s="184">
        <f t="shared" si="13"/>
        <v>0</v>
      </c>
      <c r="AF124" s="186">
        <f t="shared" si="8"/>
        <v>0</v>
      </c>
      <c r="AG124" s="188" t="str">
        <f t="array" ref="AG124" xml:space="preserve"> IFERROR( IF( D124="", "-", _xlfn.AGGREGATE(15,6, ( ( ($D$21:$D$27 = D124) * IF($D$19&lt;&gt;"", --($E$21:$E$27 = E124), 1) * IF($H$19&lt;&gt;"", --($F$21:$F$27 = F124), 1)  ) / ( ( $D$21:$D$27 = D124) * IF($D$19&lt;&gt;"", --($E$21:$E$27 = E124), 1)  * IF($H$19&lt;&gt;"", --($F$21:$F$27 = F124), 1) ) ) * $AF$21:$AF$27,1)    ), "-")</f>
        <v>-</v>
      </c>
      <c r="BB124"/>
      <c r="BE124" s="67"/>
    </row>
    <row r="125" spans="2:57" x14ac:dyDescent="0.25">
      <c r="B125" s="158" t="s">
        <v>361</v>
      </c>
      <c r="C125" s="158"/>
      <c r="D125" s="189" t="s">
        <v>803</v>
      </c>
      <c r="E125" s="160" t="s">
        <v>617</v>
      </c>
      <c r="F125" s="162" t="s">
        <v>641</v>
      </c>
      <c r="G125" s="163"/>
      <c r="H125" s="163"/>
      <c r="I125" s="158"/>
      <c r="J125" s="158"/>
      <c r="K125" s="167"/>
      <c r="L125" s="168"/>
      <c r="M125" s="167" t="s">
        <v>909</v>
      </c>
      <c r="N125" s="167"/>
      <c r="O125" s="210"/>
      <c r="P125" s="201" t="s">
        <v>912</v>
      </c>
      <c r="Q125" s="169"/>
      <c r="R125" s="158"/>
      <c r="S125" s="158"/>
      <c r="T125" s="162"/>
      <c r="U125" s="164"/>
      <c r="V125" s="165"/>
      <c r="W125" s="166"/>
      <c r="X125" s="172"/>
      <c r="Y125" s="174"/>
      <c r="Z125" s="176"/>
      <c r="AA125" s="178" t="str">
        <f t="shared" si="10"/>
        <v xml:space="preserve"> - </v>
      </c>
      <c r="AB125" s="180" t="str">
        <f t="shared" si="11"/>
        <v xml:space="preserve"> - </v>
      </c>
      <c r="AC125" s="180" t="str">
        <f t="shared" si="12"/>
        <v xml:space="preserve"> - </v>
      </c>
      <c r="AD125" s="182" t="str">
        <f t="shared" si="9"/>
        <v xml:space="preserve"> - </v>
      </c>
      <c r="AE125" s="184">
        <f t="shared" si="13"/>
        <v>0</v>
      </c>
      <c r="AF125" s="186">
        <f t="shared" si="8"/>
        <v>0</v>
      </c>
      <c r="AG125" s="188" t="str">
        <f t="array" ref="AG125" xml:space="preserve"> IFERROR( IF( D125="", "-", _xlfn.AGGREGATE(15,6, ( ( ($D$21:$D$27 = D125) * IF($D$19&lt;&gt;"", --($E$21:$E$27 = E125), 1) * IF($H$19&lt;&gt;"", --($F$21:$F$27 = F125), 1)  ) / ( ( $D$21:$D$27 = D125) * IF($D$19&lt;&gt;"", --($E$21:$E$27 = E125), 1)  * IF($H$19&lt;&gt;"", --($F$21:$F$27 = F125), 1) ) ) * $AF$21:$AF$27,1)    ), "-")</f>
        <v>-</v>
      </c>
      <c r="BB125"/>
      <c r="BE125" s="67"/>
    </row>
    <row r="126" spans="2:57" x14ac:dyDescent="0.25">
      <c r="B126" s="158" t="s">
        <v>362</v>
      </c>
      <c r="C126" s="158"/>
      <c r="D126" s="189" t="s">
        <v>803</v>
      </c>
      <c r="E126" s="160" t="s">
        <v>617</v>
      </c>
      <c r="F126" s="162" t="s">
        <v>643</v>
      </c>
      <c r="G126" s="163"/>
      <c r="H126" s="163"/>
      <c r="I126" s="158"/>
      <c r="J126" s="158"/>
      <c r="K126" s="167"/>
      <c r="L126" s="168"/>
      <c r="M126" s="167" t="s">
        <v>909</v>
      </c>
      <c r="N126" s="167"/>
      <c r="O126" s="210"/>
      <c r="P126" s="201" t="s">
        <v>912</v>
      </c>
      <c r="Q126" s="169"/>
      <c r="R126" s="158"/>
      <c r="S126" s="158"/>
      <c r="T126" s="162"/>
      <c r="U126" s="164"/>
      <c r="V126" s="165"/>
      <c r="W126" s="166"/>
      <c r="X126" s="172"/>
      <c r="Y126" s="174"/>
      <c r="Z126" s="176"/>
      <c r="AA126" s="178" t="str">
        <f t="shared" si="10"/>
        <v xml:space="preserve"> - </v>
      </c>
      <c r="AB126" s="180" t="str">
        <f t="shared" si="11"/>
        <v xml:space="preserve"> - </v>
      </c>
      <c r="AC126" s="180" t="str">
        <f t="shared" si="12"/>
        <v xml:space="preserve"> - </v>
      </c>
      <c r="AD126" s="182" t="str">
        <f t="shared" si="9"/>
        <v xml:space="preserve"> - </v>
      </c>
      <c r="AE126" s="184">
        <f t="shared" si="13"/>
        <v>0</v>
      </c>
      <c r="AF126" s="186">
        <f t="shared" si="8"/>
        <v>0</v>
      </c>
      <c r="AG126" s="188" t="str">
        <f t="array" ref="AG126" xml:space="preserve"> IFERROR( IF( D126="", "-", _xlfn.AGGREGATE(15,6, ( ( ($D$21:$D$27 = D126) * IF($D$19&lt;&gt;"", --($E$21:$E$27 = E126), 1) * IF($H$19&lt;&gt;"", --($F$21:$F$27 = F126), 1)  ) / ( ( $D$21:$D$27 = D126) * IF($D$19&lt;&gt;"", --($E$21:$E$27 = E126), 1)  * IF($H$19&lt;&gt;"", --($F$21:$F$27 = F126), 1) ) ) * $AF$21:$AF$27,1)    ), "-")</f>
        <v>-</v>
      </c>
      <c r="BB126"/>
      <c r="BE126" s="67"/>
    </row>
    <row r="127" spans="2:57" x14ac:dyDescent="0.25">
      <c r="B127" s="158" t="s">
        <v>363</v>
      </c>
      <c r="C127" s="158"/>
      <c r="D127" s="189" t="s">
        <v>803</v>
      </c>
      <c r="E127" s="160" t="s">
        <v>617</v>
      </c>
      <c r="F127" s="162" t="s">
        <v>642</v>
      </c>
      <c r="G127" s="163"/>
      <c r="H127" s="163"/>
      <c r="I127" s="158"/>
      <c r="J127" s="158"/>
      <c r="K127" s="167"/>
      <c r="L127" s="168"/>
      <c r="M127" s="167" t="s">
        <v>909</v>
      </c>
      <c r="N127" s="167"/>
      <c r="O127" s="210"/>
      <c r="P127" s="201" t="s">
        <v>912</v>
      </c>
      <c r="Q127" s="169"/>
      <c r="R127" s="158"/>
      <c r="S127" s="158"/>
      <c r="T127" s="162"/>
      <c r="U127" s="164"/>
      <c r="V127" s="165"/>
      <c r="W127" s="166"/>
      <c r="X127" s="172"/>
      <c r="Y127" s="174"/>
      <c r="Z127" s="176"/>
      <c r="AA127" s="178" t="str">
        <f t="shared" si="10"/>
        <v xml:space="preserve"> - </v>
      </c>
      <c r="AB127" s="180" t="str">
        <f t="shared" si="11"/>
        <v xml:space="preserve"> - </v>
      </c>
      <c r="AC127" s="180" t="str">
        <f t="shared" si="12"/>
        <v xml:space="preserve"> - </v>
      </c>
      <c r="AD127" s="182" t="str">
        <f t="shared" si="9"/>
        <v xml:space="preserve"> - </v>
      </c>
      <c r="AE127" s="184">
        <f t="shared" si="13"/>
        <v>0</v>
      </c>
      <c r="AF127" s="186">
        <f t="shared" ref="AF127:AF190" si="14">AE127 / IF( ISNUMBER($Q127),  $Q127, 1)</f>
        <v>0</v>
      </c>
      <c r="AG127" s="188" t="str">
        <f t="array" ref="AG127" xml:space="preserve"> IFERROR( IF( D127="", "-", _xlfn.AGGREGATE(15,6, ( ( ($D$21:$D$27 = D127) * IF($D$19&lt;&gt;"", --($E$21:$E$27 = E127), 1) * IF($H$19&lt;&gt;"", --($F$21:$F$27 = F127), 1)  ) / ( ( $D$21:$D$27 = D127) * IF($D$19&lt;&gt;"", --($E$21:$E$27 = E127), 1)  * IF($H$19&lt;&gt;"", --($F$21:$F$27 = F127), 1) ) ) * $AF$21:$AF$27,1)    ), "-")</f>
        <v>-</v>
      </c>
      <c r="BB127"/>
      <c r="BE127" s="67"/>
    </row>
    <row r="128" spans="2:57" x14ac:dyDescent="0.25">
      <c r="B128" s="158" t="s">
        <v>364</v>
      </c>
      <c r="C128" s="158"/>
      <c r="D128" s="189" t="s">
        <v>803</v>
      </c>
      <c r="E128" s="160" t="s">
        <v>617</v>
      </c>
      <c r="F128" s="162" t="s">
        <v>644</v>
      </c>
      <c r="G128" s="163"/>
      <c r="H128" s="163"/>
      <c r="I128" s="158"/>
      <c r="J128" s="158"/>
      <c r="K128" s="167"/>
      <c r="L128" s="168"/>
      <c r="M128" s="167" t="s">
        <v>909</v>
      </c>
      <c r="N128" s="167"/>
      <c r="O128" s="210"/>
      <c r="P128" s="201" t="s">
        <v>912</v>
      </c>
      <c r="Q128" s="169"/>
      <c r="R128" s="158"/>
      <c r="S128" s="158"/>
      <c r="T128" s="162"/>
      <c r="U128" s="164"/>
      <c r="V128" s="165"/>
      <c r="W128" s="166"/>
      <c r="X128" s="172"/>
      <c r="Y128" s="174"/>
      <c r="Z128" s="176"/>
      <c r="AA128" s="178" t="str">
        <f t="shared" si="10"/>
        <v xml:space="preserve"> - </v>
      </c>
      <c r="AB128" s="180" t="str">
        <f t="shared" si="11"/>
        <v xml:space="preserve"> - </v>
      </c>
      <c r="AC128" s="180" t="str">
        <f t="shared" si="12"/>
        <v xml:space="preserve"> - </v>
      </c>
      <c r="AD128" s="182" t="str">
        <f t="shared" si="9"/>
        <v xml:space="preserve"> - </v>
      </c>
      <c r="AE128" s="184">
        <f t="shared" si="13"/>
        <v>0</v>
      </c>
      <c r="AF128" s="186">
        <f t="shared" si="14"/>
        <v>0</v>
      </c>
      <c r="AG128" s="188" t="str">
        <f t="array" ref="AG128" xml:space="preserve"> IFERROR( IF( D128="", "-", _xlfn.AGGREGATE(15,6, ( ( ($D$21:$D$27 = D128) * IF($D$19&lt;&gt;"", --($E$21:$E$27 = E128), 1) * IF($H$19&lt;&gt;"", --($F$21:$F$27 = F128), 1)  ) / ( ( $D$21:$D$27 = D128) * IF($D$19&lt;&gt;"", --($E$21:$E$27 = E128), 1)  * IF($H$19&lt;&gt;"", --($F$21:$F$27 = F128), 1) ) ) * $AF$21:$AF$27,1)    ), "-")</f>
        <v>-</v>
      </c>
      <c r="BB128"/>
      <c r="BE128" s="67"/>
    </row>
    <row r="129" spans="2:57" x14ac:dyDescent="0.25">
      <c r="B129" s="158" t="s">
        <v>365</v>
      </c>
      <c r="C129" s="158"/>
      <c r="D129" s="189" t="s">
        <v>803</v>
      </c>
      <c r="E129" s="160" t="s">
        <v>617</v>
      </c>
      <c r="F129" s="162" t="s">
        <v>645</v>
      </c>
      <c r="G129" s="163"/>
      <c r="H129" s="163"/>
      <c r="I129" s="158"/>
      <c r="J129" s="158"/>
      <c r="K129" s="167"/>
      <c r="L129" s="168"/>
      <c r="M129" s="167" t="s">
        <v>909</v>
      </c>
      <c r="N129" s="167"/>
      <c r="O129" s="210"/>
      <c r="P129" s="201" t="s">
        <v>912</v>
      </c>
      <c r="Q129" s="169"/>
      <c r="R129" s="158"/>
      <c r="S129" s="158"/>
      <c r="T129" s="162"/>
      <c r="U129" s="164"/>
      <c r="V129" s="165"/>
      <c r="W129" s="166"/>
      <c r="X129" s="172"/>
      <c r="Y129" s="174"/>
      <c r="Z129" s="176"/>
      <c r="AA129" s="178" t="str">
        <f t="shared" si="10"/>
        <v xml:space="preserve"> - </v>
      </c>
      <c r="AB129" s="180" t="str">
        <f t="shared" si="11"/>
        <v xml:space="preserve"> - </v>
      </c>
      <c r="AC129" s="180" t="str">
        <f t="shared" si="12"/>
        <v xml:space="preserve"> - </v>
      </c>
      <c r="AD129" s="182" t="str">
        <f t="shared" si="9"/>
        <v xml:space="preserve"> - </v>
      </c>
      <c r="AE129" s="184">
        <f t="shared" si="13"/>
        <v>0</v>
      </c>
      <c r="AF129" s="186">
        <f t="shared" si="14"/>
        <v>0</v>
      </c>
      <c r="AG129" s="188" t="str">
        <f t="array" ref="AG129" xml:space="preserve"> IFERROR( IF( D129="", "-", _xlfn.AGGREGATE(15,6, ( ( ($D$21:$D$27 = D129) * IF($D$19&lt;&gt;"", --($E$21:$E$27 = E129), 1) * IF($H$19&lt;&gt;"", --($F$21:$F$27 = F129), 1)  ) / ( ( $D$21:$D$27 = D129) * IF($D$19&lt;&gt;"", --($E$21:$E$27 = E129), 1)  * IF($H$19&lt;&gt;"", --($F$21:$F$27 = F129), 1) ) ) * $AF$21:$AF$27,1)    ), "-")</f>
        <v>-</v>
      </c>
      <c r="BB129"/>
      <c r="BE129" s="67"/>
    </row>
    <row r="130" spans="2:57" x14ac:dyDescent="0.25">
      <c r="B130" s="158" t="s">
        <v>366</v>
      </c>
      <c r="C130" s="158"/>
      <c r="D130" s="189" t="s">
        <v>803</v>
      </c>
      <c r="E130" s="160" t="s">
        <v>617</v>
      </c>
      <c r="F130" s="162" t="s">
        <v>646</v>
      </c>
      <c r="G130" s="163"/>
      <c r="H130" s="163"/>
      <c r="I130" s="158"/>
      <c r="J130" s="158"/>
      <c r="K130" s="167"/>
      <c r="L130" s="168"/>
      <c r="M130" s="167" t="s">
        <v>909</v>
      </c>
      <c r="N130" s="167"/>
      <c r="O130" s="210"/>
      <c r="P130" s="201" t="s">
        <v>912</v>
      </c>
      <c r="Q130" s="169"/>
      <c r="R130" s="158"/>
      <c r="S130" s="158"/>
      <c r="T130" s="162"/>
      <c r="U130" s="164"/>
      <c r="V130" s="165"/>
      <c r="W130" s="166"/>
      <c r="X130" s="172"/>
      <c r="Y130" s="174"/>
      <c r="Z130" s="176"/>
      <c r="AA130" s="178" t="str">
        <f t="shared" si="10"/>
        <v xml:space="preserve"> - </v>
      </c>
      <c r="AB130" s="180" t="str">
        <f t="shared" si="11"/>
        <v xml:space="preserve"> - </v>
      </c>
      <c r="AC130" s="180" t="str">
        <f t="shared" si="12"/>
        <v xml:space="preserve"> - </v>
      </c>
      <c r="AD130" s="182" t="str">
        <f t="shared" si="9"/>
        <v xml:space="preserve"> - </v>
      </c>
      <c r="AE130" s="184">
        <f t="shared" si="13"/>
        <v>0</v>
      </c>
      <c r="AF130" s="186">
        <f t="shared" si="14"/>
        <v>0</v>
      </c>
      <c r="AG130" s="188" t="str">
        <f t="array" ref="AG130" xml:space="preserve"> IFERROR( IF( D130="", "-", _xlfn.AGGREGATE(15,6, ( ( ($D$21:$D$27 = D130) * IF($D$19&lt;&gt;"", --($E$21:$E$27 = E130), 1) * IF($H$19&lt;&gt;"", --($F$21:$F$27 = F130), 1)  ) / ( ( $D$21:$D$27 = D130) * IF($D$19&lt;&gt;"", --($E$21:$E$27 = E130), 1)  * IF($H$19&lt;&gt;"", --($F$21:$F$27 = F130), 1) ) ) * $AF$21:$AF$27,1)    ), "-")</f>
        <v>-</v>
      </c>
      <c r="BB130"/>
      <c r="BE130" s="67"/>
    </row>
    <row r="131" spans="2:57" x14ac:dyDescent="0.25">
      <c r="B131" s="158" t="s">
        <v>367</v>
      </c>
      <c r="C131" s="158"/>
      <c r="D131" s="189" t="s">
        <v>803</v>
      </c>
      <c r="E131" s="160" t="s">
        <v>617</v>
      </c>
      <c r="F131" s="162" t="s">
        <v>647</v>
      </c>
      <c r="G131" s="163"/>
      <c r="H131" s="163"/>
      <c r="I131" s="158"/>
      <c r="J131" s="158"/>
      <c r="K131" s="167"/>
      <c r="L131" s="168"/>
      <c r="M131" s="167" t="s">
        <v>909</v>
      </c>
      <c r="N131" s="167"/>
      <c r="O131" s="210"/>
      <c r="P131" s="201" t="s">
        <v>912</v>
      </c>
      <c r="Q131" s="169"/>
      <c r="R131" s="158"/>
      <c r="S131" s="158"/>
      <c r="T131" s="162"/>
      <c r="U131" s="164"/>
      <c r="V131" s="165"/>
      <c r="W131" s="166"/>
      <c r="X131" s="172"/>
      <c r="Y131" s="174"/>
      <c r="Z131" s="176"/>
      <c r="AA131" s="178" t="str">
        <f t="shared" si="10"/>
        <v xml:space="preserve"> - </v>
      </c>
      <c r="AB131" s="180" t="str">
        <f t="shared" si="11"/>
        <v xml:space="preserve"> - </v>
      </c>
      <c r="AC131" s="180" t="str">
        <f t="shared" si="12"/>
        <v xml:space="preserve"> - </v>
      </c>
      <c r="AD131" s="182" t="str">
        <f t="shared" si="9"/>
        <v xml:space="preserve"> - </v>
      </c>
      <c r="AE131" s="184">
        <f t="shared" si="13"/>
        <v>0</v>
      </c>
      <c r="AF131" s="186">
        <f t="shared" si="14"/>
        <v>0</v>
      </c>
      <c r="AG131" s="188" t="str">
        <f t="array" ref="AG131" xml:space="preserve"> IFERROR( IF( D131="", "-", _xlfn.AGGREGATE(15,6, ( ( ($D$21:$D$27 = D131) * IF($D$19&lt;&gt;"", --($E$21:$E$27 = E131), 1) * IF($H$19&lt;&gt;"", --($F$21:$F$27 = F131), 1)  ) / ( ( $D$21:$D$27 = D131) * IF($D$19&lt;&gt;"", --($E$21:$E$27 = E131), 1)  * IF($H$19&lt;&gt;"", --($F$21:$F$27 = F131), 1) ) ) * $AF$21:$AF$27,1)    ), "-")</f>
        <v>-</v>
      </c>
      <c r="BB131"/>
      <c r="BE131" s="67"/>
    </row>
    <row r="132" spans="2:57" x14ac:dyDescent="0.25">
      <c r="B132" s="158" t="s">
        <v>368</v>
      </c>
      <c r="C132" s="158"/>
      <c r="D132" s="189" t="s">
        <v>803</v>
      </c>
      <c r="E132" s="160" t="s">
        <v>617</v>
      </c>
      <c r="F132" s="162" t="s">
        <v>648</v>
      </c>
      <c r="G132" s="163"/>
      <c r="H132" s="163"/>
      <c r="I132" s="158"/>
      <c r="J132" s="158"/>
      <c r="K132" s="167"/>
      <c r="L132" s="168"/>
      <c r="M132" s="167" t="s">
        <v>909</v>
      </c>
      <c r="N132" s="167"/>
      <c r="O132" s="210"/>
      <c r="P132" s="201" t="s">
        <v>912</v>
      </c>
      <c r="Q132" s="169"/>
      <c r="R132" s="158"/>
      <c r="S132" s="158"/>
      <c r="T132" s="162"/>
      <c r="U132" s="164"/>
      <c r="V132" s="165"/>
      <c r="W132" s="166"/>
      <c r="X132" s="172"/>
      <c r="Y132" s="174"/>
      <c r="Z132" s="176"/>
      <c r="AA132" s="178" t="str">
        <f t="shared" si="10"/>
        <v xml:space="preserve"> - </v>
      </c>
      <c r="AB132" s="180" t="str">
        <f t="shared" si="11"/>
        <v xml:space="preserve"> - </v>
      </c>
      <c r="AC132" s="180" t="str">
        <f t="shared" si="12"/>
        <v xml:space="preserve"> - </v>
      </c>
      <c r="AD132" s="182" t="str">
        <f t="shared" si="9"/>
        <v xml:space="preserve"> - </v>
      </c>
      <c r="AE132" s="184">
        <f t="shared" si="13"/>
        <v>0</v>
      </c>
      <c r="AF132" s="186">
        <f t="shared" si="14"/>
        <v>0</v>
      </c>
      <c r="AG132" s="188" t="str">
        <f t="array" ref="AG132" xml:space="preserve"> IFERROR( IF( D132="", "-", _xlfn.AGGREGATE(15,6, ( ( ($D$21:$D$27 = D132) * IF($D$19&lt;&gt;"", --($E$21:$E$27 = E132), 1) * IF($H$19&lt;&gt;"", --($F$21:$F$27 = F132), 1)  ) / ( ( $D$21:$D$27 = D132) * IF($D$19&lt;&gt;"", --($E$21:$E$27 = E132), 1)  * IF($H$19&lt;&gt;"", --($F$21:$F$27 = F132), 1) ) ) * $AF$21:$AF$27,1)    ), "-")</f>
        <v>-</v>
      </c>
      <c r="BB132"/>
      <c r="BE132" s="67"/>
    </row>
    <row r="133" spans="2:57" x14ac:dyDescent="0.25">
      <c r="B133" s="158" t="s">
        <v>369</v>
      </c>
      <c r="C133" s="158"/>
      <c r="D133" s="189" t="s">
        <v>803</v>
      </c>
      <c r="E133" s="160" t="s">
        <v>617</v>
      </c>
      <c r="F133" s="162" t="s">
        <v>649</v>
      </c>
      <c r="G133" s="163"/>
      <c r="H133" s="163"/>
      <c r="I133" s="158"/>
      <c r="J133" s="158"/>
      <c r="K133" s="167"/>
      <c r="L133" s="168"/>
      <c r="M133" s="167" t="s">
        <v>909</v>
      </c>
      <c r="N133" s="167"/>
      <c r="O133" s="210"/>
      <c r="P133" s="201" t="s">
        <v>912</v>
      </c>
      <c r="Q133" s="169"/>
      <c r="R133" s="158"/>
      <c r="S133" s="158"/>
      <c r="T133" s="162"/>
      <c r="U133" s="164"/>
      <c r="V133" s="165"/>
      <c r="W133" s="166"/>
      <c r="X133" s="172"/>
      <c r="Y133" s="174"/>
      <c r="Z133" s="176"/>
      <c r="AA133" s="178" t="str">
        <f t="shared" si="10"/>
        <v xml:space="preserve"> - </v>
      </c>
      <c r="AB133" s="180" t="str">
        <f t="shared" si="11"/>
        <v xml:space="preserve"> - </v>
      </c>
      <c r="AC133" s="180" t="str">
        <f t="shared" si="12"/>
        <v xml:space="preserve"> - </v>
      </c>
      <c r="AD133" s="182" t="str">
        <f t="shared" si="9"/>
        <v xml:space="preserve"> - </v>
      </c>
      <c r="AE133" s="184">
        <f t="shared" si="13"/>
        <v>0</v>
      </c>
      <c r="AF133" s="186">
        <f t="shared" si="14"/>
        <v>0</v>
      </c>
      <c r="AG133" s="188" t="str">
        <f t="array" ref="AG133" xml:space="preserve"> IFERROR( IF( D133="", "-", _xlfn.AGGREGATE(15,6, ( ( ($D$21:$D$27 = D133) * IF($D$19&lt;&gt;"", --($E$21:$E$27 = E133), 1) * IF($H$19&lt;&gt;"", --($F$21:$F$27 = F133), 1)  ) / ( ( $D$21:$D$27 = D133) * IF($D$19&lt;&gt;"", --($E$21:$E$27 = E133), 1)  * IF($H$19&lt;&gt;"", --($F$21:$F$27 = F133), 1) ) ) * $AF$21:$AF$27,1)    ), "-")</f>
        <v>-</v>
      </c>
      <c r="BB133"/>
      <c r="BE133" s="67"/>
    </row>
    <row r="134" spans="2:57" x14ac:dyDescent="0.25">
      <c r="B134" s="158" t="s">
        <v>370</v>
      </c>
      <c r="C134" s="158"/>
      <c r="D134" s="189" t="s">
        <v>803</v>
      </c>
      <c r="E134" s="160" t="s">
        <v>617</v>
      </c>
      <c r="F134" s="162" t="s">
        <v>650</v>
      </c>
      <c r="G134" s="163"/>
      <c r="H134" s="163"/>
      <c r="I134" s="158"/>
      <c r="J134" s="158"/>
      <c r="K134" s="167"/>
      <c r="L134" s="168"/>
      <c r="M134" s="167" t="s">
        <v>909</v>
      </c>
      <c r="N134" s="167"/>
      <c r="O134" s="210"/>
      <c r="P134" s="201" t="s">
        <v>912</v>
      </c>
      <c r="Q134" s="169"/>
      <c r="R134" s="158"/>
      <c r="S134" s="158"/>
      <c r="T134" s="162"/>
      <c r="U134" s="164"/>
      <c r="V134" s="165"/>
      <c r="W134" s="166"/>
      <c r="X134" s="172"/>
      <c r="Y134" s="174"/>
      <c r="Z134" s="176"/>
      <c r="AA134" s="178" t="str">
        <f t="shared" si="10"/>
        <v xml:space="preserve"> - </v>
      </c>
      <c r="AB134" s="180" t="str">
        <f t="shared" si="11"/>
        <v xml:space="preserve"> - </v>
      </c>
      <c r="AC134" s="180" t="str">
        <f t="shared" si="12"/>
        <v xml:space="preserve"> - </v>
      </c>
      <c r="AD134" s="182" t="str">
        <f t="shared" si="9"/>
        <v xml:space="preserve"> - </v>
      </c>
      <c r="AE134" s="184">
        <f t="shared" si="13"/>
        <v>0</v>
      </c>
      <c r="AF134" s="186">
        <f t="shared" si="14"/>
        <v>0</v>
      </c>
      <c r="AG134" s="188" t="str">
        <f t="array" ref="AG134" xml:space="preserve"> IFERROR( IF( D134="", "-", _xlfn.AGGREGATE(15,6, ( ( ($D$21:$D$27 = D134) * IF($D$19&lt;&gt;"", --($E$21:$E$27 = E134), 1) * IF($H$19&lt;&gt;"", --($F$21:$F$27 = F134), 1)  ) / ( ( $D$21:$D$27 = D134) * IF($D$19&lt;&gt;"", --($E$21:$E$27 = E134), 1)  * IF($H$19&lt;&gt;"", --($F$21:$F$27 = F134), 1) ) ) * $AF$21:$AF$27,1)    ), "-")</f>
        <v>-</v>
      </c>
      <c r="BB134"/>
      <c r="BE134" s="67"/>
    </row>
    <row r="135" spans="2:57" x14ac:dyDescent="0.25">
      <c r="B135" s="158" t="s">
        <v>371</v>
      </c>
      <c r="C135" s="158"/>
      <c r="D135" s="189" t="s">
        <v>803</v>
      </c>
      <c r="E135" s="160" t="s">
        <v>617</v>
      </c>
      <c r="F135" s="162" t="s">
        <v>651</v>
      </c>
      <c r="G135" s="163"/>
      <c r="H135" s="163"/>
      <c r="I135" s="158"/>
      <c r="J135" s="158"/>
      <c r="K135" s="167"/>
      <c r="L135" s="168"/>
      <c r="M135" s="167" t="s">
        <v>909</v>
      </c>
      <c r="N135" s="167"/>
      <c r="O135" s="210"/>
      <c r="P135" s="201" t="s">
        <v>912</v>
      </c>
      <c r="Q135" s="169"/>
      <c r="R135" s="158"/>
      <c r="S135" s="158"/>
      <c r="T135" s="162"/>
      <c r="U135" s="164"/>
      <c r="V135" s="165"/>
      <c r="W135" s="166"/>
      <c r="X135" s="172"/>
      <c r="Y135" s="174"/>
      <c r="Z135" s="176"/>
      <c r="AA135" s="178" t="str">
        <f t="shared" si="10"/>
        <v xml:space="preserve"> - </v>
      </c>
      <c r="AB135" s="180" t="str">
        <f t="shared" si="11"/>
        <v xml:space="preserve"> - </v>
      </c>
      <c r="AC135" s="180" t="str">
        <f t="shared" si="12"/>
        <v xml:space="preserve"> - </v>
      </c>
      <c r="AD135" s="182" t="str">
        <f t="shared" si="9"/>
        <v xml:space="preserve"> - </v>
      </c>
      <c r="AE135" s="184">
        <f t="shared" si="13"/>
        <v>0</v>
      </c>
      <c r="AF135" s="186">
        <f t="shared" si="14"/>
        <v>0</v>
      </c>
      <c r="AG135" s="188" t="str">
        <f t="array" ref="AG135" xml:space="preserve"> IFERROR( IF( D135="", "-", _xlfn.AGGREGATE(15,6, ( ( ($D$21:$D$27 = D135) * IF($D$19&lt;&gt;"", --($E$21:$E$27 = E135), 1) * IF($H$19&lt;&gt;"", --($F$21:$F$27 = F135), 1)  ) / ( ( $D$21:$D$27 = D135) * IF($D$19&lt;&gt;"", --($E$21:$E$27 = E135), 1)  * IF($H$19&lt;&gt;"", --($F$21:$F$27 = F135), 1) ) ) * $AF$21:$AF$27,1)    ), "-")</f>
        <v>-</v>
      </c>
      <c r="BB135"/>
      <c r="BE135" s="67"/>
    </row>
    <row r="136" spans="2:57" x14ac:dyDescent="0.25">
      <c r="B136" s="158" t="s">
        <v>372</v>
      </c>
      <c r="C136" s="158"/>
      <c r="D136" s="189" t="s">
        <v>803</v>
      </c>
      <c r="E136" s="160" t="s">
        <v>617</v>
      </c>
      <c r="F136" s="162" t="s">
        <v>652</v>
      </c>
      <c r="G136" s="163"/>
      <c r="H136" s="163"/>
      <c r="I136" s="158"/>
      <c r="J136" s="158"/>
      <c r="K136" s="167"/>
      <c r="L136" s="168"/>
      <c r="M136" s="167" t="s">
        <v>909</v>
      </c>
      <c r="N136" s="167"/>
      <c r="O136" s="210"/>
      <c r="P136" s="201" t="s">
        <v>912</v>
      </c>
      <c r="Q136" s="169"/>
      <c r="R136" s="158"/>
      <c r="S136" s="158"/>
      <c r="T136" s="162"/>
      <c r="U136" s="164"/>
      <c r="V136" s="165"/>
      <c r="W136" s="166"/>
      <c r="X136" s="172"/>
      <c r="Y136" s="174"/>
      <c r="Z136" s="176"/>
      <c r="AA136" s="178" t="str">
        <f t="shared" si="10"/>
        <v xml:space="preserve"> - </v>
      </c>
      <c r="AB136" s="180" t="str">
        <f t="shared" si="11"/>
        <v xml:space="preserve"> - </v>
      </c>
      <c r="AC136" s="180" t="str">
        <f t="shared" si="12"/>
        <v xml:space="preserve"> - </v>
      </c>
      <c r="AD136" s="182" t="str">
        <f t="shared" si="9"/>
        <v xml:space="preserve"> - </v>
      </c>
      <c r="AE136" s="184">
        <f t="shared" si="13"/>
        <v>0</v>
      </c>
      <c r="AF136" s="186">
        <f t="shared" si="14"/>
        <v>0</v>
      </c>
      <c r="AG136" s="188" t="str">
        <f t="array" ref="AG136" xml:space="preserve"> IFERROR( IF( D136="", "-", _xlfn.AGGREGATE(15,6, ( ( ($D$21:$D$27 = D136) * IF($D$19&lt;&gt;"", --($E$21:$E$27 = E136), 1) * IF($H$19&lt;&gt;"", --($F$21:$F$27 = F136), 1)  ) / ( ( $D$21:$D$27 = D136) * IF($D$19&lt;&gt;"", --($E$21:$E$27 = E136), 1)  * IF($H$19&lt;&gt;"", --($F$21:$F$27 = F136), 1) ) ) * $AF$21:$AF$27,1)    ), "-")</f>
        <v>-</v>
      </c>
      <c r="BB136"/>
      <c r="BE136" s="67"/>
    </row>
    <row r="137" spans="2:57" x14ac:dyDescent="0.25">
      <c r="B137" s="158" t="s">
        <v>373</v>
      </c>
      <c r="C137" s="158"/>
      <c r="D137" s="189" t="s">
        <v>653</v>
      </c>
      <c r="E137" s="160"/>
      <c r="F137" s="162">
        <v>1</v>
      </c>
      <c r="G137" s="163"/>
      <c r="H137" s="163"/>
      <c r="I137" s="158"/>
      <c r="J137" s="158"/>
      <c r="K137" s="167"/>
      <c r="L137" s="168"/>
      <c r="M137" s="167" t="s">
        <v>74</v>
      </c>
      <c r="N137" s="167"/>
      <c r="O137" s="210"/>
      <c r="P137" s="201" t="s">
        <v>86</v>
      </c>
      <c r="Q137" s="169"/>
      <c r="R137" s="158"/>
      <c r="S137" s="158"/>
      <c r="T137" s="162"/>
      <c r="U137" s="164"/>
      <c r="V137" s="165"/>
      <c r="W137" s="166"/>
      <c r="X137" s="172"/>
      <c r="Y137" s="174"/>
      <c r="Z137" s="176"/>
      <c r="AA137" s="178" t="str">
        <f t="shared" si="10"/>
        <v xml:space="preserve"> - </v>
      </c>
      <c r="AB137" s="180" t="str">
        <f t="shared" si="11"/>
        <v xml:space="preserve"> - </v>
      </c>
      <c r="AC137" s="180" t="str">
        <f t="shared" si="12"/>
        <v xml:space="preserve"> - </v>
      </c>
      <c r="AD137" s="182" t="str">
        <f t="shared" si="9"/>
        <v xml:space="preserve"> - </v>
      </c>
      <c r="AE137" s="184">
        <f t="shared" si="13"/>
        <v>0</v>
      </c>
      <c r="AF137" s="186">
        <f t="shared" si="14"/>
        <v>0</v>
      </c>
      <c r="AG137" s="188" t="str">
        <f t="array" ref="AG137" xml:space="preserve"> IFERROR( IF( D137="", "-", _xlfn.AGGREGATE(15,6, ( ( ($D$21:$D$27 = D137) * IF($D$19&lt;&gt;"", --($E$21:$E$27 = E137), 1) * IF($H$19&lt;&gt;"", --($F$21:$F$27 = F137), 1)  ) / ( ( $D$21:$D$27 = D137) * IF($D$19&lt;&gt;"", --($E$21:$E$27 = E137), 1)  * IF($H$19&lt;&gt;"", --($F$21:$F$27 = F137), 1) ) ) * $AF$21:$AF$27,1)    ), "-")</f>
        <v>-</v>
      </c>
      <c r="BB137"/>
      <c r="BE137" s="67"/>
    </row>
    <row r="138" spans="2:57" x14ac:dyDescent="0.25">
      <c r="B138" s="158" t="s">
        <v>374</v>
      </c>
      <c r="C138" s="158"/>
      <c r="D138" s="189" t="s">
        <v>653</v>
      </c>
      <c r="E138" s="160"/>
      <c r="F138" s="162" t="s">
        <v>670</v>
      </c>
      <c r="G138" s="163"/>
      <c r="H138" s="163"/>
      <c r="I138" s="158"/>
      <c r="J138" s="158"/>
      <c r="K138" s="167"/>
      <c r="L138" s="168"/>
      <c r="M138" s="167" t="s">
        <v>74</v>
      </c>
      <c r="N138" s="167"/>
      <c r="O138" s="210"/>
      <c r="P138" s="201" t="s">
        <v>86</v>
      </c>
      <c r="Q138" s="169"/>
      <c r="R138" s="158"/>
      <c r="S138" s="158"/>
      <c r="T138" s="162"/>
      <c r="U138" s="164"/>
      <c r="V138" s="165"/>
      <c r="W138" s="166"/>
      <c r="X138" s="172"/>
      <c r="Y138" s="174"/>
      <c r="Z138" s="176"/>
      <c r="AA138" s="178" t="str">
        <f t="shared" si="10"/>
        <v xml:space="preserve"> - </v>
      </c>
      <c r="AB138" s="180" t="str">
        <f t="shared" si="11"/>
        <v xml:space="preserve"> - </v>
      </c>
      <c r="AC138" s="180" t="str">
        <f t="shared" si="12"/>
        <v xml:space="preserve"> - </v>
      </c>
      <c r="AD138" s="182" t="str">
        <f t="shared" si="9"/>
        <v xml:space="preserve"> - </v>
      </c>
      <c r="AE138" s="184">
        <f t="shared" si="13"/>
        <v>0</v>
      </c>
      <c r="AF138" s="186">
        <f t="shared" si="14"/>
        <v>0</v>
      </c>
      <c r="AG138" s="188" t="str">
        <f t="array" ref="AG138" xml:space="preserve"> IFERROR( IF( D138="", "-", _xlfn.AGGREGATE(15,6, ( ( ($D$21:$D$27 = D138) * IF($D$19&lt;&gt;"", --($E$21:$E$27 = E138), 1) * IF($H$19&lt;&gt;"", --($F$21:$F$27 = F138), 1)  ) / ( ( $D$21:$D$27 = D138) * IF($D$19&lt;&gt;"", --($E$21:$E$27 = E138), 1)  * IF($H$19&lt;&gt;"", --($F$21:$F$27 = F138), 1) ) ) * $AF$21:$AF$27,1)    ), "-")</f>
        <v>-</v>
      </c>
      <c r="BB138"/>
      <c r="BE138" s="67"/>
    </row>
    <row r="139" spans="2:57" x14ac:dyDescent="0.25">
      <c r="B139" s="158" t="s">
        <v>375</v>
      </c>
      <c r="C139" s="158"/>
      <c r="D139" s="189" t="s">
        <v>653</v>
      </c>
      <c r="E139" s="160"/>
      <c r="F139" s="162" t="s">
        <v>654</v>
      </c>
      <c r="G139" s="163"/>
      <c r="H139" s="163"/>
      <c r="I139" s="158"/>
      <c r="J139" s="158"/>
      <c r="K139" s="167"/>
      <c r="L139" s="168"/>
      <c r="M139" s="167" t="s">
        <v>74</v>
      </c>
      <c r="N139" s="167"/>
      <c r="O139" s="210"/>
      <c r="P139" s="201" t="s">
        <v>86</v>
      </c>
      <c r="Q139" s="169"/>
      <c r="R139" s="158"/>
      <c r="S139" s="158"/>
      <c r="T139" s="162"/>
      <c r="U139" s="164"/>
      <c r="V139" s="165"/>
      <c r="W139" s="166"/>
      <c r="X139" s="172"/>
      <c r="Y139" s="174"/>
      <c r="Z139" s="176"/>
      <c r="AA139" s="178" t="str">
        <f t="shared" si="10"/>
        <v xml:space="preserve"> - </v>
      </c>
      <c r="AB139" s="180" t="str">
        <f t="shared" si="11"/>
        <v xml:space="preserve"> - </v>
      </c>
      <c r="AC139" s="180" t="str">
        <f t="shared" si="12"/>
        <v xml:space="preserve"> - </v>
      </c>
      <c r="AD139" s="182" t="str">
        <f t="shared" si="9"/>
        <v xml:space="preserve"> - </v>
      </c>
      <c r="AE139" s="184">
        <f t="shared" si="13"/>
        <v>0</v>
      </c>
      <c r="AF139" s="186">
        <f t="shared" si="14"/>
        <v>0</v>
      </c>
      <c r="AG139" s="188" t="str">
        <f t="array" ref="AG139" xml:space="preserve"> IFERROR( IF( D139="", "-", _xlfn.AGGREGATE(15,6, ( ( ($D$21:$D$27 = D139) * IF($D$19&lt;&gt;"", --($E$21:$E$27 = E139), 1) * IF($H$19&lt;&gt;"", --($F$21:$F$27 = F139), 1)  ) / ( ( $D$21:$D$27 = D139) * IF($D$19&lt;&gt;"", --($E$21:$E$27 = E139), 1)  * IF($H$19&lt;&gt;"", --($F$21:$F$27 = F139), 1) ) ) * $AF$21:$AF$27,1)    ), "-")</f>
        <v>-</v>
      </c>
      <c r="BB139"/>
      <c r="BE139" s="67"/>
    </row>
    <row r="140" spans="2:57" x14ac:dyDescent="0.25">
      <c r="B140" s="158" t="s">
        <v>376</v>
      </c>
      <c r="C140" s="158"/>
      <c r="D140" s="189" t="s">
        <v>653</v>
      </c>
      <c r="E140" s="160"/>
      <c r="F140" s="162" t="s">
        <v>655</v>
      </c>
      <c r="G140" s="163"/>
      <c r="H140" s="163"/>
      <c r="I140" s="158"/>
      <c r="J140" s="158"/>
      <c r="K140" s="167"/>
      <c r="L140" s="168"/>
      <c r="M140" s="167" t="s">
        <v>74</v>
      </c>
      <c r="N140" s="167"/>
      <c r="O140" s="210"/>
      <c r="P140" s="201" t="s">
        <v>86</v>
      </c>
      <c r="Q140" s="169"/>
      <c r="R140" s="158"/>
      <c r="S140" s="158"/>
      <c r="T140" s="162"/>
      <c r="U140" s="164"/>
      <c r="V140" s="165"/>
      <c r="W140" s="166"/>
      <c r="X140" s="172"/>
      <c r="Y140" s="174"/>
      <c r="Z140" s="176"/>
      <c r="AA140" s="178" t="str">
        <f t="shared" si="10"/>
        <v xml:space="preserve"> - </v>
      </c>
      <c r="AB140" s="180" t="str">
        <f t="shared" si="11"/>
        <v xml:space="preserve"> - </v>
      </c>
      <c r="AC140" s="180" t="str">
        <f t="shared" si="12"/>
        <v xml:space="preserve"> - </v>
      </c>
      <c r="AD140" s="182" t="str">
        <f t="shared" si="9"/>
        <v xml:space="preserve"> - </v>
      </c>
      <c r="AE140" s="184">
        <f t="shared" si="13"/>
        <v>0</v>
      </c>
      <c r="AF140" s="186">
        <f t="shared" si="14"/>
        <v>0</v>
      </c>
      <c r="AG140" s="188" t="str">
        <f t="array" ref="AG140" xml:space="preserve"> IFERROR( IF( D140="", "-", _xlfn.AGGREGATE(15,6, ( ( ($D$21:$D$27 = D140) * IF($D$19&lt;&gt;"", --($E$21:$E$27 = E140), 1) * IF($H$19&lt;&gt;"", --($F$21:$F$27 = F140), 1)  ) / ( ( $D$21:$D$27 = D140) * IF($D$19&lt;&gt;"", --($E$21:$E$27 = E140), 1)  * IF($H$19&lt;&gt;"", --($F$21:$F$27 = F140), 1) ) ) * $AF$21:$AF$27,1)    ), "-")</f>
        <v>-</v>
      </c>
      <c r="BB140"/>
      <c r="BE140" s="67"/>
    </row>
    <row r="141" spans="2:57" x14ac:dyDescent="0.25">
      <c r="B141" s="158" t="s">
        <v>377</v>
      </c>
      <c r="C141" s="158"/>
      <c r="D141" s="189" t="s">
        <v>653</v>
      </c>
      <c r="E141" s="160"/>
      <c r="F141" s="162" t="s">
        <v>656</v>
      </c>
      <c r="G141" s="163"/>
      <c r="H141" s="163"/>
      <c r="I141" s="158"/>
      <c r="J141" s="158"/>
      <c r="K141" s="167"/>
      <c r="L141" s="168"/>
      <c r="M141" s="167" t="s">
        <v>74</v>
      </c>
      <c r="N141" s="167"/>
      <c r="O141" s="210"/>
      <c r="P141" s="201" t="s">
        <v>86</v>
      </c>
      <c r="Q141" s="169"/>
      <c r="R141" s="158"/>
      <c r="S141" s="158"/>
      <c r="T141" s="162"/>
      <c r="U141" s="164"/>
      <c r="V141" s="165"/>
      <c r="W141" s="166"/>
      <c r="X141" s="172"/>
      <c r="Y141" s="174"/>
      <c r="Z141" s="176"/>
      <c r="AA141" s="178" t="str">
        <f t="shared" si="10"/>
        <v xml:space="preserve"> - </v>
      </c>
      <c r="AB141" s="180" t="str">
        <f t="shared" si="11"/>
        <v xml:space="preserve"> - </v>
      </c>
      <c r="AC141" s="180" t="str">
        <f t="shared" si="12"/>
        <v xml:space="preserve"> - </v>
      </c>
      <c r="AD141" s="182" t="str">
        <f t="shared" si="9"/>
        <v xml:space="preserve"> - </v>
      </c>
      <c r="AE141" s="184">
        <f t="shared" si="13"/>
        <v>0</v>
      </c>
      <c r="AF141" s="186">
        <f t="shared" si="14"/>
        <v>0</v>
      </c>
      <c r="AG141" s="188" t="str">
        <f t="array" ref="AG141" xml:space="preserve"> IFERROR( IF( D141="", "-", _xlfn.AGGREGATE(15,6, ( ( ($D$21:$D$27 = D141) * IF($D$19&lt;&gt;"", --($E$21:$E$27 = E141), 1) * IF($H$19&lt;&gt;"", --($F$21:$F$27 = F141), 1)  ) / ( ( $D$21:$D$27 = D141) * IF($D$19&lt;&gt;"", --($E$21:$E$27 = E141), 1)  * IF($H$19&lt;&gt;"", --($F$21:$F$27 = F141), 1) ) ) * $AF$21:$AF$27,1)    ), "-")</f>
        <v>-</v>
      </c>
      <c r="BB141"/>
      <c r="BE141" s="67"/>
    </row>
    <row r="142" spans="2:57" x14ac:dyDescent="0.25">
      <c r="B142" s="158" t="s">
        <v>378</v>
      </c>
      <c r="C142" s="158"/>
      <c r="D142" s="189" t="s">
        <v>653</v>
      </c>
      <c r="E142" s="160"/>
      <c r="F142" s="162" t="s">
        <v>657</v>
      </c>
      <c r="G142" s="163"/>
      <c r="H142" s="163"/>
      <c r="I142" s="158"/>
      <c r="J142" s="158"/>
      <c r="K142" s="167"/>
      <c r="L142" s="168"/>
      <c r="M142" s="167" t="s">
        <v>74</v>
      </c>
      <c r="N142" s="167"/>
      <c r="O142" s="210"/>
      <c r="P142" s="201" t="s">
        <v>86</v>
      </c>
      <c r="Q142" s="169"/>
      <c r="R142" s="158"/>
      <c r="S142" s="158"/>
      <c r="T142" s="162"/>
      <c r="U142" s="164"/>
      <c r="V142" s="165"/>
      <c r="W142" s="166"/>
      <c r="X142" s="172"/>
      <c r="Y142" s="174"/>
      <c r="Z142" s="176"/>
      <c r="AA142" s="178" t="str">
        <f t="shared" si="10"/>
        <v xml:space="preserve"> - </v>
      </c>
      <c r="AB142" s="180" t="str">
        <f t="shared" si="11"/>
        <v xml:space="preserve"> - </v>
      </c>
      <c r="AC142" s="180" t="str">
        <f t="shared" si="12"/>
        <v xml:space="preserve"> - </v>
      </c>
      <c r="AD142" s="182" t="str">
        <f t="shared" si="9"/>
        <v xml:space="preserve"> - </v>
      </c>
      <c r="AE142" s="184">
        <f t="shared" si="13"/>
        <v>0</v>
      </c>
      <c r="AF142" s="186">
        <f t="shared" si="14"/>
        <v>0</v>
      </c>
      <c r="AG142" s="188" t="str">
        <f t="array" ref="AG142" xml:space="preserve"> IFERROR( IF( D142="", "-", _xlfn.AGGREGATE(15,6, ( ( ($D$21:$D$27 = D142) * IF($D$19&lt;&gt;"", --($E$21:$E$27 = E142), 1) * IF($H$19&lt;&gt;"", --($F$21:$F$27 = F142), 1)  ) / ( ( $D$21:$D$27 = D142) * IF($D$19&lt;&gt;"", --($E$21:$E$27 = E142), 1)  * IF($H$19&lt;&gt;"", --($F$21:$F$27 = F142), 1) ) ) * $AF$21:$AF$27,1)    ), "-")</f>
        <v>-</v>
      </c>
      <c r="BB142"/>
      <c r="BE142" s="67"/>
    </row>
    <row r="143" spans="2:57" x14ac:dyDescent="0.25">
      <c r="B143" s="158" t="s">
        <v>379</v>
      </c>
      <c r="C143" s="158"/>
      <c r="D143" s="189" t="s">
        <v>653</v>
      </c>
      <c r="E143" s="160"/>
      <c r="F143" s="162" t="s">
        <v>658</v>
      </c>
      <c r="G143" s="163"/>
      <c r="H143" s="163"/>
      <c r="I143" s="158"/>
      <c r="J143" s="158"/>
      <c r="K143" s="167"/>
      <c r="L143" s="168"/>
      <c r="M143" s="167" t="s">
        <v>74</v>
      </c>
      <c r="N143" s="167"/>
      <c r="O143" s="210"/>
      <c r="P143" s="201" t="s">
        <v>86</v>
      </c>
      <c r="Q143" s="169"/>
      <c r="R143" s="158"/>
      <c r="S143" s="158"/>
      <c r="T143" s="162"/>
      <c r="U143" s="164"/>
      <c r="V143" s="165"/>
      <c r="W143" s="166"/>
      <c r="X143" s="172"/>
      <c r="Y143" s="174"/>
      <c r="Z143" s="176"/>
      <c r="AA143" s="178" t="str">
        <f t="shared" si="10"/>
        <v xml:space="preserve"> - </v>
      </c>
      <c r="AB143" s="180" t="str">
        <f t="shared" si="11"/>
        <v xml:space="preserve"> - </v>
      </c>
      <c r="AC143" s="180" t="str">
        <f t="shared" si="12"/>
        <v xml:space="preserve"> - </v>
      </c>
      <c r="AD143" s="182" t="str">
        <f t="shared" si="9"/>
        <v xml:space="preserve"> - </v>
      </c>
      <c r="AE143" s="184">
        <f t="shared" si="13"/>
        <v>0</v>
      </c>
      <c r="AF143" s="186">
        <f t="shared" si="14"/>
        <v>0</v>
      </c>
      <c r="AG143" s="188" t="str">
        <f t="array" ref="AG143" xml:space="preserve"> IFERROR( IF( D143="", "-", _xlfn.AGGREGATE(15,6, ( ( ($D$21:$D$27 = D143) * IF($D$19&lt;&gt;"", --($E$21:$E$27 = E143), 1) * IF($H$19&lt;&gt;"", --($F$21:$F$27 = F143), 1)  ) / ( ( $D$21:$D$27 = D143) * IF($D$19&lt;&gt;"", --($E$21:$E$27 = E143), 1)  * IF($H$19&lt;&gt;"", --($F$21:$F$27 = F143), 1) ) ) * $AF$21:$AF$27,1)    ), "-")</f>
        <v>-</v>
      </c>
      <c r="BB143"/>
      <c r="BE143" s="67"/>
    </row>
    <row r="144" spans="2:57" x14ac:dyDescent="0.25">
      <c r="B144" s="158" t="s">
        <v>380</v>
      </c>
      <c r="C144" s="158"/>
      <c r="D144" s="189" t="s">
        <v>653</v>
      </c>
      <c r="E144" s="160"/>
      <c r="F144" s="162" t="s">
        <v>659</v>
      </c>
      <c r="G144" s="163"/>
      <c r="H144" s="163"/>
      <c r="I144" s="158"/>
      <c r="J144" s="158"/>
      <c r="K144" s="167"/>
      <c r="L144" s="168"/>
      <c r="M144" s="167" t="s">
        <v>74</v>
      </c>
      <c r="N144" s="167"/>
      <c r="O144" s="210"/>
      <c r="P144" s="201" t="s">
        <v>86</v>
      </c>
      <c r="Q144" s="169"/>
      <c r="R144" s="158"/>
      <c r="S144" s="158"/>
      <c r="T144" s="162"/>
      <c r="U144" s="164"/>
      <c r="V144" s="165"/>
      <c r="W144" s="166"/>
      <c r="X144" s="172"/>
      <c r="Y144" s="174"/>
      <c r="Z144" s="176"/>
      <c r="AA144" s="178" t="str">
        <f t="shared" si="10"/>
        <v xml:space="preserve"> - </v>
      </c>
      <c r="AB144" s="180" t="str">
        <f t="shared" si="11"/>
        <v xml:space="preserve"> - </v>
      </c>
      <c r="AC144" s="180" t="str">
        <f t="shared" si="12"/>
        <v xml:space="preserve"> - </v>
      </c>
      <c r="AD144" s="182" t="str">
        <f t="shared" si="9"/>
        <v xml:space="preserve"> - </v>
      </c>
      <c r="AE144" s="184">
        <f t="shared" si="13"/>
        <v>0</v>
      </c>
      <c r="AF144" s="186">
        <f t="shared" si="14"/>
        <v>0</v>
      </c>
      <c r="AG144" s="188" t="str">
        <f t="array" ref="AG144" xml:space="preserve"> IFERROR( IF( D144="", "-", _xlfn.AGGREGATE(15,6, ( ( ($D$21:$D$27 = D144) * IF($D$19&lt;&gt;"", --($E$21:$E$27 = E144), 1) * IF($H$19&lt;&gt;"", --($F$21:$F$27 = F144), 1)  ) / ( ( $D$21:$D$27 = D144) * IF($D$19&lt;&gt;"", --($E$21:$E$27 = E144), 1)  * IF($H$19&lt;&gt;"", --($F$21:$F$27 = F144), 1) ) ) * $AF$21:$AF$27,1)    ), "-")</f>
        <v>-</v>
      </c>
      <c r="BB144"/>
      <c r="BE144" s="67"/>
    </row>
    <row r="145" spans="2:57" x14ac:dyDescent="0.25">
      <c r="B145" s="158" t="s">
        <v>381</v>
      </c>
      <c r="C145" s="158"/>
      <c r="D145" s="189" t="s">
        <v>653</v>
      </c>
      <c r="E145" s="160"/>
      <c r="F145" s="162" t="s">
        <v>660</v>
      </c>
      <c r="G145" s="163"/>
      <c r="H145" s="163"/>
      <c r="I145" s="158"/>
      <c r="J145" s="158"/>
      <c r="K145" s="167"/>
      <c r="L145" s="168"/>
      <c r="M145" s="167" t="s">
        <v>74</v>
      </c>
      <c r="N145" s="167"/>
      <c r="O145" s="210"/>
      <c r="P145" s="201" t="s">
        <v>86</v>
      </c>
      <c r="Q145" s="169"/>
      <c r="R145" s="158"/>
      <c r="S145" s="158"/>
      <c r="T145" s="162"/>
      <c r="U145" s="164"/>
      <c r="V145" s="165"/>
      <c r="W145" s="166"/>
      <c r="X145" s="172"/>
      <c r="Y145" s="174"/>
      <c r="Z145" s="176"/>
      <c r="AA145" s="178" t="str">
        <f t="shared" si="10"/>
        <v xml:space="preserve"> - </v>
      </c>
      <c r="AB145" s="180" t="str">
        <f t="shared" si="11"/>
        <v xml:space="preserve"> - </v>
      </c>
      <c r="AC145" s="180" t="str">
        <f t="shared" si="12"/>
        <v xml:space="preserve"> - </v>
      </c>
      <c r="AD145" s="182" t="str">
        <f t="shared" si="9"/>
        <v xml:space="preserve"> - </v>
      </c>
      <c r="AE145" s="184">
        <f t="shared" si="13"/>
        <v>0</v>
      </c>
      <c r="AF145" s="186">
        <f t="shared" si="14"/>
        <v>0</v>
      </c>
      <c r="AG145" s="188" t="str">
        <f t="array" ref="AG145" xml:space="preserve"> IFERROR( IF( D145="", "-", _xlfn.AGGREGATE(15,6, ( ( ($D$21:$D$27 = D145) * IF($D$19&lt;&gt;"", --($E$21:$E$27 = E145), 1) * IF($H$19&lt;&gt;"", --($F$21:$F$27 = F145), 1)  ) / ( ( $D$21:$D$27 = D145) * IF($D$19&lt;&gt;"", --($E$21:$E$27 = E145), 1)  * IF($H$19&lt;&gt;"", --($F$21:$F$27 = F145), 1) ) ) * $AF$21:$AF$27,1)    ), "-")</f>
        <v>-</v>
      </c>
      <c r="BB145"/>
      <c r="BE145" s="67"/>
    </row>
    <row r="146" spans="2:57" x14ac:dyDescent="0.25">
      <c r="B146" s="158" t="s">
        <v>382</v>
      </c>
      <c r="C146" s="158"/>
      <c r="D146" s="189" t="s">
        <v>653</v>
      </c>
      <c r="E146" s="160"/>
      <c r="F146" s="162" t="s">
        <v>661</v>
      </c>
      <c r="G146" s="163"/>
      <c r="H146" s="163"/>
      <c r="I146" s="158"/>
      <c r="J146" s="158"/>
      <c r="K146" s="167"/>
      <c r="L146" s="168"/>
      <c r="M146" s="167" t="s">
        <v>74</v>
      </c>
      <c r="N146" s="167"/>
      <c r="O146" s="210"/>
      <c r="P146" s="201" t="s">
        <v>86</v>
      </c>
      <c r="Q146" s="169"/>
      <c r="R146" s="158"/>
      <c r="S146" s="158"/>
      <c r="T146" s="162"/>
      <c r="U146" s="164"/>
      <c r="V146" s="165"/>
      <c r="W146" s="166"/>
      <c r="X146" s="172"/>
      <c r="Y146" s="174"/>
      <c r="Z146" s="176"/>
      <c r="AA146" s="178" t="str">
        <f t="shared" si="10"/>
        <v xml:space="preserve"> - </v>
      </c>
      <c r="AB146" s="180" t="str">
        <f t="shared" si="11"/>
        <v xml:space="preserve"> - </v>
      </c>
      <c r="AC146" s="180" t="str">
        <f t="shared" si="12"/>
        <v xml:space="preserve"> - </v>
      </c>
      <c r="AD146" s="182" t="str">
        <f t="shared" si="9"/>
        <v xml:space="preserve"> - </v>
      </c>
      <c r="AE146" s="184">
        <f t="shared" si="13"/>
        <v>0</v>
      </c>
      <c r="AF146" s="186">
        <f t="shared" si="14"/>
        <v>0</v>
      </c>
      <c r="AG146" s="188" t="str">
        <f t="array" ref="AG146" xml:space="preserve"> IFERROR( IF( D146="", "-", _xlfn.AGGREGATE(15,6, ( ( ($D$21:$D$27 = D146) * IF($D$19&lt;&gt;"", --($E$21:$E$27 = E146), 1) * IF($H$19&lt;&gt;"", --($F$21:$F$27 = F146), 1)  ) / ( ( $D$21:$D$27 = D146) * IF($D$19&lt;&gt;"", --($E$21:$E$27 = E146), 1)  * IF($H$19&lt;&gt;"", --($F$21:$F$27 = F146), 1) ) ) * $AF$21:$AF$27,1)    ), "-")</f>
        <v>-</v>
      </c>
      <c r="BB146"/>
      <c r="BE146" s="67"/>
    </row>
    <row r="147" spans="2:57" x14ac:dyDescent="0.25">
      <c r="B147" s="158" t="s">
        <v>383</v>
      </c>
      <c r="C147" s="158"/>
      <c r="D147" s="189" t="s">
        <v>653</v>
      </c>
      <c r="E147" s="160"/>
      <c r="F147" s="162" t="s">
        <v>662</v>
      </c>
      <c r="G147" s="163"/>
      <c r="H147" s="163"/>
      <c r="I147" s="158"/>
      <c r="J147" s="158"/>
      <c r="K147" s="167"/>
      <c r="L147" s="168"/>
      <c r="M147" s="167" t="s">
        <v>74</v>
      </c>
      <c r="N147" s="167"/>
      <c r="O147" s="210"/>
      <c r="P147" s="201" t="s">
        <v>86</v>
      </c>
      <c r="Q147" s="169"/>
      <c r="R147" s="158"/>
      <c r="S147" s="158"/>
      <c r="T147" s="162"/>
      <c r="U147" s="164"/>
      <c r="V147" s="165"/>
      <c r="W147" s="166"/>
      <c r="X147" s="172"/>
      <c r="Y147" s="174"/>
      <c r="Z147" s="176"/>
      <c r="AA147" s="178" t="str">
        <f t="shared" si="10"/>
        <v xml:space="preserve"> - </v>
      </c>
      <c r="AB147" s="180" t="str">
        <f t="shared" si="11"/>
        <v xml:space="preserve"> - </v>
      </c>
      <c r="AC147" s="180" t="str">
        <f t="shared" si="12"/>
        <v xml:space="preserve"> - </v>
      </c>
      <c r="AD147" s="182" t="str">
        <f t="shared" si="9"/>
        <v xml:space="preserve"> - </v>
      </c>
      <c r="AE147" s="184">
        <f t="shared" si="13"/>
        <v>0</v>
      </c>
      <c r="AF147" s="186">
        <f t="shared" si="14"/>
        <v>0</v>
      </c>
      <c r="AG147" s="188" t="str">
        <f t="array" ref="AG147" xml:space="preserve"> IFERROR( IF( D147="", "-", _xlfn.AGGREGATE(15,6, ( ( ($D$21:$D$27 = D147) * IF($D$19&lt;&gt;"", --($E$21:$E$27 = E147), 1) * IF($H$19&lt;&gt;"", --($F$21:$F$27 = F147), 1)  ) / ( ( $D$21:$D$27 = D147) * IF($D$19&lt;&gt;"", --($E$21:$E$27 = E147), 1)  * IF($H$19&lt;&gt;"", --($F$21:$F$27 = F147), 1) ) ) * $AF$21:$AF$27,1)    ), "-")</f>
        <v>-</v>
      </c>
      <c r="BB147"/>
      <c r="BE147" s="67"/>
    </row>
    <row r="148" spans="2:57" x14ac:dyDescent="0.25">
      <c r="B148" s="158" t="s">
        <v>384</v>
      </c>
      <c r="C148" s="158"/>
      <c r="D148" s="189" t="s">
        <v>653</v>
      </c>
      <c r="E148" s="160"/>
      <c r="F148" s="162" t="s">
        <v>663</v>
      </c>
      <c r="G148" s="163"/>
      <c r="H148" s="163"/>
      <c r="I148" s="158"/>
      <c r="J148" s="158"/>
      <c r="K148" s="167"/>
      <c r="L148" s="168"/>
      <c r="M148" s="167" t="s">
        <v>74</v>
      </c>
      <c r="N148" s="167"/>
      <c r="O148" s="210"/>
      <c r="P148" s="201" t="s">
        <v>86</v>
      </c>
      <c r="Q148" s="169"/>
      <c r="R148" s="158"/>
      <c r="S148" s="158"/>
      <c r="T148" s="162"/>
      <c r="U148" s="164"/>
      <c r="V148" s="165"/>
      <c r="W148" s="166"/>
      <c r="X148" s="172"/>
      <c r="Y148" s="174"/>
      <c r="Z148" s="176"/>
      <c r="AA148" s="178" t="str">
        <f t="shared" si="10"/>
        <v xml:space="preserve"> - </v>
      </c>
      <c r="AB148" s="180" t="str">
        <f t="shared" si="11"/>
        <v xml:space="preserve"> - </v>
      </c>
      <c r="AC148" s="180" t="str">
        <f t="shared" si="12"/>
        <v xml:space="preserve"> - </v>
      </c>
      <c r="AD148" s="182" t="str">
        <f t="shared" si="9"/>
        <v xml:space="preserve"> - </v>
      </c>
      <c r="AE148" s="184">
        <f t="shared" si="13"/>
        <v>0</v>
      </c>
      <c r="AF148" s="186">
        <f t="shared" si="14"/>
        <v>0</v>
      </c>
      <c r="AG148" s="188" t="str">
        <f t="array" ref="AG148" xml:space="preserve"> IFERROR( IF( D148="", "-", _xlfn.AGGREGATE(15,6, ( ( ($D$21:$D$27 = D148) * IF($D$19&lt;&gt;"", --($E$21:$E$27 = E148), 1) * IF($H$19&lt;&gt;"", --($F$21:$F$27 = F148), 1)  ) / ( ( $D$21:$D$27 = D148) * IF($D$19&lt;&gt;"", --($E$21:$E$27 = E148), 1)  * IF($H$19&lt;&gt;"", --($F$21:$F$27 = F148), 1) ) ) * $AF$21:$AF$27,1)    ), "-")</f>
        <v>-</v>
      </c>
      <c r="BB148"/>
      <c r="BE148" s="67"/>
    </row>
    <row r="149" spans="2:57" x14ac:dyDescent="0.25">
      <c r="B149" s="158" t="s">
        <v>385</v>
      </c>
      <c r="C149" s="158"/>
      <c r="D149" s="189" t="s">
        <v>653</v>
      </c>
      <c r="E149" s="160"/>
      <c r="F149" s="162" t="s">
        <v>664</v>
      </c>
      <c r="G149" s="163"/>
      <c r="H149" s="163"/>
      <c r="I149" s="158"/>
      <c r="J149" s="158"/>
      <c r="K149" s="167"/>
      <c r="L149" s="168"/>
      <c r="M149" s="167" t="s">
        <v>74</v>
      </c>
      <c r="N149" s="167"/>
      <c r="O149" s="210"/>
      <c r="P149" s="201" t="s">
        <v>86</v>
      </c>
      <c r="Q149" s="169"/>
      <c r="R149" s="158"/>
      <c r="S149" s="158"/>
      <c r="T149" s="162"/>
      <c r="U149" s="164"/>
      <c r="V149" s="165"/>
      <c r="W149" s="166"/>
      <c r="X149" s="172"/>
      <c r="Y149" s="174"/>
      <c r="Z149" s="176"/>
      <c r="AA149" s="178" t="str">
        <f t="shared" si="10"/>
        <v xml:space="preserve"> - </v>
      </c>
      <c r="AB149" s="180" t="str">
        <f t="shared" si="11"/>
        <v xml:space="preserve"> - </v>
      </c>
      <c r="AC149" s="180" t="str">
        <f t="shared" si="12"/>
        <v xml:space="preserve"> - </v>
      </c>
      <c r="AD149" s="182" t="str">
        <f t="shared" ref="AD149:AD212" si="15">IF($Q149&gt;0,$AC149/$Q149, " - " )</f>
        <v xml:space="preserve"> - </v>
      </c>
      <c r="AE149" s="184">
        <f t="shared" si="13"/>
        <v>0</v>
      </c>
      <c r="AF149" s="186">
        <f t="shared" si="14"/>
        <v>0</v>
      </c>
      <c r="AG149" s="188" t="str">
        <f t="array" ref="AG149" xml:space="preserve"> IFERROR( IF( D149="", "-", _xlfn.AGGREGATE(15,6, ( ( ($D$21:$D$27 = D149) * IF($D$19&lt;&gt;"", --($E$21:$E$27 = E149), 1) * IF($H$19&lt;&gt;"", --($F$21:$F$27 = F149), 1)  ) / ( ( $D$21:$D$27 = D149) * IF($D$19&lt;&gt;"", --($E$21:$E$27 = E149), 1)  * IF($H$19&lt;&gt;"", --($F$21:$F$27 = F149), 1) ) ) * $AF$21:$AF$27,1)    ), "-")</f>
        <v>-</v>
      </c>
      <c r="BB149"/>
      <c r="BE149" s="67"/>
    </row>
    <row r="150" spans="2:57" x14ac:dyDescent="0.25">
      <c r="B150" s="158" t="s">
        <v>386</v>
      </c>
      <c r="C150" s="158"/>
      <c r="D150" s="189" t="s">
        <v>653</v>
      </c>
      <c r="E150" s="160"/>
      <c r="F150" s="162" t="s">
        <v>665</v>
      </c>
      <c r="G150" s="163"/>
      <c r="H150" s="163"/>
      <c r="I150" s="158"/>
      <c r="J150" s="158"/>
      <c r="K150" s="167"/>
      <c r="L150" s="168"/>
      <c r="M150" s="167" t="s">
        <v>74</v>
      </c>
      <c r="N150" s="167"/>
      <c r="O150" s="210"/>
      <c r="P150" s="201" t="s">
        <v>86</v>
      </c>
      <c r="Q150" s="169"/>
      <c r="R150" s="158"/>
      <c r="S150" s="158"/>
      <c r="T150" s="162"/>
      <c r="U150" s="164"/>
      <c r="V150" s="165"/>
      <c r="W150" s="166"/>
      <c r="X150" s="172"/>
      <c r="Y150" s="174"/>
      <c r="Z150" s="176"/>
      <c r="AA150" s="178" t="str">
        <f t="shared" si="10"/>
        <v xml:space="preserve"> - </v>
      </c>
      <c r="AB150" s="180" t="str">
        <f t="shared" si="11"/>
        <v xml:space="preserve"> - </v>
      </c>
      <c r="AC150" s="180" t="str">
        <f t="shared" si="12"/>
        <v xml:space="preserve"> - </v>
      </c>
      <c r="AD150" s="182" t="str">
        <f t="shared" si="15"/>
        <v xml:space="preserve"> - </v>
      </c>
      <c r="AE150" s="184">
        <f t="shared" si="13"/>
        <v>0</v>
      </c>
      <c r="AF150" s="186">
        <f t="shared" si="14"/>
        <v>0</v>
      </c>
      <c r="AG150" s="188" t="str">
        <f t="array" ref="AG150" xml:space="preserve"> IFERROR( IF( D150="", "-", _xlfn.AGGREGATE(15,6, ( ( ($D$21:$D$27 = D150) * IF($D$19&lt;&gt;"", --($E$21:$E$27 = E150), 1) * IF($H$19&lt;&gt;"", --($F$21:$F$27 = F150), 1)  ) / ( ( $D$21:$D$27 = D150) * IF($D$19&lt;&gt;"", --($E$21:$E$27 = E150), 1)  * IF($H$19&lt;&gt;"", --($F$21:$F$27 = F150), 1) ) ) * $AF$21:$AF$27,1)    ), "-")</f>
        <v>-</v>
      </c>
      <c r="BB150"/>
      <c r="BE150" s="67"/>
    </row>
    <row r="151" spans="2:57" x14ac:dyDescent="0.25">
      <c r="B151" s="158" t="s">
        <v>387</v>
      </c>
      <c r="C151" s="158"/>
      <c r="D151" s="189" t="s">
        <v>653</v>
      </c>
      <c r="E151" s="160"/>
      <c r="F151" s="162" t="s">
        <v>666</v>
      </c>
      <c r="G151" s="163"/>
      <c r="H151" s="163"/>
      <c r="I151" s="158"/>
      <c r="J151" s="158"/>
      <c r="K151" s="167"/>
      <c r="L151" s="168"/>
      <c r="M151" s="167" t="s">
        <v>74</v>
      </c>
      <c r="N151" s="167"/>
      <c r="O151" s="210"/>
      <c r="P151" s="201" t="s">
        <v>86</v>
      </c>
      <c r="Q151" s="169"/>
      <c r="R151" s="158"/>
      <c r="S151" s="158"/>
      <c r="T151" s="162"/>
      <c r="U151" s="164"/>
      <c r="V151" s="165"/>
      <c r="W151" s="166"/>
      <c r="X151" s="172"/>
      <c r="Y151" s="174"/>
      <c r="Z151" s="176"/>
      <c r="AA151" s="178" t="str">
        <f t="shared" si="10"/>
        <v xml:space="preserve"> - </v>
      </c>
      <c r="AB151" s="180" t="str">
        <f t="shared" si="11"/>
        <v xml:space="preserve"> - </v>
      </c>
      <c r="AC151" s="180" t="str">
        <f t="shared" si="12"/>
        <v xml:space="preserve"> - </v>
      </c>
      <c r="AD151" s="182" t="str">
        <f t="shared" si="15"/>
        <v xml:space="preserve"> - </v>
      </c>
      <c r="AE151" s="184">
        <f t="shared" si="13"/>
        <v>0</v>
      </c>
      <c r="AF151" s="186">
        <f t="shared" si="14"/>
        <v>0</v>
      </c>
      <c r="AG151" s="188" t="str">
        <f t="array" ref="AG151" xml:space="preserve"> IFERROR( IF( D151="", "-", _xlfn.AGGREGATE(15,6, ( ( ($D$21:$D$27 = D151) * IF($D$19&lt;&gt;"", --($E$21:$E$27 = E151), 1) * IF($H$19&lt;&gt;"", --($F$21:$F$27 = F151), 1)  ) / ( ( $D$21:$D$27 = D151) * IF($D$19&lt;&gt;"", --($E$21:$E$27 = E151), 1)  * IF($H$19&lt;&gt;"", --($F$21:$F$27 = F151), 1) ) ) * $AF$21:$AF$27,1)    ), "-")</f>
        <v>-</v>
      </c>
      <c r="BB151"/>
      <c r="BE151" s="67"/>
    </row>
    <row r="152" spans="2:57" x14ac:dyDescent="0.25">
      <c r="B152" s="158" t="s">
        <v>388</v>
      </c>
      <c r="C152" s="158"/>
      <c r="D152" s="189" t="s">
        <v>653</v>
      </c>
      <c r="E152" s="160"/>
      <c r="F152" s="162" t="s">
        <v>667</v>
      </c>
      <c r="G152" s="163"/>
      <c r="H152" s="163"/>
      <c r="I152" s="158"/>
      <c r="J152" s="158"/>
      <c r="K152" s="167"/>
      <c r="L152" s="168"/>
      <c r="M152" s="167" t="s">
        <v>74</v>
      </c>
      <c r="N152" s="167"/>
      <c r="O152" s="210"/>
      <c r="P152" s="201" t="s">
        <v>86</v>
      </c>
      <c r="Q152" s="169"/>
      <c r="R152" s="158"/>
      <c r="S152" s="158"/>
      <c r="T152" s="162"/>
      <c r="U152" s="164"/>
      <c r="V152" s="165"/>
      <c r="W152" s="166"/>
      <c r="X152" s="172"/>
      <c r="Y152" s="174"/>
      <c r="Z152" s="176"/>
      <c r="AA152" s="178" t="str">
        <f t="shared" si="10"/>
        <v xml:space="preserve"> - </v>
      </c>
      <c r="AB152" s="180" t="str">
        <f t="shared" si="11"/>
        <v xml:space="preserve"> - </v>
      </c>
      <c r="AC152" s="180" t="str">
        <f t="shared" si="12"/>
        <v xml:space="preserve"> - </v>
      </c>
      <c r="AD152" s="182" t="str">
        <f t="shared" si="15"/>
        <v xml:space="preserve"> - </v>
      </c>
      <c r="AE152" s="184">
        <f t="shared" si="13"/>
        <v>0</v>
      </c>
      <c r="AF152" s="186">
        <f t="shared" si="14"/>
        <v>0</v>
      </c>
      <c r="AG152" s="188" t="str">
        <f t="array" ref="AG152" xml:space="preserve"> IFERROR( IF( D152="", "-", _xlfn.AGGREGATE(15,6, ( ( ($D$21:$D$27 = D152) * IF($D$19&lt;&gt;"", --($E$21:$E$27 = E152), 1) * IF($H$19&lt;&gt;"", --($F$21:$F$27 = F152), 1)  ) / ( ( $D$21:$D$27 = D152) * IF($D$19&lt;&gt;"", --($E$21:$E$27 = E152), 1)  * IF($H$19&lt;&gt;"", --($F$21:$F$27 = F152), 1) ) ) * $AF$21:$AF$27,1)    ), "-")</f>
        <v>-</v>
      </c>
      <c r="BB152"/>
      <c r="BE152" s="67"/>
    </row>
    <row r="153" spans="2:57" x14ac:dyDescent="0.25">
      <c r="B153" s="158" t="s">
        <v>389</v>
      </c>
      <c r="C153" s="158"/>
      <c r="D153" s="189" t="s">
        <v>653</v>
      </c>
      <c r="E153" s="160"/>
      <c r="F153" s="162" t="s">
        <v>668</v>
      </c>
      <c r="G153" s="163"/>
      <c r="H153" s="163"/>
      <c r="I153" s="158"/>
      <c r="J153" s="158"/>
      <c r="K153" s="167"/>
      <c r="L153" s="168"/>
      <c r="M153" s="167" t="s">
        <v>74</v>
      </c>
      <c r="N153" s="167"/>
      <c r="O153" s="210"/>
      <c r="P153" s="201" t="s">
        <v>86</v>
      </c>
      <c r="Q153" s="169"/>
      <c r="R153" s="158"/>
      <c r="S153" s="158"/>
      <c r="T153" s="162"/>
      <c r="U153" s="164"/>
      <c r="V153" s="165"/>
      <c r="W153" s="166"/>
      <c r="X153" s="172"/>
      <c r="Y153" s="174"/>
      <c r="Z153" s="176"/>
      <c r="AA153" s="178" t="str">
        <f t="shared" si="10"/>
        <v xml:space="preserve"> - </v>
      </c>
      <c r="AB153" s="180" t="str">
        <f t="shared" si="11"/>
        <v xml:space="preserve"> - </v>
      </c>
      <c r="AC153" s="180" t="str">
        <f t="shared" si="12"/>
        <v xml:space="preserve"> - </v>
      </c>
      <c r="AD153" s="182" t="str">
        <f t="shared" si="15"/>
        <v xml:space="preserve"> - </v>
      </c>
      <c r="AE153" s="184">
        <f t="shared" si="13"/>
        <v>0</v>
      </c>
      <c r="AF153" s="186">
        <f t="shared" si="14"/>
        <v>0</v>
      </c>
      <c r="AG153" s="188" t="str">
        <f t="array" ref="AG153" xml:space="preserve"> IFERROR( IF( D153="", "-", _xlfn.AGGREGATE(15,6, ( ( ($D$21:$D$27 = D153) * IF($D$19&lt;&gt;"", --($E$21:$E$27 = E153), 1) * IF($H$19&lt;&gt;"", --($F$21:$F$27 = F153), 1)  ) / ( ( $D$21:$D$27 = D153) * IF($D$19&lt;&gt;"", --($E$21:$E$27 = E153), 1)  * IF($H$19&lt;&gt;"", --($F$21:$F$27 = F153), 1) ) ) * $AF$21:$AF$27,1)    ), "-")</f>
        <v>-</v>
      </c>
      <c r="BB153"/>
      <c r="BE153" s="67"/>
    </row>
    <row r="154" spans="2:57" x14ac:dyDescent="0.25">
      <c r="B154" s="158" t="s">
        <v>390</v>
      </c>
      <c r="C154" s="158"/>
      <c r="D154" s="189" t="s">
        <v>653</v>
      </c>
      <c r="E154" s="160"/>
      <c r="F154" s="162" t="s">
        <v>669</v>
      </c>
      <c r="G154" s="163"/>
      <c r="H154" s="163"/>
      <c r="I154" s="158"/>
      <c r="J154" s="158"/>
      <c r="K154" s="167"/>
      <c r="L154" s="168"/>
      <c r="M154" s="167" t="s">
        <v>74</v>
      </c>
      <c r="N154" s="167"/>
      <c r="O154" s="210"/>
      <c r="P154" s="201" t="s">
        <v>86</v>
      </c>
      <c r="Q154" s="169"/>
      <c r="R154" s="158"/>
      <c r="S154" s="158"/>
      <c r="T154" s="162"/>
      <c r="U154" s="164"/>
      <c r="V154" s="165"/>
      <c r="W154" s="166"/>
      <c r="X154" s="172"/>
      <c r="Y154" s="174"/>
      <c r="Z154" s="176"/>
      <c r="AA154" s="178" t="str">
        <f t="shared" ref="AA154:AA220" si="16">IF( ISNUMBER($U154), $U154, IF( ISNUMBER($T154), $T154 * IF( $V154="", 1,  $V154),            IF( ISNUMBER($V154), $V154 * IF( $W154="", 1,  $W154), " - ")           ) )</f>
        <v xml:space="preserve"> - </v>
      </c>
      <c r="AB154" s="180" t="str">
        <f t="shared" ref="AB154:AB220" si="17">IF( ISNUMBER($V154), $V154, IF( ISNUMBER($U154), $U154 / IF( $W154 &lt;&gt;"",  $W154, 1), " - ") )</f>
        <v xml:space="preserve"> - </v>
      </c>
      <c r="AC154" s="180" t="str">
        <f t="shared" ref="AC154:AC217" si="18">IF($L154&gt;0,$AB154/$L154, " - " )</f>
        <v xml:space="preserve"> - </v>
      </c>
      <c r="AD154" s="182" t="str">
        <f t="shared" si="15"/>
        <v xml:space="preserve"> - </v>
      </c>
      <c r="AE154" s="184">
        <f t="shared" ref="AE154:AE217" si="19">IFERROR(   (IF(ISNUMBER( $U154 ), $U154, IF( ISNUMBER( $V154 ),$V154, 0 ) ) + $X154 ) /  (  IF(ISNUMBER( $W154), $W154, 1) * IF(ISNUMBER( $L154), $L154, 1) ), "-")</f>
        <v>0</v>
      </c>
      <c r="AF154" s="186">
        <f t="shared" si="14"/>
        <v>0</v>
      </c>
      <c r="AG154" s="188" t="str">
        <f t="array" ref="AG154" xml:space="preserve"> IFERROR( IF( D154="", "-", _xlfn.AGGREGATE(15,6, ( ( ($D$21:$D$27 = D154) * IF($D$19&lt;&gt;"", --($E$21:$E$27 = E154), 1) * IF($H$19&lt;&gt;"", --($F$21:$F$27 = F154), 1)  ) / ( ( $D$21:$D$27 = D154) * IF($D$19&lt;&gt;"", --($E$21:$E$27 = E154), 1)  * IF($H$19&lt;&gt;"", --($F$21:$F$27 = F154), 1) ) ) * $AF$21:$AF$27,1)    ), "-")</f>
        <v>-</v>
      </c>
      <c r="BB154"/>
      <c r="BE154" s="67"/>
    </row>
    <row r="155" spans="2:57" x14ac:dyDescent="0.25">
      <c r="B155" s="158" t="s">
        <v>391</v>
      </c>
      <c r="C155" s="158"/>
      <c r="D155" s="162" t="s">
        <v>804</v>
      </c>
      <c r="E155" s="160"/>
      <c r="F155" s="162"/>
      <c r="G155" s="163"/>
      <c r="H155" s="163"/>
      <c r="I155" s="158"/>
      <c r="J155" s="158"/>
      <c r="K155" s="167"/>
      <c r="L155" s="168"/>
      <c r="M155" s="167" t="s">
        <v>921</v>
      </c>
      <c r="N155" s="167"/>
      <c r="O155" s="210"/>
      <c r="P155" s="201" t="s">
        <v>1065</v>
      </c>
      <c r="Q155" s="169"/>
      <c r="R155" s="158"/>
      <c r="S155" s="158"/>
      <c r="T155" s="162"/>
      <c r="U155" s="164"/>
      <c r="V155" s="165"/>
      <c r="W155" s="166"/>
      <c r="X155" s="172"/>
      <c r="Y155" s="174"/>
      <c r="Z155" s="176"/>
      <c r="AA155" s="178" t="str">
        <f t="shared" si="16"/>
        <v xml:space="preserve"> - </v>
      </c>
      <c r="AB155" s="180" t="str">
        <f t="shared" si="17"/>
        <v xml:space="preserve"> - </v>
      </c>
      <c r="AC155" s="180" t="str">
        <f t="shared" si="18"/>
        <v xml:space="preserve"> - </v>
      </c>
      <c r="AD155" s="182" t="str">
        <f t="shared" si="15"/>
        <v xml:space="preserve"> - </v>
      </c>
      <c r="AE155" s="184">
        <f t="shared" si="19"/>
        <v>0</v>
      </c>
      <c r="AF155" s="186">
        <f t="shared" si="14"/>
        <v>0</v>
      </c>
      <c r="AG155" s="188" t="str">
        <f t="array" ref="AG155" xml:space="preserve"> IFERROR( IF( D155="", "-", _xlfn.AGGREGATE(15,6, ( ( ($D$21:$D$27 = D155) * IF($D$19&lt;&gt;"", --($E$21:$E$27 = E155), 1) * IF($H$19&lt;&gt;"", --($F$21:$F$27 = F155), 1)  ) / ( ( $D$21:$D$27 = D155) * IF($D$19&lt;&gt;"", --($E$21:$E$27 = E155), 1)  * IF($H$19&lt;&gt;"", --($F$21:$F$27 = F155), 1) ) ) * $AF$21:$AF$27,1)    ), "-")</f>
        <v>-</v>
      </c>
      <c r="BB155"/>
      <c r="BE155" s="67"/>
    </row>
    <row r="156" spans="2:57" x14ac:dyDescent="0.25">
      <c r="B156" s="158" t="s">
        <v>392</v>
      </c>
      <c r="C156" s="158"/>
      <c r="D156" s="162" t="s">
        <v>805</v>
      </c>
      <c r="E156" s="160" t="s">
        <v>806</v>
      </c>
      <c r="F156" s="162"/>
      <c r="G156" s="163"/>
      <c r="H156" s="163"/>
      <c r="I156" s="158"/>
      <c r="J156" s="158"/>
      <c r="K156" s="167"/>
      <c r="L156" s="168"/>
      <c r="M156" s="167" t="s">
        <v>921</v>
      </c>
      <c r="N156" s="167"/>
      <c r="O156" s="210"/>
      <c r="P156" s="170"/>
      <c r="Q156" s="169"/>
      <c r="R156" s="158"/>
      <c r="S156" s="158"/>
      <c r="T156" s="162"/>
      <c r="U156" s="164"/>
      <c r="V156" s="165"/>
      <c r="W156" s="166"/>
      <c r="X156" s="172"/>
      <c r="Y156" s="174"/>
      <c r="Z156" s="176"/>
      <c r="AA156" s="178" t="str">
        <f t="shared" si="16"/>
        <v xml:space="preserve"> - </v>
      </c>
      <c r="AB156" s="180" t="str">
        <f t="shared" si="17"/>
        <v xml:space="preserve"> - </v>
      </c>
      <c r="AC156" s="180" t="str">
        <f t="shared" si="18"/>
        <v xml:space="preserve"> - </v>
      </c>
      <c r="AD156" s="182" t="str">
        <f t="shared" si="15"/>
        <v xml:space="preserve"> - </v>
      </c>
      <c r="AE156" s="184">
        <f t="shared" si="19"/>
        <v>0</v>
      </c>
      <c r="AF156" s="186">
        <f t="shared" si="14"/>
        <v>0</v>
      </c>
      <c r="AG156" s="188" t="str">
        <f t="array" ref="AG156" xml:space="preserve"> IFERROR( IF( D156="", "-", _xlfn.AGGREGATE(15,6, ( ( ($D$21:$D$27 = D156) * IF($D$19&lt;&gt;"", --($E$21:$E$27 = E156), 1) * IF($H$19&lt;&gt;"", --($F$21:$F$27 = F156), 1)  ) / ( ( $D$21:$D$27 = D156) * IF($D$19&lt;&gt;"", --($E$21:$E$27 = E156), 1)  * IF($H$19&lt;&gt;"", --($F$21:$F$27 = F156), 1) ) ) * $AF$21:$AF$27,1)    ), "-")</f>
        <v>-</v>
      </c>
      <c r="BB156"/>
      <c r="BE156" s="67"/>
    </row>
    <row r="157" spans="2:57" x14ac:dyDescent="0.25">
      <c r="B157" s="158" t="s">
        <v>393</v>
      </c>
      <c r="C157" s="158"/>
      <c r="D157" s="162" t="s">
        <v>805</v>
      </c>
      <c r="E157" s="160" t="s">
        <v>924</v>
      </c>
      <c r="F157" s="162"/>
      <c r="G157" s="163"/>
      <c r="H157" s="163"/>
      <c r="I157" s="158"/>
      <c r="J157" s="158"/>
      <c r="K157" s="167"/>
      <c r="L157" s="168"/>
      <c r="M157" s="167" t="s">
        <v>921</v>
      </c>
      <c r="N157" s="167"/>
      <c r="O157" s="210"/>
      <c r="P157" s="170"/>
      <c r="Q157" s="169"/>
      <c r="R157" s="158"/>
      <c r="S157" s="158"/>
      <c r="T157" s="162"/>
      <c r="U157" s="164"/>
      <c r="V157" s="165"/>
      <c r="W157" s="166"/>
      <c r="X157" s="172"/>
      <c r="Y157" s="174"/>
      <c r="Z157" s="176"/>
      <c r="AA157" s="178" t="str">
        <f t="shared" si="16"/>
        <v xml:space="preserve"> - </v>
      </c>
      <c r="AB157" s="180" t="str">
        <f t="shared" si="17"/>
        <v xml:space="preserve"> - </v>
      </c>
      <c r="AC157" s="180" t="str">
        <f t="shared" si="18"/>
        <v xml:space="preserve"> - </v>
      </c>
      <c r="AD157" s="182" t="str">
        <f t="shared" si="15"/>
        <v xml:space="preserve"> - </v>
      </c>
      <c r="AE157" s="184">
        <f t="shared" si="19"/>
        <v>0</v>
      </c>
      <c r="AF157" s="186">
        <f t="shared" si="14"/>
        <v>0</v>
      </c>
      <c r="AG157" s="188" t="str">
        <f t="array" ref="AG157" xml:space="preserve"> IFERROR( IF( D157="", "-", _xlfn.AGGREGATE(15,6, ( ( ($D$21:$D$27 = D157) * IF($D$19&lt;&gt;"", --($E$21:$E$27 = E157), 1) * IF($H$19&lt;&gt;"", --($F$21:$F$27 = F157), 1)  ) / ( ( $D$21:$D$27 = D157) * IF($D$19&lt;&gt;"", --($E$21:$E$27 = E157), 1)  * IF($H$19&lt;&gt;"", --($F$21:$F$27 = F157), 1) ) ) * $AF$21:$AF$27,1)    ), "-")</f>
        <v>-</v>
      </c>
      <c r="BB157"/>
      <c r="BE157" s="67"/>
    </row>
    <row r="158" spans="2:57" x14ac:dyDescent="0.25">
      <c r="B158" s="158" t="s">
        <v>394</v>
      </c>
      <c r="C158" s="158"/>
      <c r="D158" s="189" t="s">
        <v>807</v>
      </c>
      <c r="E158" s="160"/>
      <c r="F158" s="162" t="s">
        <v>671</v>
      </c>
      <c r="G158" s="163"/>
      <c r="H158" s="163"/>
      <c r="I158" s="158"/>
      <c r="J158" s="158"/>
      <c r="K158" s="167"/>
      <c r="L158" s="168"/>
      <c r="M158" s="167" t="s">
        <v>921</v>
      </c>
      <c r="N158" s="167"/>
      <c r="O158" s="210"/>
      <c r="P158" s="170"/>
      <c r="Q158" s="169"/>
      <c r="R158" s="158"/>
      <c r="S158" s="158"/>
      <c r="T158" s="162"/>
      <c r="U158" s="164"/>
      <c r="V158" s="165"/>
      <c r="W158" s="166"/>
      <c r="X158" s="172"/>
      <c r="Y158" s="174"/>
      <c r="Z158" s="176"/>
      <c r="AA158" s="178" t="str">
        <f t="shared" si="16"/>
        <v xml:space="preserve"> - </v>
      </c>
      <c r="AB158" s="180" t="str">
        <f t="shared" si="17"/>
        <v xml:space="preserve"> - </v>
      </c>
      <c r="AC158" s="180" t="str">
        <f t="shared" si="18"/>
        <v xml:space="preserve"> - </v>
      </c>
      <c r="AD158" s="182" t="str">
        <f t="shared" si="15"/>
        <v xml:space="preserve"> - </v>
      </c>
      <c r="AE158" s="184">
        <f t="shared" si="19"/>
        <v>0</v>
      </c>
      <c r="AF158" s="186">
        <f t="shared" si="14"/>
        <v>0</v>
      </c>
      <c r="AG158" s="188" t="str">
        <f t="array" ref="AG158" xml:space="preserve"> IFERROR( IF( D158="", "-", _xlfn.AGGREGATE(15,6, ( ( ($D$21:$D$27 = D158) * IF($D$19&lt;&gt;"", --($E$21:$E$27 = E158), 1) * IF($H$19&lt;&gt;"", --($F$21:$F$27 = F158), 1)  ) / ( ( $D$21:$D$27 = D158) * IF($D$19&lt;&gt;"", --($E$21:$E$27 = E158), 1)  * IF($H$19&lt;&gt;"", --($F$21:$F$27 = F158), 1) ) ) * $AF$21:$AF$27,1)    ), "-")</f>
        <v>-</v>
      </c>
      <c r="BB158"/>
      <c r="BE158" s="67"/>
    </row>
    <row r="159" spans="2:57" x14ac:dyDescent="0.25">
      <c r="B159" s="158" t="s">
        <v>395</v>
      </c>
      <c r="C159" s="158"/>
      <c r="D159" s="189" t="s">
        <v>807</v>
      </c>
      <c r="E159" s="160"/>
      <c r="F159" s="162" t="s">
        <v>672</v>
      </c>
      <c r="G159" s="163"/>
      <c r="H159" s="163"/>
      <c r="I159" s="158"/>
      <c r="J159" s="158"/>
      <c r="K159" s="167"/>
      <c r="L159" s="168"/>
      <c r="M159" s="167" t="s">
        <v>921</v>
      </c>
      <c r="N159" s="167"/>
      <c r="O159" s="210"/>
      <c r="P159" s="170"/>
      <c r="Q159" s="169"/>
      <c r="R159" s="158"/>
      <c r="S159" s="158"/>
      <c r="T159" s="162"/>
      <c r="U159" s="164"/>
      <c r="V159" s="165"/>
      <c r="W159" s="166"/>
      <c r="X159" s="172"/>
      <c r="Y159" s="174"/>
      <c r="Z159" s="176"/>
      <c r="AA159" s="178" t="str">
        <f t="shared" si="16"/>
        <v xml:space="preserve"> - </v>
      </c>
      <c r="AB159" s="180" t="str">
        <f t="shared" si="17"/>
        <v xml:space="preserve"> - </v>
      </c>
      <c r="AC159" s="180" t="str">
        <f t="shared" si="18"/>
        <v xml:space="preserve"> - </v>
      </c>
      <c r="AD159" s="182" t="str">
        <f t="shared" si="15"/>
        <v xml:space="preserve"> - </v>
      </c>
      <c r="AE159" s="184">
        <f t="shared" si="19"/>
        <v>0</v>
      </c>
      <c r="AF159" s="186">
        <f t="shared" si="14"/>
        <v>0</v>
      </c>
      <c r="AG159" s="188" t="str">
        <f t="array" ref="AG159" xml:space="preserve"> IFERROR( IF( D159="", "-", _xlfn.AGGREGATE(15,6, ( ( ($D$21:$D$27 = D159) * IF($D$19&lt;&gt;"", --($E$21:$E$27 = E159), 1) * IF($H$19&lt;&gt;"", --($F$21:$F$27 = F159), 1)  ) / ( ( $D$21:$D$27 = D159) * IF($D$19&lt;&gt;"", --($E$21:$E$27 = E159), 1)  * IF($H$19&lt;&gt;"", --($F$21:$F$27 = F159), 1) ) ) * $AF$21:$AF$27,1)    ), "-")</f>
        <v>-</v>
      </c>
      <c r="BB159"/>
      <c r="BE159" s="67"/>
    </row>
    <row r="160" spans="2:57" x14ac:dyDescent="0.25">
      <c r="B160" s="158" t="s">
        <v>396</v>
      </c>
      <c r="C160" s="158"/>
      <c r="D160" s="162" t="s">
        <v>808</v>
      </c>
      <c r="E160" s="160"/>
      <c r="F160" s="162"/>
      <c r="G160" s="163"/>
      <c r="H160" s="163"/>
      <c r="I160" s="158"/>
      <c r="J160" s="158"/>
      <c r="K160" s="167"/>
      <c r="L160" s="168"/>
      <c r="M160" s="167" t="s">
        <v>909</v>
      </c>
      <c r="N160" s="167"/>
      <c r="O160" s="210"/>
      <c r="P160" s="201" t="s">
        <v>102</v>
      </c>
      <c r="Q160" s="169"/>
      <c r="R160" s="158"/>
      <c r="S160" s="158"/>
      <c r="T160" s="162"/>
      <c r="U160" s="164"/>
      <c r="V160" s="165"/>
      <c r="W160" s="166"/>
      <c r="X160" s="172"/>
      <c r="Y160" s="174"/>
      <c r="Z160" s="176"/>
      <c r="AA160" s="178" t="str">
        <f t="shared" si="16"/>
        <v xml:space="preserve"> - </v>
      </c>
      <c r="AB160" s="180" t="str">
        <f t="shared" si="17"/>
        <v xml:space="preserve"> - </v>
      </c>
      <c r="AC160" s="180" t="str">
        <f t="shared" si="18"/>
        <v xml:space="preserve"> - </v>
      </c>
      <c r="AD160" s="182" t="str">
        <f t="shared" si="15"/>
        <v xml:space="preserve"> - </v>
      </c>
      <c r="AE160" s="184">
        <f t="shared" si="19"/>
        <v>0</v>
      </c>
      <c r="AF160" s="186">
        <f t="shared" si="14"/>
        <v>0</v>
      </c>
      <c r="AG160" s="188" t="str">
        <f t="array" ref="AG160" xml:space="preserve"> IFERROR( IF( D160="", "-", _xlfn.AGGREGATE(15,6, ( ( ($D$21:$D$27 = D160) * IF($D$19&lt;&gt;"", --($E$21:$E$27 = E160), 1) * IF($H$19&lt;&gt;"", --($F$21:$F$27 = F160), 1)  ) / ( ( $D$21:$D$27 = D160) * IF($D$19&lt;&gt;"", --($E$21:$E$27 = E160), 1)  * IF($H$19&lt;&gt;"", --($F$21:$F$27 = F160), 1) ) ) * $AF$21:$AF$27,1)    ), "-")</f>
        <v>-</v>
      </c>
      <c r="BB160"/>
      <c r="BE160" s="67"/>
    </row>
    <row r="161" spans="2:57" x14ac:dyDescent="0.25">
      <c r="B161" s="158" t="s">
        <v>397</v>
      </c>
      <c r="C161" s="158"/>
      <c r="D161" s="189" t="s">
        <v>809</v>
      </c>
      <c r="E161" s="160"/>
      <c r="F161" s="162" t="s">
        <v>735</v>
      </c>
      <c r="G161" s="163"/>
      <c r="H161" s="163"/>
      <c r="I161" s="158"/>
      <c r="J161" s="158"/>
      <c r="K161" s="167"/>
      <c r="L161" s="168"/>
      <c r="M161" s="167" t="s">
        <v>70</v>
      </c>
      <c r="N161" s="167"/>
      <c r="O161" s="210"/>
      <c r="P161" s="201" t="s">
        <v>900</v>
      </c>
      <c r="Q161" s="169"/>
      <c r="R161" s="158"/>
      <c r="S161" s="158"/>
      <c r="T161" s="162"/>
      <c r="U161" s="164"/>
      <c r="V161" s="165"/>
      <c r="W161" s="166"/>
      <c r="X161" s="172"/>
      <c r="Y161" s="174"/>
      <c r="Z161" s="176"/>
      <c r="AA161" s="178" t="str">
        <f t="shared" si="16"/>
        <v xml:space="preserve"> - </v>
      </c>
      <c r="AB161" s="180" t="str">
        <f t="shared" si="17"/>
        <v xml:space="preserve"> - </v>
      </c>
      <c r="AC161" s="180" t="str">
        <f t="shared" si="18"/>
        <v xml:space="preserve"> - </v>
      </c>
      <c r="AD161" s="182" t="str">
        <f t="shared" si="15"/>
        <v xml:space="preserve"> - </v>
      </c>
      <c r="AE161" s="184">
        <f t="shared" si="19"/>
        <v>0</v>
      </c>
      <c r="AF161" s="186">
        <f t="shared" si="14"/>
        <v>0</v>
      </c>
      <c r="AG161" s="188" t="str">
        <f t="array" ref="AG161" xml:space="preserve"> IFERROR( IF( D161="", "-", _xlfn.AGGREGATE(15,6, ( ( ($D$21:$D$27 = D161) * IF($D$19&lt;&gt;"", --($E$21:$E$27 = E161), 1) * IF($H$19&lt;&gt;"", --($F$21:$F$27 = F161), 1)  ) / ( ( $D$21:$D$27 = D161) * IF($D$19&lt;&gt;"", --($E$21:$E$27 = E161), 1)  * IF($H$19&lt;&gt;"", --($F$21:$F$27 = F161), 1) ) ) * $AF$21:$AF$27,1)    ), "-")</f>
        <v>-</v>
      </c>
      <c r="BB161"/>
      <c r="BE161" s="67"/>
    </row>
    <row r="162" spans="2:57" x14ac:dyDescent="0.25">
      <c r="B162" s="158" t="s">
        <v>398</v>
      </c>
      <c r="C162" s="158"/>
      <c r="D162" s="162" t="s">
        <v>810</v>
      </c>
      <c r="E162" s="160"/>
      <c r="F162" s="162"/>
      <c r="G162" s="163"/>
      <c r="H162" s="163"/>
      <c r="I162" s="158"/>
      <c r="J162" s="158"/>
      <c r="K162" s="167"/>
      <c r="L162" s="168"/>
      <c r="M162" s="167" t="s">
        <v>921</v>
      </c>
      <c r="N162" s="167"/>
      <c r="O162" s="210"/>
      <c r="P162" s="201"/>
      <c r="Q162" s="169"/>
      <c r="R162" s="158"/>
      <c r="S162" s="158"/>
      <c r="T162" s="162"/>
      <c r="U162" s="164"/>
      <c r="V162" s="165"/>
      <c r="W162" s="166"/>
      <c r="X162" s="172"/>
      <c r="Y162" s="174"/>
      <c r="Z162" s="176"/>
      <c r="AA162" s="178" t="str">
        <f t="shared" si="16"/>
        <v xml:space="preserve"> - </v>
      </c>
      <c r="AB162" s="180" t="str">
        <f t="shared" si="17"/>
        <v xml:space="preserve"> - </v>
      </c>
      <c r="AC162" s="180" t="str">
        <f t="shared" si="18"/>
        <v xml:space="preserve"> - </v>
      </c>
      <c r="AD162" s="182" t="str">
        <f t="shared" si="15"/>
        <v xml:space="preserve"> - </v>
      </c>
      <c r="AE162" s="184">
        <f t="shared" si="19"/>
        <v>0</v>
      </c>
      <c r="AF162" s="186">
        <f t="shared" si="14"/>
        <v>0</v>
      </c>
      <c r="AG162" s="188" t="str">
        <f t="array" ref="AG162" xml:space="preserve"> IFERROR( IF( D162="", "-", _xlfn.AGGREGATE(15,6, ( ( ($D$21:$D$27 = D162) * IF($D$19&lt;&gt;"", --($E$21:$E$27 = E162), 1) * IF($H$19&lt;&gt;"", --($F$21:$F$27 = F162), 1)  ) / ( ( $D$21:$D$27 = D162) * IF($D$19&lt;&gt;"", --($E$21:$E$27 = E162), 1)  * IF($H$19&lt;&gt;"", --($F$21:$F$27 = F162), 1) ) ) * $AF$21:$AF$27,1)    ), "-")</f>
        <v>-</v>
      </c>
      <c r="BB162"/>
      <c r="BE162" s="67"/>
    </row>
    <row r="163" spans="2:57" x14ac:dyDescent="0.25">
      <c r="B163" s="158" t="s">
        <v>399</v>
      </c>
      <c r="C163" s="158"/>
      <c r="D163" s="162" t="s">
        <v>811</v>
      </c>
      <c r="E163" s="160"/>
      <c r="F163" s="162"/>
      <c r="G163" s="163"/>
      <c r="H163" s="163"/>
      <c r="I163" s="158"/>
      <c r="J163" s="158"/>
      <c r="K163" s="167"/>
      <c r="L163" s="168"/>
      <c r="M163" s="167"/>
      <c r="N163" s="167"/>
      <c r="O163" s="210"/>
      <c r="P163" s="170"/>
      <c r="Q163" s="169"/>
      <c r="R163" s="158"/>
      <c r="S163" s="158"/>
      <c r="T163" s="162"/>
      <c r="U163" s="164"/>
      <c r="V163" s="165"/>
      <c r="W163" s="166"/>
      <c r="X163" s="172"/>
      <c r="Y163" s="174"/>
      <c r="Z163" s="176"/>
      <c r="AA163" s="178" t="str">
        <f t="shared" si="16"/>
        <v xml:space="preserve"> - </v>
      </c>
      <c r="AB163" s="180" t="str">
        <f t="shared" si="17"/>
        <v xml:space="preserve"> - </v>
      </c>
      <c r="AC163" s="180" t="str">
        <f t="shared" si="18"/>
        <v xml:space="preserve"> - </v>
      </c>
      <c r="AD163" s="182" t="str">
        <f t="shared" si="15"/>
        <v xml:space="preserve"> - </v>
      </c>
      <c r="AE163" s="184">
        <f t="shared" si="19"/>
        <v>0</v>
      </c>
      <c r="AF163" s="186">
        <f t="shared" si="14"/>
        <v>0</v>
      </c>
      <c r="AG163" s="188" t="str">
        <f t="array" ref="AG163" xml:space="preserve"> IFERROR( IF( D163="", "-", _xlfn.AGGREGATE(15,6, ( ( ($D$21:$D$27 = D163) * IF($D$19&lt;&gt;"", --($E$21:$E$27 = E163), 1) * IF($H$19&lt;&gt;"", --($F$21:$F$27 = F163), 1)  ) / ( ( $D$21:$D$27 = D163) * IF($D$19&lt;&gt;"", --($E$21:$E$27 = E163), 1)  * IF($H$19&lt;&gt;"", --($F$21:$F$27 = F163), 1) ) ) * $AF$21:$AF$27,1)    ), "-")</f>
        <v>-</v>
      </c>
      <c r="BB163"/>
      <c r="BE163" s="67"/>
    </row>
    <row r="164" spans="2:57" x14ac:dyDescent="0.25">
      <c r="B164" s="158" t="s">
        <v>400</v>
      </c>
      <c r="C164" s="158"/>
      <c r="D164" s="189" t="s">
        <v>812</v>
      </c>
      <c r="E164" s="160" t="s">
        <v>755</v>
      </c>
      <c r="F164" s="189" t="s">
        <v>737</v>
      </c>
      <c r="G164" s="163"/>
      <c r="H164" s="163"/>
      <c r="I164" s="158"/>
      <c r="J164" s="158"/>
      <c r="K164" s="167"/>
      <c r="L164" s="168"/>
      <c r="M164" s="167"/>
      <c r="N164" s="167"/>
      <c r="O164" s="210"/>
      <c r="P164" s="170"/>
      <c r="Q164" s="169"/>
      <c r="R164" s="158"/>
      <c r="S164" s="158"/>
      <c r="T164" s="162"/>
      <c r="U164" s="164"/>
      <c r="V164" s="165"/>
      <c r="W164" s="166"/>
      <c r="X164" s="172"/>
      <c r="Y164" s="174"/>
      <c r="Z164" s="176"/>
      <c r="AA164" s="178" t="str">
        <f t="shared" si="16"/>
        <v xml:space="preserve"> - </v>
      </c>
      <c r="AB164" s="180" t="str">
        <f t="shared" si="17"/>
        <v xml:space="preserve"> - </v>
      </c>
      <c r="AC164" s="180" t="str">
        <f t="shared" si="18"/>
        <v xml:space="preserve"> - </v>
      </c>
      <c r="AD164" s="182" t="str">
        <f t="shared" si="15"/>
        <v xml:space="preserve"> - </v>
      </c>
      <c r="AE164" s="184">
        <f t="shared" si="19"/>
        <v>0</v>
      </c>
      <c r="AF164" s="186">
        <f t="shared" si="14"/>
        <v>0</v>
      </c>
      <c r="AG164" s="188" t="str">
        <f t="array" ref="AG164" xml:space="preserve"> IFERROR( IF( D164="", "-", _xlfn.AGGREGATE(15,6, ( ( ($D$21:$D$27 = D164) * IF($D$19&lt;&gt;"", --($E$21:$E$27 = E164), 1) * IF($H$19&lt;&gt;"", --($F$21:$F$27 = F164), 1)  ) / ( ( $D$21:$D$27 = D164) * IF($D$19&lt;&gt;"", --($E$21:$E$27 = E164), 1)  * IF($H$19&lt;&gt;"", --($F$21:$F$27 = F164), 1) ) ) * $AF$21:$AF$27,1)    ), "-")</f>
        <v>-</v>
      </c>
      <c r="BB164"/>
      <c r="BE164" s="67"/>
    </row>
    <row r="165" spans="2:57" x14ac:dyDescent="0.25">
      <c r="B165" s="158" t="s">
        <v>401</v>
      </c>
      <c r="C165" s="158"/>
      <c r="D165" s="189" t="s">
        <v>812</v>
      </c>
      <c r="E165" s="160" t="s">
        <v>755</v>
      </c>
      <c r="F165" s="189" t="s">
        <v>738</v>
      </c>
      <c r="G165" s="163"/>
      <c r="H165" s="163"/>
      <c r="I165" s="158"/>
      <c r="J165" s="158"/>
      <c r="K165" s="167"/>
      <c r="L165" s="168"/>
      <c r="M165" s="167"/>
      <c r="N165" s="167"/>
      <c r="O165" s="210"/>
      <c r="P165" s="170"/>
      <c r="Q165" s="169"/>
      <c r="R165" s="158"/>
      <c r="S165" s="158"/>
      <c r="T165" s="162"/>
      <c r="U165" s="164"/>
      <c r="V165" s="165"/>
      <c r="W165" s="166"/>
      <c r="X165" s="172"/>
      <c r="Y165" s="174"/>
      <c r="Z165" s="176"/>
      <c r="AA165" s="178" t="str">
        <f t="shared" si="16"/>
        <v xml:space="preserve"> - </v>
      </c>
      <c r="AB165" s="180" t="str">
        <f t="shared" si="17"/>
        <v xml:space="preserve"> - </v>
      </c>
      <c r="AC165" s="180" t="str">
        <f t="shared" si="18"/>
        <v xml:space="preserve"> - </v>
      </c>
      <c r="AD165" s="182" t="str">
        <f t="shared" si="15"/>
        <v xml:space="preserve"> - </v>
      </c>
      <c r="AE165" s="184">
        <f t="shared" si="19"/>
        <v>0</v>
      </c>
      <c r="AF165" s="186">
        <f t="shared" si="14"/>
        <v>0</v>
      </c>
      <c r="AG165" s="188" t="str">
        <f t="array" ref="AG165" xml:space="preserve"> IFERROR( IF( D165="", "-", _xlfn.AGGREGATE(15,6, ( ( ($D$21:$D$27 = D165) * IF($D$19&lt;&gt;"", --($E$21:$E$27 = E165), 1) * IF($H$19&lt;&gt;"", --($F$21:$F$27 = F165), 1)  ) / ( ( $D$21:$D$27 = D165) * IF($D$19&lt;&gt;"", --($E$21:$E$27 = E165), 1)  * IF($H$19&lt;&gt;"", --($F$21:$F$27 = F165), 1) ) ) * $AF$21:$AF$27,1)    ), "-")</f>
        <v>-</v>
      </c>
      <c r="BB165"/>
      <c r="BE165" s="67"/>
    </row>
    <row r="166" spans="2:57" x14ac:dyDescent="0.25">
      <c r="B166" s="158" t="s">
        <v>402</v>
      </c>
      <c r="C166" s="158"/>
      <c r="D166" s="189" t="s">
        <v>812</v>
      </c>
      <c r="E166" s="160" t="s">
        <v>755</v>
      </c>
      <c r="F166" s="189" t="s">
        <v>736</v>
      </c>
      <c r="G166" s="163"/>
      <c r="H166" s="163"/>
      <c r="I166" s="158"/>
      <c r="J166" s="158"/>
      <c r="K166" s="167"/>
      <c r="L166" s="168"/>
      <c r="M166" s="167"/>
      <c r="N166" s="167"/>
      <c r="O166" s="210"/>
      <c r="P166" s="170"/>
      <c r="Q166" s="169"/>
      <c r="R166" s="158"/>
      <c r="S166" s="158"/>
      <c r="T166" s="162"/>
      <c r="U166" s="164"/>
      <c r="V166" s="165"/>
      <c r="W166" s="166"/>
      <c r="X166" s="172"/>
      <c r="Y166" s="174"/>
      <c r="Z166" s="176"/>
      <c r="AA166" s="178" t="str">
        <f t="shared" si="16"/>
        <v xml:space="preserve"> - </v>
      </c>
      <c r="AB166" s="180" t="str">
        <f t="shared" si="17"/>
        <v xml:space="preserve"> - </v>
      </c>
      <c r="AC166" s="180" t="str">
        <f t="shared" si="18"/>
        <v xml:space="preserve"> - </v>
      </c>
      <c r="AD166" s="182" t="str">
        <f t="shared" si="15"/>
        <v xml:space="preserve"> - </v>
      </c>
      <c r="AE166" s="184">
        <f t="shared" si="19"/>
        <v>0</v>
      </c>
      <c r="AF166" s="186">
        <f t="shared" si="14"/>
        <v>0</v>
      </c>
      <c r="AG166" s="188" t="str">
        <f t="array" ref="AG166" xml:space="preserve"> IFERROR( IF( D166="", "-", _xlfn.AGGREGATE(15,6, ( ( ($D$21:$D$27 = D166) * IF($D$19&lt;&gt;"", --($E$21:$E$27 = E166), 1) * IF($H$19&lt;&gt;"", --($F$21:$F$27 = F166), 1)  ) / ( ( $D$21:$D$27 = D166) * IF($D$19&lt;&gt;"", --($E$21:$E$27 = E166), 1)  * IF($H$19&lt;&gt;"", --($F$21:$F$27 = F166), 1) ) ) * $AF$21:$AF$27,1)    ), "-")</f>
        <v>-</v>
      </c>
      <c r="BB166"/>
      <c r="BE166" s="67"/>
    </row>
    <row r="167" spans="2:57" x14ac:dyDescent="0.25">
      <c r="B167" s="158" t="s">
        <v>403</v>
      </c>
      <c r="C167" s="158"/>
      <c r="D167" s="162" t="s">
        <v>699</v>
      </c>
      <c r="E167" s="160" t="s">
        <v>698</v>
      </c>
      <c r="F167" s="162"/>
      <c r="G167" s="163"/>
      <c r="H167" s="163"/>
      <c r="I167" s="158"/>
      <c r="J167" s="158"/>
      <c r="K167" s="167"/>
      <c r="L167" s="168"/>
      <c r="M167" s="167"/>
      <c r="N167" s="167"/>
      <c r="O167" s="210"/>
      <c r="P167" s="170"/>
      <c r="Q167" s="169"/>
      <c r="R167" s="158"/>
      <c r="S167" s="158"/>
      <c r="T167" s="162"/>
      <c r="U167" s="164"/>
      <c r="V167" s="165"/>
      <c r="W167" s="166"/>
      <c r="X167" s="172"/>
      <c r="Y167" s="174"/>
      <c r="Z167" s="176"/>
      <c r="AA167" s="178" t="str">
        <f t="shared" si="16"/>
        <v xml:space="preserve"> - </v>
      </c>
      <c r="AB167" s="180" t="str">
        <f t="shared" si="17"/>
        <v xml:space="preserve"> - </v>
      </c>
      <c r="AC167" s="180" t="str">
        <f t="shared" si="18"/>
        <v xml:space="preserve"> - </v>
      </c>
      <c r="AD167" s="182" t="str">
        <f t="shared" si="15"/>
        <v xml:space="preserve"> - </v>
      </c>
      <c r="AE167" s="184">
        <f t="shared" si="19"/>
        <v>0</v>
      </c>
      <c r="AF167" s="186">
        <f t="shared" si="14"/>
        <v>0</v>
      </c>
      <c r="AG167" s="188" t="str">
        <f t="array" ref="AG167" xml:space="preserve"> IFERROR( IF( D167="", "-", _xlfn.AGGREGATE(15,6, ( ( ($D$21:$D$27 = D167) * IF($D$19&lt;&gt;"", --($E$21:$E$27 = E167), 1) * IF($H$19&lt;&gt;"", --($F$21:$F$27 = F167), 1)  ) / ( ( $D$21:$D$27 = D167) * IF($D$19&lt;&gt;"", --($E$21:$E$27 = E167), 1)  * IF($H$19&lt;&gt;"", --($F$21:$F$27 = F167), 1) ) ) * $AF$21:$AF$27,1)    ), "-")</f>
        <v>-</v>
      </c>
      <c r="BB167"/>
      <c r="BE167" s="67"/>
    </row>
    <row r="168" spans="2:57" x14ac:dyDescent="0.25">
      <c r="B168" s="158" t="s">
        <v>404</v>
      </c>
      <c r="C168" s="158"/>
      <c r="D168" s="189" t="s">
        <v>812</v>
      </c>
      <c r="E168" s="160" t="s">
        <v>756</v>
      </c>
      <c r="F168" s="162"/>
      <c r="G168" s="163"/>
      <c r="H168" s="163"/>
      <c r="I168" s="158"/>
      <c r="J168" s="158"/>
      <c r="K168" s="167"/>
      <c r="L168" s="168"/>
      <c r="M168" s="167"/>
      <c r="N168" s="167"/>
      <c r="O168" s="210"/>
      <c r="P168" s="170"/>
      <c r="Q168" s="169"/>
      <c r="R168" s="158"/>
      <c r="S168" s="158"/>
      <c r="T168" s="162"/>
      <c r="U168" s="164"/>
      <c r="V168" s="165"/>
      <c r="W168" s="166"/>
      <c r="X168" s="172"/>
      <c r="Y168" s="174"/>
      <c r="Z168" s="176"/>
      <c r="AA168" s="178" t="str">
        <f t="shared" si="16"/>
        <v xml:space="preserve"> - </v>
      </c>
      <c r="AB168" s="180" t="str">
        <f t="shared" si="17"/>
        <v xml:space="preserve"> - </v>
      </c>
      <c r="AC168" s="180" t="str">
        <f t="shared" si="18"/>
        <v xml:space="preserve"> - </v>
      </c>
      <c r="AD168" s="182" t="str">
        <f t="shared" si="15"/>
        <v xml:space="preserve"> - </v>
      </c>
      <c r="AE168" s="184">
        <f t="shared" si="19"/>
        <v>0</v>
      </c>
      <c r="AF168" s="186">
        <f t="shared" si="14"/>
        <v>0</v>
      </c>
      <c r="AG168" s="188" t="str">
        <f t="array" ref="AG168" xml:space="preserve"> IFERROR( IF( D168="", "-", _xlfn.AGGREGATE(15,6, ( ( ($D$21:$D$27 = D168) * IF($D$19&lt;&gt;"", --($E$21:$E$27 = E168), 1) * IF($H$19&lt;&gt;"", --($F$21:$F$27 = F168), 1)  ) / ( ( $D$21:$D$27 = D168) * IF($D$19&lt;&gt;"", --($E$21:$E$27 = E168), 1)  * IF($H$19&lt;&gt;"", --($F$21:$F$27 = F168), 1) ) ) * $AF$21:$AF$27,1)    ), "-")</f>
        <v>-</v>
      </c>
      <c r="BB168"/>
      <c r="BE168" s="67"/>
    </row>
    <row r="169" spans="2:57" x14ac:dyDescent="0.25">
      <c r="B169" s="158" t="s">
        <v>405</v>
      </c>
      <c r="C169" s="158"/>
      <c r="D169" s="189" t="s">
        <v>812</v>
      </c>
      <c r="E169" s="160" t="s">
        <v>700</v>
      </c>
      <c r="F169" s="162"/>
      <c r="G169" s="163"/>
      <c r="H169" s="163"/>
      <c r="I169" s="158"/>
      <c r="J169" s="158"/>
      <c r="K169" s="167"/>
      <c r="L169" s="168"/>
      <c r="M169" s="167"/>
      <c r="N169" s="167"/>
      <c r="O169" s="210"/>
      <c r="P169" s="170"/>
      <c r="Q169" s="169"/>
      <c r="R169" s="158"/>
      <c r="S169" s="158"/>
      <c r="T169" s="162"/>
      <c r="U169" s="164"/>
      <c r="V169" s="165"/>
      <c r="W169" s="166"/>
      <c r="X169" s="172"/>
      <c r="Y169" s="174"/>
      <c r="Z169" s="176"/>
      <c r="AA169" s="178" t="str">
        <f t="shared" si="16"/>
        <v xml:space="preserve"> - </v>
      </c>
      <c r="AB169" s="180" t="str">
        <f t="shared" si="17"/>
        <v xml:space="preserve"> - </v>
      </c>
      <c r="AC169" s="180" t="str">
        <f t="shared" si="18"/>
        <v xml:space="preserve"> - </v>
      </c>
      <c r="AD169" s="182" t="str">
        <f t="shared" si="15"/>
        <v xml:space="preserve"> - </v>
      </c>
      <c r="AE169" s="184">
        <f t="shared" si="19"/>
        <v>0</v>
      </c>
      <c r="AF169" s="186">
        <f t="shared" si="14"/>
        <v>0</v>
      </c>
      <c r="AG169" s="188" t="str">
        <f t="array" ref="AG169" xml:space="preserve"> IFERROR( IF( D169="", "-", _xlfn.AGGREGATE(15,6, ( ( ($D$21:$D$27 = D169) * IF($D$19&lt;&gt;"", --($E$21:$E$27 = E169), 1) * IF($H$19&lt;&gt;"", --($F$21:$F$27 = F169), 1)  ) / ( ( $D$21:$D$27 = D169) * IF($D$19&lt;&gt;"", --($E$21:$E$27 = E169), 1)  * IF($H$19&lt;&gt;"", --($F$21:$F$27 = F169), 1) ) ) * $AF$21:$AF$27,1)    ), "-")</f>
        <v>-</v>
      </c>
      <c r="BB169"/>
      <c r="BE169" s="67"/>
    </row>
    <row r="170" spans="2:57" x14ac:dyDescent="0.25">
      <c r="B170" s="158" t="s">
        <v>406</v>
      </c>
      <c r="C170" s="158"/>
      <c r="D170" s="189" t="s">
        <v>812</v>
      </c>
      <c r="E170" s="160" t="s">
        <v>701</v>
      </c>
      <c r="F170" s="162" t="s">
        <v>673</v>
      </c>
      <c r="G170" s="163"/>
      <c r="H170" s="163"/>
      <c r="I170" s="158"/>
      <c r="J170" s="158"/>
      <c r="K170" s="167"/>
      <c r="L170" s="168"/>
      <c r="M170" s="167"/>
      <c r="N170" s="167"/>
      <c r="O170" s="210"/>
      <c r="P170" s="170"/>
      <c r="Q170" s="169"/>
      <c r="R170" s="158"/>
      <c r="S170" s="158"/>
      <c r="T170" s="162"/>
      <c r="U170" s="164"/>
      <c r="V170" s="165"/>
      <c r="W170" s="166"/>
      <c r="X170" s="172"/>
      <c r="Y170" s="174"/>
      <c r="Z170" s="176"/>
      <c r="AA170" s="178" t="str">
        <f t="shared" si="16"/>
        <v xml:space="preserve"> - </v>
      </c>
      <c r="AB170" s="180" t="str">
        <f t="shared" si="17"/>
        <v xml:space="preserve"> - </v>
      </c>
      <c r="AC170" s="180" t="str">
        <f t="shared" si="18"/>
        <v xml:space="preserve"> - </v>
      </c>
      <c r="AD170" s="182" t="str">
        <f t="shared" si="15"/>
        <v xml:space="preserve"> - </v>
      </c>
      <c r="AE170" s="184">
        <f t="shared" si="19"/>
        <v>0</v>
      </c>
      <c r="AF170" s="186">
        <f t="shared" si="14"/>
        <v>0</v>
      </c>
      <c r="AG170" s="188" t="str">
        <f t="array" ref="AG170" xml:space="preserve"> IFERROR( IF( D170="", "-", _xlfn.AGGREGATE(15,6, ( ( ($D$21:$D$27 = D170) * IF($D$19&lt;&gt;"", --($E$21:$E$27 = E170), 1) * IF($H$19&lt;&gt;"", --($F$21:$F$27 = F170), 1)  ) / ( ( $D$21:$D$27 = D170) * IF($D$19&lt;&gt;"", --($E$21:$E$27 = E170), 1)  * IF($H$19&lt;&gt;"", --($F$21:$F$27 = F170), 1) ) ) * $AF$21:$AF$27,1)    ), "-")</f>
        <v>-</v>
      </c>
      <c r="BB170"/>
      <c r="BE170" s="67"/>
    </row>
    <row r="171" spans="2:57" x14ac:dyDescent="0.25">
      <c r="B171" s="158" t="s">
        <v>407</v>
      </c>
      <c r="C171" s="158"/>
      <c r="D171" s="189" t="s">
        <v>674</v>
      </c>
      <c r="E171" s="160"/>
      <c r="F171" s="189" t="s">
        <v>739</v>
      </c>
      <c r="G171" s="163"/>
      <c r="H171" s="163"/>
      <c r="I171" s="158"/>
      <c r="J171" s="158"/>
      <c r="K171" s="167"/>
      <c r="L171" s="168"/>
      <c r="M171" s="167"/>
      <c r="N171" s="167"/>
      <c r="O171" s="210"/>
      <c r="P171" s="170"/>
      <c r="Q171" s="169"/>
      <c r="R171" s="158"/>
      <c r="S171" s="158"/>
      <c r="T171" s="162"/>
      <c r="U171" s="164"/>
      <c r="V171" s="165"/>
      <c r="W171" s="166"/>
      <c r="X171" s="172"/>
      <c r="Y171" s="174"/>
      <c r="Z171" s="176"/>
      <c r="AA171" s="178" t="str">
        <f t="shared" si="16"/>
        <v xml:space="preserve"> - </v>
      </c>
      <c r="AB171" s="180" t="str">
        <f t="shared" si="17"/>
        <v xml:space="preserve"> - </v>
      </c>
      <c r="AC171" s="180" t="str">
        <f t="shared" si="18"/>
        <v xml:space="preserve"> - </v>
      </c>
      <c r="AD171" s="182" t="str">
        <f t="shared" si="15"/>
        <v xml:space="preserve"> - </v>
      </c>
      <c r="AE171" s="184">
        <f t="shared" si="19"/>
        <v>0</v>
      </c>
      <c r="AF171" s="186">
        <f t="shared" si="14"/>
        <v>0</v>
      </c>
      <c r="AG171" s="188" t="str">
        <f t="array" ref="AG171" xml:space="preserve"> IFERROR( IF( D171="", "-", _xlfn.AGGREGATE(15,6, ( ( ($D$21:$D$27 = D171) * IF($D$19&lt;&gt;"", --($E$21:$E$27 = E171), 1) * IF($H$19&lt;&gt;"", --($F$21:$F$27 = F171), 1)  ) / ( ( $D$21:$D$27 = D171) * IF($D$19&lt;&gt;"", --($E$21:$E$27 = E171), 1)  * IF($H$19&lt;&gt;"", --($F$21:$F$27 = F171), 1) ) ) * $AF$21:$AF$27,1)    ), "-")</f>
        <v>-</v>
      </c>
      <c r="BB171"/>
      <c r="BE171" s="67"/>
    </row>
    <row r="172" spans="2:57" x14ac:dyDescent="0.25">
      <c r="B172" s="158" t="s">
        <v>408</v>
      </c>
      <c r="C172" s="158"/>
      <c r="D172" s="189" t="s">
        <v>674</v>
      </c>
      <c r="E172" s="160"/>
      <c r="F172" s="189" t="s">
        <v>740</v>
      </c>
      <c r="G172" s="163"/>
      <c r="H172" s="163"/>
      <c r="I172" s="158"/>
      <c r="J172" s="158"/>
      <c r="K172" s="167"/>
      <c r="L172" s="168"/>
      <c r="M172" s="167"/>
      <c r="N172" s="167"/>
      <c r="O172" s="210"/>
      <c r="P172" s="170"/>
      <c r="Q172" s="169"/>
      <c r="R172" s="158"/>
      <c r="S172" s="158"/>
      <c r="T172" s="162"/>
      <c r="U172" s="164"/>
      <c r="V172" s="165"/>
      <c r="W172" s="166"/>
      <c r="X172" s="172"/>
      <c r="Y172" s="174"/>
      <c r="Z172" s="176"/>
      <c r="AA172" s="178" t="str">
        <f t="shared" si="16"/>
        <v xml:space="preserve"> - </v>
      </c>
      <c r="AB172" s="180" t="str">
        <f t="shared" si="17"/>
        <v xml:space="preserve"> - </v>
      </c>
      <c r="AC172" s="180" t="str">
        <f t="shared" si="18"/>
        <v xml:space="preserve"> - </v>
      </c>
      <c r="AD172" s="182" t="str">
        <f t="shared" si="15"/>
        <v xml:space="preserve"> - </v>
      </c>
      <c r="AE172" s="184">
        <f t="shared" si="19"/>
        <v>0</v>
      </c>
      <c r="AF172" s="186">
        <f t="shared" si="14"/>
        <v>0</v>
      </c>
      <c r="AG172" s="188" t="str">
        <f t="array" ref="AG172" xml:space="preserve"> IFERROR( IF( D172="", "-", _xlfn.AGGREGATE(15,6, ( ( ($D$21:$D$27 = D172) * IF($D$19&lt;&gt;"", --($E$21:$E$27 = E172), 1) * IF($H$19&lt;&gt;"", --($F$21:$F$27 = F172), 1)  ) / ( ( $D$21:$D$27 = D172) * IF($D$19&lt;&gt;"", --($E$21:$E$27 = E172), 1)  * IF($H$19&lt;&gt;"", --($F$21:$F$27 = F172), 1) ) ) * $AF$21:$AF$27,1)    ), "-")</f>
        <v>-</v>
      </c>
      <c r="BB172"/>
      <c r="BE172" s="67"/>
    </row>
    <row r="173" spans="2:57" x14ac:dyDescent="0.25">
      <c r="B173" s="158" t="s">
        <v>409</v>
      </c>
      <c r="C173" s="158"/>
      <c r="D173" s="162" t="s">
        <v>813</v>
      </c>
      <c r="E173" s="160"/>
      <c r="F173" s="162"/>
      <c r="G173" s="163"/>
      <c r="H173" s="163"/>
      <c r="I173" s="158"/>
      <c r="J173" s="158"/>
      <c r="K173" s="167"/>
      <c r="L173" s="168"/>
      <c r="M173" s="167"/>
      <c r="N173" s="167"/>
      <c r="O173" s="210"/>
      <c r="P173" s="170"/>
      <c r="Q173" s="169"/>
      <c r="R173" s="158"/>
      <c r="S173" s="158"/>
      <c r="T173" s="162"/>
      <c r="U173" s="164"/>
      <c r="V173" s="165"/>
      <c r="W173" s="166"/>
      <c r="X173" s="172"/>
      <c r="Y173" s="174"/>
      <c r="Z173" s="176"/>
      <c r="AA173" s="178" t="str">
        <f t="shared" si="16"/>
        <v xml:space="preserve"> - </v>
      </c>
      <c r="AB173" s="180" t="str">
        <f t="shared" si="17"/>
        <v xml:space="preserve"> - </v>
      </c>
      <c r="AC173" s="180" t="str">
        <f t="shared" si="18"/>
        <v xml:space="preserve"> - </v>
      </c>
      <c r="AD173" s="182" t="str">
        <f t="shared" si="15"/>
        <v xml:space="preserve"> - </v>
      </c>
      <c r="AE173" s="184">
        <f t="shared" si="19"/>
        <v>0</v>
      </c>
      <c r="AF173" s="186">
        <f t="shared" si="14"/>
        <v>0</v>
      </c>
      <c r="AG173" s="188" t="str">
        <f t="array" ref="AG173" xml:space="preserve"> IFERROR( IF( D173="", "-", _xlfn.AGGREGATE(15,6, ( ( ($D$21:$D$27 = D173) * IF($D$19&lt;&gt;"", --($E$21:$E$27 = E173), 1) * IF($H$19&lt;&gt;"", --($F$21:$F$27 = F173), 1)  ) / ( ( $D$21:$D$27 = D173) * IF($D$19&lt;&gt;"", --($E$21:$E$27 = E173), 1)  * IF($H$19&lt;&gt;"", --($F$21:$F$27 = F173), 1) ) ) * $AF$21:$AF$27,1)    ), "-")</f>
        <v>-</v>
      </c>
      <c r="BB173"/>
      <c r="BE173" s="67"/>
    </row>
    <row r="174" spans="2:57" x14ac:dyDescent="0.25">
      <c r="B174" s="158" t="s">
        <v>410</v>
      </c>
      <c r="C174" s="158"/>
      <c r="D174" s="189" t="s">
        <v>814</v>
      </c>
      <c r="E174" s="160" t="s">
        <v>702</v>
      </c>
      <c r="F174" s="189" t="s">
        <v>741</v>
      </c>
      <c r="G174" s="163"/>
      <c r="H174" s="163"/>
      <c r="I174" s="158"/>
      <c r="J174" s="158"/>
      <c r="K174" s="167"/>
      <c r="L174" s="168"/>
      <c r="M174" s="167"/>
      <c r="N174" s="167"/>
      <c r="O174" s="210"/>
      <c r="P174" s="170"/>
      <c r="Q174" s="169"/>
      <c r="R174" s="158"/>
      <c r="S174" s="158"/>
      <c r="T174" s="162"/>
      <c r="U174" s="164"/>
      <c r="V174" s="165"/>
      <c r="W174" s="166"/>
      <c r="X174" s="172"/>
      <c r="Y174" s="174"/>
      <c r="Z174" s="176"/>
      <c r="AA174" s="178" t="str">
        <f t="shared" si="16"/>
        <v xml:space="preserve"> - </v>
      </c>
      <c r="AB174" s="180" t="str">
        <f t="shared" si="17"/>
        <v xml:space="preserve"> - </v>
      </c>
      <c r="AC174" s="180" t="str">
        <f t="shared" si="18"/>
        <v xml:space="preserve"> - </v>
      </c>
      <c r="AD174" s="182" t="str">
        <f t="shared" si="15"/>
        <v xml:space="preserve"> - </v>
      </c>
      <c r="AE174" s="184">
        <f t="shared" si="19"/>
        <v>0</v>
      </c>
      <c r="AF174" s="186">
        <f t="shared" si="14"/>
        <v>0</v>
      </c>
      <c r="AG174" s="188" t="str">
        <f t="array" ref="AG174" xml:space="preserve"> IFERROR( IF( D174="", "-", _xlfn.AGGREGATE(15,6, ( ( ($D$21:$D$27 = D174) * IF($D$19&lt;&gt;"", --($E$21:$E$27 = E174), 1) * IF($H$19&lt;&gt;"", --($F$21:$F$27 = F174), 1)  ) / ( ( $D$21:$D$27 = D174) * IF($D$19&lt;&gt;"", --($E$21:$E$27 = E174), 1)  * IF($H$19&lt;&gt;"", --($F$21:$F$27 = F174), 1) ) ) * $AF$21:$AF$27,1)    ), "-")</f>
        <v>-</v>
      </c>
      <c r="BB174"/>
      <c r="BE174" s="67"/>
    </row>
    <row r="175" spans="2:57" x14ac:dyDescent="0.25">
      <c r="B175" s="158" t="s">
        <v>411</v>
      </c>
      <c r="C175" s="158"/>
      <c r="D175" s="189" t="s">
        <v>814</v>
      </c>
      <c r="E175" s="160" t="s">
        <v>702</v>
      </c>
      <c r="F175" s="189" t="s">
        <v>742</v>
      </c>
      <c r="G175" s="163"/>
      <c r="H175" s="163"/>
      <c r="I175" s="158"/>
      <c r="J175" s="158"/>
      <c r="K175" s="167"/>
      <c r="L175" s="168"/>
      <c r="M175" s="167"/>
      <c r="N175" s="167"/>
      <c r="O175" s="210"/>
      <c r="P175" s="170"/>
      <c r="Q175" s="169"/>
      <c r="R175" s="158"/>
      <c r="S175" s="158"/>
      <c r="T175" s="162"/>
      <c r="U175" s="164"/>
      <c r="V175" s="165"/>
      <c r="W175" s="166"/>
      <c r="X175" s="172"/>
      <c r="Y175" s="174"/>
      <c r="Z175" s="176"/>
      <c r="AA175" s="178" t="str">
        <f t="shared" si="16"/>
        <v xml:space="preserve"> - </v>
      </c>
      <c r="AB175" s="180" t="str">
        <f t="shared" si="17"/>
        <v xml:space="preserve"> - </v>
      </c>
      <c r="AC175" s="180" t="str">
        <f t="shared" si="18"/>
        <v xml:space="preserve"> - </v>
      </c>
      <c r="AD175" s="182" t="str">
        <f t="shared" si="15"/>
        <v xml:space="preserve"> - </v>
      </c>
      <c r="AE175" s="184">
        <f t="shared" si="19"/>
        <v>0</v>
      </c>
      <c r="AF175" s="186">
        <f t="shared" si="14"/>
        <v>0</v>
      </c>
      <c r="AG175" s="188" t="str">
        <f t="array" ref="AG175" xml:space="preserve"> IFERROR( IF( D175="", "-", _xlfn.AGGREGATE(15,6, ( ( ($D$21:$D$27 = D175) * IF($D$19&lt;&gt;"", --($E$21:$E$27 = E175), 1) * IF($H$19&lt;&gt;"", --($F$21:$F$27 = F175), 1)  ) / ( ( $D$21:$D$27 = D175) * IF($D$19&lt;&gt;"", --($E$21:$E$27 = E175), 1)  * IF($H$19&lt;&gt;"", --($F$21:$F$27 = F175), 1) ) ) * $AF$21:$AF$27,1)    ), "-")</f>
        <v>-</v>
      </c>
      <c r="BB175"/>
      <c r="BE175" s="67"/>
    </row>
    <row r="176" spans="2:57" x14ac:dyDescent="0.25">
      <c r="B176" s="158" t="s">
        <v>412</v>
      </c>
      <c r="C176" s="158"/>
      <c r="D176" s="162" t="s">
        <v>817</v>
      </c>
      <c r="E176" s="160"/>
      <c r="F176" s="162"/>
      <c r="G176" s="163"/>
      <c r="H176" s="163" t="s">
        <v>703</v>
      </c>
      <c r="I176" s="158"/>
      <c r="J176" s="158"/>
      <c r="K176" s="167"/>
      <c r="L176" s="168"/>
      <c r="M176" s="167"/>
      <c r="N176" s="167"/>
      <c r="O176" s="210"/>
      <c r="P176" s="170"/>
      <c r="Q176" s="169"/>
      <c r="R176" s="158"/>
      <c r="S176" s="158"/>
      <c r="T176" s="162"/>
      <c r="U176" s="164"/>
      <c r="V176" s="165"/>
      <c r="W176" s="166"/>
      <c r="X176" s="172"/>
      <c r="Y176" s="174"/>
      <c r="Z176" s="176"/>
      <c r="AA176" s="178" t="str">
        <f t="shared" si="16"/>
        <v xml:space="preserve"> - </v>
      </c>
      <c r="AB176" s="180" t="str">
        <f t="shared" si="17"/>
        <v xml:space="preserve"> - </v>
      </c>
      <c r="AC176" s="180" t="str">
        <f t="shared" si="18"/>
        <v xml:space="preserve"> - </v>
      </c>
      <c r="AD176" s="182" t="str">
        <f t="shared" si="15"/>
        <v xml:space="preserve"> - </v>
      </c>
      <c r="AE176" s="184">
        <f t="shared" si="19"/>
        <v>0</v>
      </c>
      <c r="AF176" s="186">
        <f t="shared" si="14"/>
        <v>0</v>
      </c>
      <c r="AG176" s="188" t="str">
        <f t="array" ref="AG176" xml:space="preserve"> IFERROR( IF( D176="", "-", _xlfn.AGGREGATE(15,6, ( ( ($D$21:$D$27 = D176) * IF($D$19&lt;&gt;"", --($E$21:$E$27 = E176), 1) * IF($H$19&lt;&gt;"", --($F$21:$F$27 = F176), 1)  ) / ( ( $D$21:$D$27 = D176) * IF($D$19&lt;&gt;"", --($E$21:$E$27 = E176), 1)  * IF($H$19&lt;&gt;"", --($F$21:$F$27 = F176), 1) ) ) * $AF$21:$AF$27,1)    ), "-")</f>
        <v>-</v>
      </c>
      <c r="BB176"/>
      <c r="BE176" s="67"/>
    </row>
    <row r="177" spans="2:57" x14ac:dyDescent="0.25">
      <c r="B177" s="158" t="s">
        <v>413</v>
      </c>
      <c r="C177" s="158"/>
      <c r="D177" s="162" t="s">
        <v>818</v>
      </c>
      <c r="E177" s="162" t="s">
        <v>704</v>
      </c>
      <c r="F177" s="162"/>
      <c r="G177" s="163"/>
      <c r="H177" s="163"/>
      <c r="I177" s="158"/>
      <c r="J177" s="158"/>
      <c r="K177" s="167"/>
      <c r="L177" s="168"/>
      <c r="M177" s="167"/>
      <c r="N177" s="167"/>
      <c r="O177" s="210"/>
      <c r="P177" s="170"/>
      <c r="Q177" s="169"/>
      <c r="R177" s="158"/>
      <c r="S177" s="158"/>
      <c r="T177" s="162"/>
      <c r="U177" s="164"/>
      <c r="V177" s="165"/>
      <c r="W177" s="166"/>
      <c r="X177" s="172"/>
      <c r="Y177" s="174"/>
      <c r="Z177" s="176"/>
      <c r="AA177" s="178" t="str">
        <f t="shared" si="16"/>
        <v xml:space="preserve"> - </v>
      </c>
      <c r="AB177" s="180" t="str">
        <f t="shared" si="17"/>
        <v xml:space="preserve"> - </v>
      </c>
      <c r="AC177" s="180" t="str">
        <f t="shared" si="18"/>
        <v xml:space="preserve"> - </v>
      </c>
      <c r="AD177" s="182" t="str">
        <f t="shared" si="15"/>
        <v xml:space="preserve"> - </v>
      </c>
      <c r="AE177" s="184">
        <f t="shared" si="19"/>
        <v>0</v>
      </c>
      <c r="AF177" s="186">
        <f t="shared" si="14"/>
        <v>0</v>
      </c>
      <c r="AG177" s="188" t="str">
        <f t="array" ref="AG177" xml:space="preserve"> IFERROR( IF( D177="", "-", _xlfn.AGGREGATE(15,6, ( ( ($D$21:$D$27 = D177) * IF($D$19&lt;&gt;"", --($E$21:$E$27 = E177), 1) * IF($H$19&lt;&gt;"", --($F$21:$F$27 = F177), 1)  ) / ( ( $D$21:$D$27 = D177) * IF($D$19&lt;&gt;"", --($E$21:$E$27 = E177), 1)  * IF($H$19&lt;&gt;"", --($F$21:$F$27 = F177), 1) ) ) * $AF$21:$AF$27,1)    ), "-")</f>
        <v>-</v>
      </c>
      <c r="BB177"/>
      <c r="BE177" s="67"/>
    </row>
    <row r="178" spans="2:57" x14ac:dyDescent="0.25">
      <c r="B178" s="158" t="s">
        <v>414</v>
      </c>
      <c r="C178" s="158"/>
      <c r="D178" s="162" t="s">
        <v>414</v>
      </c>
      <c r="E178" s="160"/>
      <c r="F178" s="162"/>
      <c r="G178" s="163"/>
      <c r="H178" s="163"/>
      <c r="I178" s="158"/>
      <c r="J178" s="158"/>
      <c r="K178" s="167"/>
      <c r="L178" s="168"/>
      <c r="M178" s="167"/>
      <c r="N178" s="167"/>
      <c r="O178" s="210"/>
      <c r="P178" s="170"/>
      <c r="Q178" s="169"/>
      <c r="R178" s="158"/>
      <c r="S178" s="158"/>
      <c r="T178" s="162"/>
      <c r="U178" s="164"/>
      <c r="V178" s="165"/>
      <c r="W178" s="166"/>
      <c r="X178" s="172"/>
      <c r="Y178" s="174"/>
      <c r="Z178" s="176"/>
      <c r="AA178" s="178" t="str">
        <f t="shared" si="16"/>
        <v xml:space="preserve"> - </v>
      </c>
      <c r="AB178" s="180" t="str">
        <f t="shared" si="17"/>
        <v xml:space="preserve"> - </v>
      </c>
      <c r="AC178" s="180" t="str">
        <f t="shared" si="18"/>
        <v xml:space="preserve"> - </v>
      </c>
      <c r="AD178" s="182" t="str">
        <f t="shared" si="15"/>
        <v xml:space="preserve"> - </v>
      </c>
      <c r="AE178" s="184">
        <f t="shared" si="19"/>
        <v>0</v>
      </c>
      <c r="AF178" s="186">
        <f t="shared" si="14"/>
        <v>0</v>
      </c>
      <c r="AG178" s="188" t="str">
        <f t="array" ref="AG178" xml:space="preserve"> IFERROR( IF( D178="", "-", _xlfn.AGGREGATE(15,6, ( ( ($D$21:$D$27 = D178) * IF($D$19&lt;&gt;"", --($E$21:$E$27 = E178), 1) * IF($H$19&lt;&gt;"", --($F$21:$F$27 = F178), 1)  ) / ( ( $D$21:$D$27 = D178) * IF($D$19&lt;&gt;"", --($E$21:$E$27 = E178), 1)  * IF($H$19&lt;&gt;"", --($F$21:$F$27 = F178), 1) ) ) * $AF$21:$AF$27,1)    ), "-")</f>
        <v>-</v>
      </c>
      <c r="BB178"/>
      <c r="BE178" s="67"/>
    </row>
    <row r="179" spans="2:57" x14ac:dyDescent="0.25">
      <c r="B179" s="158" t="s">
        <v>415</v>
      </c>
      <c r="C179" s="158"/>
      <c r="D179" s="189" t="s">
        <v>819</v>
      </c>
      <c r="E179" s="160"/>
      <c r="F179" s="189" t="s">
        <v>676</v>
      </c>
      <c r="G179" s="163"/>
      <c r="H179" s="163"/>
      <c r="I179" s="158"/>
      <c r="J179" s="158"/>
      <c r="K179" s="167"/>
      <c r="L179" s="168"/>
      <c r="M179" s="167"/>
      <c r="N179" s="167"/>
      <c r="O179" s="210"/>
      <c r="P179" s="170"/>
      <c r="Q179" s="169"/>
      <c r="R179" s="158"/>
      <c r="S179" s="158"/>
      <c r="T179" s="162"/>
      <c r="U179" s="164"/>
      <c r="V179" s="165"/>
      <c r="W179" s="166"/>
      <c r="X179" s="172"/>
      <c r="Y179" s="174"/>
      <c r="Z179" s="176"/>
      <c r="AA179" s="178" t="str">
        <f t="shared" si="16"/>
        <v xml:space="preserve"> - </v>
      </c>
      <c r="AB179" s="180" t="str">
        <f t="shared" si="17"/>
        <v xml:space="preserve"> - </v>
      </c>
      <c r="AC179" s="180" t="str">
        <f t="shared" si="18"/>
        <v xml:space="preserve"> - </v>
      </c>
      <c r="AD179" s="182" t="str">
        <f t="shared" si="15"/>
        <v xml:space="preserve"> - </v>
      </c>
      <c r="AE179" s="184">
        <f t="shared" si="19"/>
        <v>0</v>
      </c>
      <c r="AF179" s="186">
        <f t="shared" si="14"/>
        <v>0</v>
      </c>
      <c r="AG179" s="188" t="str">
        <f t="array" ref="AG179" xml:space="preserve"> IFERROR( IF( D179="", "-", _xlfn.AGGREGATE(15,6, ( ( ($D$21:$D$27 = D179) * IF($D$19&lt;&gt;"", --($E$21:$E$27 = E179), 1) * IF($H$19&lt;&gt;"", --($F$21:$F$27 = F179), 1)  ) / ( ( $D$21:$D$27 = D179) * IF($D$19&lt;&gt;"", --($E$21:$E$27 = E179), 1)  * IF($H$19&lt;&gt;"", --($F$21:$F$27 = F179), 1) ) ) * $AF$21:$AF$27,1)    ), "-")</f>
        <v>-</v>
      </c>
      <c r="BB179"/>
      <c r="BE179" s="67"/>
    </row>
    <row r="180" spans="2:57" x14ac:dyDescent="0.25">
      <c r="B180" s="158" t="s">
        <v>416</v>
      </c>
      <c r="C180" s="158"/>
      <c r="D180" s="189" t="s">
        <v>819</v>
      </c>
      <c r="E180" s="160"/>
      <c r="F180" s="162" t="s">
        <v>675</v>
      </c>
      <c r="G180" s="163"/>
      <c r="H180" s="163"/>
      <c r="I180" s="158"/>
      <c r="J180" s="158"/>
      <c r="K180" s="167"/>
      <c r="L180" s="168"/>
      <c r="M180" s="167"/>
      <c r="N180" s="167"/>
      <c r="O180" s="210"/>
      <c r="P180" s="170"/>
      <c r="Q180" s="169"/>
      <c r="R180" s="158"/>
      <c r="S180" s="158"/>
      <c r="T180" s="162"/>
      <c r="U180" s="164"/>
      <c r="V180" s="165"/>
      <c r="W180" s="166"/>
      <c r="X180" s="172"/>
      <c r="Y180" s="174"/>
      <c r="Z180" s="176"/>
      <c r="AA180" s="178" t="str">
        <f t="shared" si="16"/>
        <v xml:space="preserve"> - </v>
      </c>
      <c r="AB180" s="180" t="str">
        <f t="shared" si="17"/>
        <v xml:space="preserve"> - </v>
      </c>
      <c r="AC180" s="180" t="str">
        <f t="shared" si="18"/>
        <v xml:space="preserve"> - </v>
      </c>
      <c r="AD180" s="182" t="str">
        <f t="shared" si="15"/>
        <v xml:space="preserve"> - </v>
      </c>
      <c r="AE180" s="184">
        <f t="shared" si="19"/>
        <v>0</v>
      </c>
      <c r="AF180" s="186">
        <f t="shared" si="14"/>
        <v>0</v>
      </c>
      <c r="AG180" s="188" t="str">
        <f t="array" ref="AG180" xml:space="preserve"> IFERROR( IF( D180="", "-", _xlfn.AGGREGATE(15,6, ( ( ($D$21:$D$27 = D180) * IF($D$19&lt;&gt;"", --($E$21:$E$27 = E180), 1) * IF($H$19&lt;&gt;"", --($F$21:$F$27 = F180), 1)  ) / ( ( $D$21:$D$27 = D180) * IF($D$19&lt;&gt;"", --($E$21:$E$27 = E180), 1)  * IF($H$19&lt;&gt;"", --($F$21:$F$27 = F180), 1) ) ) * $AF$21:$AF$27,1)    ), "-")</f>
        <v>-</v>
      </c>
      <c r="BB180"/>
      <c r="BE180" s="67"/>
    </row>
    <row r="181" spans="2:57" x14ac:dyDescent="0.25">
      <c r="B181" s="158" t="s">
        <v>417</v>
      </c>
      <c r="C181" s="158"/>
      <c r="D181" s="162" t="s">
        <v>417</v>
      </c>
      <c r="E181" s="160"/>
      <c r="F181" s="162"/>
      <c r="G181" s="163"/>
      <c r="H181" s="163"/>
      <c r="I181" s="158"/>
      <c r="J181" s="158"/>
      <c r="K181" s="167"/>
      <c r="L181" s="168"/>
      <c r="M181" s="167"/>
      <c r="N181" s="167"/>
      <c r="O181" s="210"/>
      <c r="P181" s="170"/>
      <c r="Q181" s="169"/>
      <c r="R181" s="158"/>
      <c r="S181" s="158"/>
      <c r="T181" s="162"/>
      <c r="U181" s="164"/>
      <c r="V181" s="165"/>
      <c r="W181" s="166"/>
      <c r="X181" s="172"/>
      <c r="Y181" s="174"/>
      <c r="Z181" s="176"/>
      <c r="AA181" s="178" t="str">
        <f t="shared" si="16"/>
        <v xml:space="preserve"> - </v>
      </c>
      <c r="AB181" s="180" t="str">
        <f t="shared" si="17"/>
        <v xml:space="preserve"> - </v>
      </c>
      <c r="AC181" s="180" t="str">
        <f t="shared" si="18"/>
        <v xml:space="preserve"> - </v>
      </c>
      <c r="AD181" s="182" t="str">
        <f t="shared" si="15"/>
        <v xml:space="preserve"> - </v>
      </c>
      <c r="AE181" s="184">
        <f t="shared" si="19"/>
        <v>0</v>
      </c>
      <c r="AF181" s="186">
        <f t="shared" si="14"/>
        <v>0</v>
      </c>
      <c r="AG181" s="188" t="str">
        <f t="array" ref="AG181" xml:space="preserve"> IFERROR( IF( D181="", "-", _xlfn.AGGREGATE(15,6, ( ( ($D$21:$D$27 = D181) * IF($D$19&lt;&gt;"", --($E$21:$E$27 = E181), 1) * IF($H$19&lt;&gt;"", --($F$21:$F$27 = F181), 1)  ) / ( ( $D$21:$D$27 = D181) * IF($D$19&lt;&gt;"", --($E$21:$E$27 = E181), 1)  * IF($H$19&lt;&gt;"", --($F$21:$F$27 = F181), 1) ) ) * $AF$21:$AF$27,1)    ), "-")</f>
        <v>-</v>
      </c>
      <c r="BB181"/>
      <c r="BE181" s="67"/>
    </row>
    <row r="182" spans="2:57" x14ac:dyDescent="0.25">
      <c r="B182" s="158" t="s">
        <v>418</v>
      </c>
      <c r="C182" s="158"/>
      <c r="D182" s="189" t="s">
        <v>1012</v>
      </c>
      <c r="E182" s="193" t="s">
        <v>1011</v>
      </c>
      <c r="F182" s="162"/>
      <c r="G182" s="163"/>
      <c r="H182" s="163"/>
      <c r="I182" s="158"/>
      <c r="J182" s="158"/>
      <c r="K182" s="167"/>
      <c r="L182" s="168"/>
      <c r="M182" s="167"/>
      <c r="N182" s="167"/>
      <c r="O182" s="210"/>
      <c r="P182" s="170"/>
      <c r="Q182" s="169"/>
      <c r="R182" s="158"/>
      <c r="S182" s="158"/>
      <c r="T182" s="162"/>
      <c r="U182" s="164"/>
      <c r="V182" s="165"/>
      <c r="W182" s="166"/>
      <c r="X182" s="172"/>
      <c r="Y182" s="174"/>
      <c r="Z182" s="176"/>
      <c r="AA182" s="178" t="str">
        <f t="shared" si="16"/>
        <v xml:space="preserve"> - </v>
      </c>
      <c r="AB182" s="180" t="str">
        <f t="shared" si="17"/>
        <v xml:space="preserve"> - </v>
      </c>
      <c r="AC182" s="180" t="str">
        <f t="shared" si="18"/>
        <v xml:space="preserve"> - </v>
      </c>
      <c r="AD182" s="182" t="str">
        <f t="shared" si="15"/>
        <v xml:space="preserve"> - </v>
      </c>
      <c r="AE182" s="184">
        <f t="shared" si="19"/>
        <v>0</v>
      </c>
      <c r="AF182" s="186">
        <f t="shared" si="14"/>
        <v>0</v>
      </c>
      <c r="AG182" s="188" t="str">
        <f t="array" ref="AG182" xml:space="preserve"> IFERROR( IF( D182="", "-", _xlfn.AGGREGATE(15,6, ( ( ($D$21:$D$27 = D182) * IF($D$19&lt;&gt;"", --($E$21:$E$27 = E182), 1) * IF($H$19&lt;&gt;"", --($F$21:$F$27 = F182), 1)  ) / ( ( $D$21:$D$27 = D182) * IF($D$19&lt;&gt;"", --($E$21:$E$27 = E182), 1)  * IF($H$19&lt;&gt;"", --($F$21:$F$27 = F182), 1) ) ) * $AF$21:$AF$27,1)    ), "-")</f>
        <v>-</v>
      </c>
      <c r="BB182"/>
      <c r="BE182" s="67"/>
    </row>
    <row r="183" spans="2:57" x14ac:dyDescent="0.25">
      <c r="B183" s="158" t="s">
        <v>419</v>
      </c>
      <c r="C183" s="158"/>
      <c r="D183" s="189" t="s">
        <v>705</v>
      </c>
      <c r="E183" s="193" t="s">
        <v>1013</v>
      </c>
      <c r="F183" s="162"/>
      <c r="G183" s="163"/>
      <c r="H183" s="163"/>
      <c r="I183" s="158"/>
      <c r="J183" s="158"/>
      <c r="K183" s="167"/>
      <c r="L183" s="168"/>
      <c r="M183" s="167"/>
      <c r="N183" s="167"/>
      <c r="O183" s="210"/>
      <c r="P183" s="170"/>
      <c r="Q183" s="169"/>
      <c r="R183" s="158"/>
      <c r="S183" s="158"/>
      <c r="T183" s="162"/>
      <c r="U183" s="164"/>
      <c r="V183" s="165"/>
      <c r="W183" s="166"/>
      <c r="X183" s="172"/>
      <c r="Y183" s="174"/>
      <c r="Z183" s="176"/>
      <c r="AA183" s="178" t="str">
        <f t="shared" si="16"/>
        <v xml:space="preserve"> - </v>
      </c>
      <c r="AB183" s="180" t="str">
        <f t="shared" si="17"/>
        <v xml:space="preserve"> - </v>
      </c>
      <c r="AC183" s="180" t="str">
        <f t="shared" si="18"/>
        <v xml:space="preserve"> - </v>
      </c>
      <c r="AD183" s="182" t="str">
        <f t="shared" si="15"/>
        <v xml:space="preserve"> - </v>
      </c>
      <c r="AE183" s="184">
        <f t="shared" si="19"/>
        <v>0</v>
      </c>
      <c r="AF183" s="186">
        <f t="shared" si="14"/>
        <v>0</v>
      </c>
      <c r="AG183" s="188" t="str">
        <f t="array" ref="AG183" xml:space="preserve"> IFERROR( IF( D183="", "-", _xlfn.AGGREGATE(15,6, ( ( ($D$21:$D$27 = D183) * IF($D$19&lt;&gt;"", --($E$21:$E$27 = E183), 1) * IF($H$19&lt;&gt;"", --($F$21:$F$27 = F183), 1)  ) / ( ( $D$21:$D$27 = D183) * IF($D$19&lt;&gt;"", --($E$21:$E$27 = E183), 1)  * IF($H$19&lt;&gt;"", --($F$21:$F$27 = F183), 1) ) ) * $AF$21:$AF$27,1)    ), "-")</f>
        <v>-</v>
      </c>
      <c r="BB183"/>
      <c r="BE183" s="67"/>
    </row>
    <row r="184" spans="2:57" x14ac:dyDescent="0.25">
      <c r="B184" s="158" t="s">
        <v>420</v>
      </c>
      <c r="C184" s="158"/>
      <c r="D184" s="189" t="s">
        <v>705</v>
      </c>
      <c r="E184" s="194" t="s">
        <v>678</v>
      </c>
      <c r="F184" s="162"/>
      <c r="G184" s="163"/>
      <c r="H184" s="163"/>
      <c r="I184" s="158"/>
      <c r="J184" s="158"/>
      <c r="K184" s="167"/>
      <c r="L184" s="168"/>
      <c r="M184" s="167"/>
      <c r="N184" s="167"/>
      <c r="O184" s="210"/>
      <c r="P184" s="170"/>
      <c r="Q184" s="169"/>
      <c r="R184" s="158"/>
      <c r="S184" s="158"/>
      <c r="T184" s="162"/>
      <c r="U184" s="164"/>
      <c r="V184" s="165"/>
      <c r="W184" s="166"/>
      <c r="X184" s="172"/>
      <c r="Y184" s="174"/>
      <c r="Z184" s="176"/>
      <c r="AA184" s="178" t="str">
        <f t="shared" si="16"/>
        <v xml:space="preserve"> - </v>
      </c>
      <c r="AB184" s="180" t="str">
        <f t="shared" si="17"/>
        <v xml:space="preserve"> - </v>
      </c>
      <c r="AC184" s="180" t="str">
        <f t="shared" si="18"/>
        <v xml:space="preserve"> - </v>
      </c>
      <c r="AD184" s="182" t="str">
        <f t="shared" si="15"/>
        <v xml:space="preserve"> - </v>
      </c>
      <c r="AE184" s="184">
        <f t="shared" si="19"/>
        <v>0</v>
      </c>
      <c r="AF184" s="186">
        <f t="shared" si="14"/>
        <v>0</v>
      </c>
      <c r="AG184" s="188" t="str">
        <f t="array" ref="AG184" xml:space="preserve"> IFERROR( IF( D184="", "-", _xlfn.AGGREGATE(15,6, ( ( ($D$21:$D$27 = D184) * IF($D$19&lt;&gt;"", --($E$21:$E$27 = E184), 1) * IF($H$19&lt;&gt;"", --($F$21:$F$27 = F184), 1)  ) / ( ( $D$21:$D$27 = D184) * IF($D$19&lt;&gt;"", --($E$21:$E$27 = E184), 1)  * IF($H$19&lt;&gt;"", --($F$21:$F$27 = F184), 1) ) ) * $AF$21:$AF$27,1)    ), "-")</f>
        <v>-</v>
      </c>
      <c r="BB184"/>
      <c r="BE184" s="67"/>
    </row>
    <row r="185" spans="2:57" x14ac:dyDescent="0.25">
      <c r="B185" s="158" t="s">
        <v>421</v>
      </c>
      <c r="C185" s="158"/>
      <c r="D185" s="189" t="s">
        <v>705</v>
      </c>
      <c r="E185" s="193" t="s">
        <v>1014</v>
      </c>
      <c r="F185" s="162" t="s">
        <v>743</v>
      </c>
      <c r="G185" s="163"/>
      <c r="H185" s="163" t="s">
        <v>706</v>
      </c>
      <c r="I185" s="158"/>
      <c r="J185" s="158"/>
      <c r="K185" s="167"/>
      <c r="L185" s="168"/>
      <c r="M185" s="167"/>
      <c r="N185" s="167"/>
      <c r="O185" s="210"/>
      <c r="P185" s="170"/>
      <c r="Q185" s="169"/>
      <c r="R185" s="158"/>
      <c r="S185" s="158"/>
      <c r="T185" s="162"/>
      <c r="U185" s="164"/>
      <c r="V185" s="165"/>
      <c r="W185" s="166"/>
      <c r="X185" s="172"/>
      <c r="Y185" s="174"/>
      <c r="Z185" s="176"/>
      <c r="AA185" s="178" t="str">
        <f t="shared" si="16"/>
        <v xml:space="preserve"> - </v>
      </c>
      <c r="AB185" s="180" t="str">
        <f t="shared" si="17"/>
        <v xml:space="preserve"> - </v>
      </c>
      <c r="AC185" s="180" t="str">
        <f t="shared" si="18"/>
        <v xml:space="preserve"> - </v>
      </c>
      <c r="AD185" s="182" t="str">
        <f t="shared" si="15"/>
        <v xml:space="preserve"> - </v>
      </c>
      <c r="AE185" s="184">
        <f t="shared" si="19"/>
        <v>0</v>
      </c>
      <c r="AF185" s="186">
        <f t="shared" si="14"/>
        <v>0</v>
      </c>
      <c r="AG185" s="188" t="str">
        <f t="array" ref="AG185" xml:space="preserve"> IFERROR( IF( D185="", "-", _xlfn.AGGREGATE(15,6, ( ( ($D$21:$D$27 = D185) * IF($D$19&lt;&gt;"", --($E$21:$E$27 = E185), 1) * IF($H$19&lt;&gt;"", --($F$21:$F$27 = F185), 1)  ) / ( ( $D$21:$D$27 = D185) * IF($D$19&lt;&gt;"", --($E$21:$E$27 = E185), 1)  * IF($H$19&lt;&gt;"", --($F$21:$F$27 = F185), 1) ) ) * $AF$21:$AF$27,1)    ), "-")</f>
        <v>-</v>
      </c>
      <c r="BB185"/>
      <c r="BE185" s="67"/>
    </row>
    <row r="186" spans="2:57" x14ac:dyDescent="0.25">
      <c r="B186" s="158" t="s">
        <v>422</v>
      </c>
      <c r="C186" s="158"/>
      <c r="D186" s="189" t="s">
        <v>749</v>
      </c>
      <c r="E186" s="193" t="s">
        <v>1015</v>
      </c>
      <c r="F186" s="190" t="s">
        <v>677</v>
      </c>
      <c r="G186" s="163"/>
      <c r="H186" s="163"/>
      <c r="I186" s="158"/>
      <c r="J186" s="158"/>
      <c r="K186" s="167"/>
      <c r="L186" s="168"/>
      <c r="M186" s="167"/>
      <c r="N186" s="167"/>
      <c r="O186" s="210"/>
      <c r="P186" s="170"/>
      <c r="Q186" s="169"/>
      <c r="R186" s="158"/>
      <c r="S186" s="158"/>
      <c r="T186" s="162"/>
      <c r="U186" s="164"/>
      <c r="V186" s="165"/>
      <c r="W186" s="166"/>
      <c r="X186" s="172"/>
      <c r="Y186" s="174"/>
      <c r="Z186" s="176"/>
      <c r="AA186" s="178" t="str">
        <f t="shared" si="16"/>
        <v xml:space="preserve"> - </v>
      </c>
      <c r="AB186" s="180" t="str">
        <f t="shared" si="17"/>
        <v xml:space="preserve"> - </v>
      </c>
      <c r="AC186" s="180" t="str">
        <f t="shared" si="18"/>
        <v xml:space="preserve"> - </v>
      </c>
      <c r="AD186" s="182" t="str">
        <f t="shared" si="15"/>
        <v xml:space="preserve"> - </v>
      </c>
      <c r="AE186" s="184">
        <f t="shared" si="19"/>
        <v>0</v>
      </c>
      <c r="AF186" s="186">
        <f t="shared" si="14"/>
        <v>0</v>
      </c>
      <c r="AG186" s="188" t="str">
        <f t="array" ref="AG186" xml:space="preserve"> IFERROR( IF( D186="", "-", _xlfn.AGGREGATE(15,6, ( ( ($D$21:$D$27 = D186) * IF($D$19&lt;&gt;"", --($E$21:$E$27 = E186), 1) * IF($H$19&lt;&gt;"", --($F$21:$F$27 = F186), 1)  ) / ( ( $D$21:$D$27 = D186) * IF($D$19&lt;&gt;"", --($E$21:$E$27 = E186), 1)  * IF($H$19&lt;&gt;"", --($F$21:$F$27 = F186), 1) ) ) * $AF$21:$AF$27,1)    ), "-")</f>
        <v>-</v>
      </c>
      <c r="BB186"/>
      <c r="BE186" s="67"/>
    </row>
    <row r="187" spans="2:57" x14ac:dyDescent="0.25">
      <c r="B187" s="158" t="s">
        <v>423</v>
      </c>
      <c r="C187" s="158"/>
      <c r="D187" s="189" t="s">
        <v>749</v>
      </c>
      <c r="E187" s="193" t="s">
        <v>1015</v>
      </c>
      <c r="F187" s="190" t="s">
        <v>679</v>
      </c>
      <c r="G187" s="163"/>
      <c r="H187" s="163"/>
      <c r="I187" s="158"/>
      <c r="J187" s="158"/>
      <c r="K187" s="167"/>
      <c r="L187" s="168"/>
      <c r="M187" s="167"/>
      <c r="N187" s="167"/>
      <c r="O187" s="210"/>
      <c r="P187" s="170"/>
      <c r="Q187" s="169"/>
      <c r="R187" s="158"/>
      <c r="S187" s="158"/>
      <c r="T187" s="162"/>
      <c r="U187" s="164"/>
      <c r="V187" s="165"/>
      <c r="W187" s="166"/>
      <c r="X187" s="172"/>
      <c r="Y187" s="174"/>
      <c r="Z187" s="176"/>
      <c r="AA187" s="178" t="str">
        <f t="shared" si="16"/>
        <v xml:space="preserve"> - </v>
      </c>
      <c r="AB187" s="180" t="str">
        <f t="shared" si="17"/>
        <v xml:space="preserve"> - </v>
      </c>
      <c r="AC187" s="180" t="str">
        <f t="shared" si="18"/>
        <v xml:space="preserve"> - </v>
      </c>
      <c r="AD187" s="182" t="str">
        <f t="shared" si="15"/>
        <v xml:space="preserve"> - </v>
      </c>
      <c r="AE187" s="184">
        <f t="shared" si="19"/>
        <v>0</v>
      </c>
      <c r="AF187" s="186">
        <f t="shared" si="14"/>
        <v>0</v>
      </c>
      <c r="AG187" s="188" t="str">
        <f t="array" ref="AG187" xml:space="preserve"> IFERROR( IF( D187="", "-", _xlfn.AGGREGATE(15,6, ( ( ($D$21:$D$27 = D187) * IF($D$19&lt;&gt;"", --($E$21:$E$27 = E187), 1) * IF($H$19&lt;&gt;"", --($F$21:$F$27 = F187), 1)  ) / ( ( $D$21:$D$27 = D187) * IF($D$19&lt;&gt;"", --($E$21:$E$27 = E187), 1)  * IF($H$19&lt;&gt;"", --($F$21:$F$27 = F187), 1) ) ) * $AF$21:$AF$27,1)    ), "-")</f>
        <v>-</v>
      </c>
      <c r="BB187"/>
      <c r="BE187" s="67"/>
    </row>
    <row r="188" spans="2:57" x14ac:dyDescent="0.25">
      <c r="B188" s="158" t="s">
        <v>424</v>
      </c>
      <c r="C188" s="158"/>
      <c r="D188" s="189" t="s">
        <v>749</v>
      </c>
      <c r="E188" s="193" t="s">
        <v>1015</v>
      </c>
      <c r="F188" s="190" t="s">
        <v>678</v>
      </c>
      <c r="G188" s="163"/>
      <c r="H188" s="163"/>
      <c r="I188" s="158"/>
      <c r="J188" s="158"/>
      <c r="K188" s="167"/>
      <c r="L188" s="168"/>
      <c r="M188" s="167"/>
      <c r="N188" s="167"/>
      <c r="O188" s="210"/>
      <c r="P188" s="170"/>
      <c r="Q188" s="169"/>
      <c r="R188" s="158"/>
      <c r="S188" s="158"/>
      <c r="T188" s="162"/>
      <c r="U188" s="164"/>
      <c r="V188" s="165"/>
      <c r="W188" s="166"/>
      <c r="X188" s="172"/>
      <c r="Y188" s="174"/>
      <c r="Z188" s="176"/>
      <c r="AA188" s="178" t="str">
        <f t="shared" si="16"/>
        <v xml:space="preserve"> - </v>
      </c>
      <c r="AB188" s="180" t="str">
        <f t="shared" si="17"/>
        <v xml:space="preserve"> - </v>
      </c>
      <c r="AC188" s="180" t="str">
        <f t="shared" si="18"/>
        <v xml:space="preserve"> - </v>
      </c>
      <c r="AD188" s="182" t="str">
        <f t="shared" si="15"/>
        <v xml:space="preserve"> - </v>
      </c>
      <c r="AE188" s="184">
        <f t="shared" si="19"/>
        <v>0</v>
      </c>
      <c r="AF188" s="186">
        <f t="shared" si="14"/>
        <v>0</v>
      </c>
      <c r="AG188" s="188" t="str">
        <f t="array" ref="AG188" xml:space="preserve"> IFERROR( IF( D188="", "-", _xlfn.AGGREGATE(15,6, ( ( ($D$21:$D$27 = D188) * IF($D$19&lt;&gt;"", --($E$21:$E$27 = E188), 1) * IF($H$19&lt;&gt;"", --($F$21:$F$27 = F188), 1)  ) / ( ( $D$21:$D$27 = D188) * IF($D$19&lt;&gt;"", --($E$21:$E$27 = E188), 1)  * IF($H$19&lt;&gt;"", --($F$21:$F$27 = F188), 1) ) ) * $AF$21:$AF$27,1)    ), "-")</f>
        <v>-</v>
      </c>
      <c r="BB188"/>
      <c r="BE188" s="67"/>
    </row>
    <row r="189" spans="2:57" x14ac:dyDescent="0.25">
      <c r="B189" s="158" t="s">
        <v>425</v>
      </c>
      <c r="C189" s="158"/>
      <c r="D189" s="162" t="s">
        <v>820</v>
      </c>
      <c r="E189" s="160"/>
      <c r="F189" s="162"/>
      <c r="G189" s="163"/>
      <c r="H189" s="163"/>
      <c r="I189" s="158"/>
      <c r="J189" s="158"/>
      <c r="K189" s="167"/>
      <c r="L189" s="168"/>
      <c r="M189" s="167"/>
      <c r="N189" s="167"/>
      <c r="O189" s="210"/>
      <c r="P189" s="170"/>
      <c r="Q189" s="169"/>
      <c r="R189" s="158"/>
      <c r="S189" s="158"/>
      <c r="T189" s="162"/>
      <c r="U189" s="164"/>
      <c r="V189" s="165"/>
      <c r="W189" s="166"/>
      <c r="X189" s="172"/>
      <c r="Y189" s="174"/>
      <c r="Z189" s="176"/>
      <c r="AA189" s="178" t="str">
        <f t="shared" si="16"/>
        <v xml:space="preserve"> - </v>
      </c>
      <c r="AB189" s="180" t="str">
        <f t="shared" si="17"/>
        <v xml:space="preserve"> - </v>
      </c>
      <c r="AC189" s="180" t="str">
        <f t="shared" si="18"/>
        <v xml:space="preserve"> - </v>
      </c>
      <c r="AD189" s="182" t="str">
        <f t="shared" si="15"/>
        <v xml:space="preserve"> - </v>
      </c>
      <c r="AE189" s="184">
        <f t="shared" si="19"/>
        <v>0</v>
      </c>
      <c r="AF189" s="186">
        <f t="shared" si="14"/>
        <v>0</v>
      </c>
      <c r="AG189" s="188" t="str">
        <f t="array" ref="AG189" xml:space="preserve"> IFERROR( IF( D189="", "-", _xlfn.AGGREGATE(15,6, ( ( ($D$21:$D$27 = D189) * IF($D$19&lt;&gt;"", --($E$21:$E$27 = E189), 1) * IF($H$19&lt;&gt;"", --($F$21:$F$27 = F189), 1)  ) / ( ( $D$21:$D$27 = D189) * IF($D$19&lt;&gt;"", --($E$21:$E$27 = E189), 1)  * IF($H$19&lt;&gt;"", --($F$21:$F$27 = F189), 1) ) ) * $AF$21:$AF$27,1)    ), "-")</f>
        <v>-</v>
      </c>
      <c r="BB189"/>
      <c r="BE189" s="67"/>
    </row>
    <row r="190" spans="2:57" x14ac:dyDescent="0.25">
      <c r="B190" s="158" t="s">
        <v>426</v>
      </c>
      <c r="C190" s="158"/>
      <c r="D190" s="162" t="s">
        <v>749</v>
      </c>
      <c r="E190" s="193" t="s">
        <v>1016</v>
      </c>
      <c r="F190" s="162"/>
      <c r="G190" s="163"/>
      <c r="H190" s="163"/>
      <c r="I190" s="158"/>
      <c r="J190" s="158"/>
      <c r="K190" s="167"/>
      <c r="L190" s="168"/>
      <c r="M190" s="167"/>
      <c r="N190" s="167"/>
      <c r="O190" s="210"/>
      <c r="P190" s="170"/>
      <c r="Q190" s="169"/>
      <c r="R190" s="158"/>
      <c r="S190" s="158"/>
      <c r="T190" s="162"/>
      <c r="U190" s="164"/>
      <c r="V190" s="165"/>
      <c r="W190" s="166"/>
      <c r="X190" s="172"/>
      <c r="Y190" s="174"/>
      <c r="Z190" s="176"/>
      <c r="AA190" s="178" t="str">
        <f t="shared" si="16"/>
        <v xml:space="preserve"> - </v>
      </c>
      <c r="AB190" s="180" t="str">
        <f t="shared" si="17"/>
        <v xml:space="preserve"> - </v>
      </c>
      <c r="AC190" s="180" t="str">
        <f t="shared" si="18"/>
        <v xml:space="preserve"> - </v>
      </c>
      <c r="AD190" s="182" t="str">
        <f t="shared" si="15"/>
        <v xml:space="preserve"> - </v>
      </c>
      <c r="AE190" s="184">
        <f t="shared" si="19"/>
        <v>0</v>
      </c>
      <c r="AF190" s="186">
        <f t="shared" si="14"/>
        <v>0</v>
      </c>
      <c r="AG190" s="188" t="str">
        <f t="array" ref="AG190" xml:space="preserve"> IFERROR( IF( D190="", "-", _xlfn.AGGREGATE(15,6, ( ( ($D$21:$D$27 = D190) * IF($D$19&lt;&gt;"", --($E$21:$E$27 = E190), 1) * IF($H$19&lt;&gt;"", --($F$21:$F$27 = F190), 1)  ) / ( ( $D$21:$D$27 = D190) * IF($D$19&lt;&gt;"", --($E$21:$E$27 = E190), 1)  * IF($H$19&lt;&gt;"", --($F$21:$F$27 = F190), 1) ) ) * $AF$21:$AF$27,1)    ), "-")</f>
        <v>-</v>
      </c>
      <c r="BB190"/>
      <c r="BE190" s="67"/>
    </row>
    <row r="191" spans="2:57" x14ac:dyDescent="0.25">
      <c r="B191" s="158" t="s">
        <v>427</v>
      </c>
      <c r="C191" s="158"/>
      <c r="D191" s="189" t="s">
        <v>680</v>
      </c>
      <c r="E191" s="160" t="s">
        <v>758</v>
      </c>
      <c r="F191" s="162" t="s">
        <v>707</v>
      </c>
      <c r="G191" s="163"/>
      <c r="H191" s="163"/>
      <c r="I191" s="158"/>
      <c r="J191" s="158"/>
      <c r="K191" s="167"/>
      <c r="L191" s="168"/>
      <c r="M191" s="167"/>
      <c r="N191" s="167"/>
      <c r="O191" s="210"/>
      <c r="P191" s="170"/>
      <c r="Q191" s="169"/>
      <c r="R191" s="158"/>
      <c r="S191" s="158"/>
      <c r="T191" s="162"/>
      <c r="U191" s="164"/>
      <c r="V191" s="165"/>
      <c r="W191" s="166"/>
      <c r="X191" s="172"/>
      <c r="Y191" s="174"/>
      <c r="Z191" s="176"/>
      <c r="AA191" s="178" t="str">
        <f t="shared" si="16"/>
        <v xml:space="preserve"> - </v>
      </c>
      <c r="AB191" s="180" t="str">
        <f t="shared" si="17"/>
        <v xml:space="preserve"> - </v>
      </c>
      <c r="AC191" s="180" t="str">
        <f t="shared" si="18"/>
        <v xml:space="preserve"> - </v>
      </c>
      <c r="AD191" s="182" t="str">
        <f t="shared" si="15"/>
        <v xml:space="preserve"> - </v>
      </c>
      <c r="AE191" s="184">
        <f t="shared" si="19"/>
        <v>0</v>
      </c>
      <c r="AF191" s="186">
        <f t="shared" ref="AF191:AF251" si="20">AE191 / IF( ISNUMBER($Q191),  $Q191, 1)</f>
        <v>0</v>
      </c>
      <c r="AG191" s="188" t="str">
        <f t="array" ref="AG191" xml:space="preserve"> IFERROR( IF( D191="", "-", _xlfn.AGGREGATE(15,6, ( ( ($D$21:$D$27 = D191) * IF($D$19&lt;&gt;"", --($E$21:$E$27 = E191), 1) * IF($H$19&lt;&gt;"", --($F$21:$F$27 = F191), 1)  ) / ( ( $D$21:$D$27 = D191) * IF($D$19&lt;&gt;"", --($E$21:$E$27 = E191), 1)  * IF($H$19&lt;&gt;"", --($F$21:$F$27 = F191), 1) ) ) * $AF$21:$AF$27,1)    ), "-")</f>
        <v>-</v>
      </c>
      <c r="BB191"/>
      <c r="BE191" s="67"/>
    </row>
    <row r="192" spans="2:57" x14ac:dyDescent="0.25">
      <c r="B192" s="158" t="s">
        <v>680</v>
      </c>
      <c r="C192" s="158"/>
      <c r="D192" s="189" t="s">
        <v>925</v>
      </c>
      <c r="E192" s="160"/>
      <c r="F192" s="162"/>
      <c r="G192" s="163"/>
      <c r="H192" s="163"/>
      <c r="I192" s="158"/>
      <c r="J192" s="158"/>
      <c r="K192" s="167" t="s">
        <v>708</v>
      </c>
      <c r="L192" s="168">
        <v>170</v>
      </c>
      <c r="M192" s="167" t="s">
        <v>102</v>
      </c>
      <c r="N192" s="167"/>
      <c r="O192" s="210"/>
      <c r="P192" s="201" t="s">
        <v>102</v>
      </c>
      <c r="Q192" s="169"/>
      <c r="R192" s="158"/>
      <c r="S192" s="158"/>
      <c r="T192" s="162"/>
      <c r="U192" s="164"/>
      <c r="V192" s="165"/>
      <c r="W192" s="166">
        <v>1</v>
      </c>
      <c r="X192" s="172"/>
      <c r="Y192" s="174"/>
      <c r="Z192" s="176"/>
      <c r="AA192" s="178" t="str">
        <f t="shared" si="16"/>
        <v xml:space="preserve"> - </v>
      </c>
      <c r="AB192" s="180" t="str">
        <f t="shared" si="17"/>
        <v xml:space="preserve"> - </v>
      </c>
      <c r="AC192" s="180" t="e">
        <f t="shared" si="18"/>
        <v>#VALUE!</v>
      </c>
      <c r="AD192" s="182" t="str">
        <f t="shared" si="15"/>
        <v xml:space="preserve"> - </v>
      </c>
      <c r="AE192" s="184">
        <f t="shared" si="19"/>
        <v>0</v>
      </c>
      <c r="AF192" s="186">
        <f t="shared" si="20"/>
        <v>0</v>
      </c>
      <c r="AG192" s="188" t="str">
        <f t="array" ref="AG192" xml:space="preserve"> IFERROR( IF( D192="", "-", _xlfn.AGGREGATE(15,6, ( ( ($D$21:$D$27 = D192) * IF($D$19&lt;&gt;"", --($E$21:$E$27 = E192), 1) * IF($H$19&lt;&gt;"", --($F$21:$F$27 = F192), 1)  ) / ( ( $D$21:$D$27 = D192) * IF($D$19&lt;&gt;"", --($E$21:$E$27 = E192), 1)  * IF($H$19&lt;&gt;"", --($F$21:$F$27 = F192), 1) ) ) * $AF$21:$AF$27,1)    ), "-")</f>
        <v>-</v>
      </c>
      <c r="BB192"/>
      <c r="BE192" s="67"/>
    </row>
    <row r="193" spans="2:57" ht="15" customHeight="1" x14ac:dyDescent="0.25">
      <c r="B193" s="158"/>
      <c r="C193" s="158"/>
      <c r="D193" s="189"/>
      <c r="E193" s="160"/>
      <c r="F193" s="162"/>
      <c r="G193" s="163"/>
      <c r="H193" s="163"/>
      <c r="I193" s="158"/>
      <c r="J193" s="158"/>
      <c r="K193" s="167"/>
      <c r="L193" s="168"/>
      <c r="M193" s="167"/>
      <c r="N193" s="167"/>
      <c r="O193" s="210"/>
      <c r="P193" s="201"/>
      <c r="Q193" s="169"/>
      <c r="R193" s="158"/>
      <c r="S193" s="158"/>
      <c r="T193" s="162"/>
      <c r="U193" s="164"/>
      <c r="V193" s="165"/>
      <c r="W193" s="166"/>
      <c r="X193" s="172"/>
      <c r="Y193" s="174"/>
      <c r="Z193" s="176"/>
      <c r="AA193" s="178" t="str">
        <f t="shared" si="16"/>
        <v xml:space="preserve"> - </v>
      </c>
      <c r="AB193" s="180" t="str">
        <f t="shared" si="17"/>
        <v xml:space="preserve"> - </v>
      </c>
      <c r="AC193" s="180" t="str">
        <f t="shared" si="18"/>
        <v xml:space="preserve"> - </v>
      </c>
      <c r="AD193" s="182" t="str">
        <f t="shared" si="15"/>
        <v xml:space="preserve"> - </v>
      </c>
      <c r="AE193" s="184">
        <f t="shared" si="19"/>
        <v>0</v>
      </c>
      <c r="AF193" s="186">
        <f t="shared" si="20"/>
        <v>0</v>
      </c>
      <c r="AG193" s="188" t="str">
        <f t="array" ref="AG193" xml:space="preserve"> IFERROR( IF( D193="", "-", _xlfn.AGGREGATE(15,6, ( ( ($D$21:$D$27 = D193) * IF($D$19&lt;&gt;"", --($E$21:$E$27 = E193), 1) * IF($H$19&lt;&gt;"", --($F$21:$F$27 = F193), 1)  ) / ( ( $D$21:$D$27 = D193) * IF($D$19&lt;&gt;"", --($E$21:$E$27 = E193), 1)  * IF($H$19&lt;&gt;"", --($F$21:$F$27 = F193), 1) ) ) * $AF$21:$AF$27,1)    ), "-")</f>
        <v>-</v>
      </c>
      <c r="BB193"/>
      <c r="BE193" s="67"/>
    </row>
    <row r="194" spans="2:57" ht="15" customHeight="1" x14ac:dyDescent="0.25">
      <c r="B194" s="195" t="s">
        <v>1234</v>
      </c>
      <c r="C194" s="158"/>
      <c r="D194" s="189"/>
      <c r="E194" s="160"/>
      <c r="F194" s="162"/>
      <c r="G194" s="163"/>
      <c r="H194" s="163"/>
      <c r="I194" s="158"/>
      <c r="J194" s="158"/>
      <c r="K194" s="167" t="s">
        <v>688</v>
      </c>
      <c r="L194" s="168">
        <v>20</v>
      </c>
      <c r="M194" s="167" t="s">
        <v>74</v>
      </c>
      <c r="N194" s="167"/>
      <c r="O194" s="210"/>
      <c r="P194" s="201" t="s">
        <v>86</v>
      </c>
      <c r="Q194" s="169">
        <v>30</v>
      </c>
      <c r="R194" s="158"/>
      <c r="S194" s="158"/>
      <c r="T194" s="162"/>
      <c r="U194" s="164"/>
      <c r="V194" s="165"/>
      <c r="W194" s="166"/>
      <c r="X194" s="172"/>
      <c r="Y194" s="174"/>
      <c r="Z194" s="176"/>
      <c r="AA194" s="178" t="str">
        <f t="shared" si="16"/>
        <v xml:space="preserve"> - </v>
      </c>
      <c r="AB194" s="180" t="str">
        <f t="shared" si="17"/>
        <v xml:space="preserve"> - </v>
      </c>
      <c r="AC194" s="180" t="e">
        <f t="shared" si="18"/>
        <v>#VALUE!</v>
      </c>
      <c r="AD194" s="182" t="e">
        <f t="shared" si="15"/>
        <v>#VALUE!</v>
      </c>
      <c r="AE194" s="184">
        <f t="shared" si="19"/>
        <v>0</v>
      </c>
      <c r="AF194" s="186">
        <f t="shared" si="20"/>
        <v>0</v>
      </c>
      <c r="AG194" s="188" t="str">
        <f t="array" ref="AG194" xml:space="preserve"> IFERROR( IF( D194="", "-", _xlfn.AGGREGATE(15,6, ( ( ($D$21:$D$27 = D194) * IF($D$19&lt;&gt;"", --($E$21:$E$27 = E194), 1) * IF($H$19&lt;&gt;"", --($F$21:$F$27 = F194), 1)  ) / ( ( $D$21:$D$27 = D194) * IF($D$19&lt;&gt;"", --($E$21:$E$27 = E194), 1)  * IF($H$19&lt;&gt;"", --($F$21:$F$27 = F194), 1) ) ) * $AF$21:$AF$27,1)    ), "-")</f>
        <v>-</v>
      </c>
      <c r="BB194"/>
      <c r="BE194" s="67"/>
    </row>
    <row r="195" spans="2:57" ht="15" customHeight="1" x14ac:dyDescent="0.25">
      <c r="B195" s="158"/>
      <c r="C195" s="158"/>
      <c r="D195" s="189"/>
      <c r="E195" s="160"/>
      <c r="F195" s="162"/>
      <c r="G195" s="163"/>
      <c r="H195" s="163"/>
      <c r="I195" s="158"/>
      <c r="J195" s="158"/>
      <c r="K195" s="167"/>
      <c r="L195" s="168"/>
      <c r="M195" s="167"/>
      <c r="N195" s="167"/>
      <c r="O195" s="210"/>
      <c r="P195" s="201"/>
      <c r="Q195" s="169"/>
      <c r="R195" s="158"/>
      <c r="S195" s="158"/>
      <c r="T195" s="162"/>
      <c r="U195" s="164"/>
      <c r="V195" s="165"/>
      <c r="W195" s="166"/>
      <c r="X195" s="172"/>
      <c r="Y195" s="174"/>
      <c r="Z195" s="176"/>
      <c r="AA195" s="178" t="str">
        <f t="shared" si="16"/>
        <v xml:space="preserve"> - </v>
      </c>
      <c r="AB195" s="180" t="str">
        <f t="shared" si="17"/>
        <v xml:space="preserve"> - </v>
      </c>
      <c r="AC195" s="180" t="str">
        <f t="shared" si="18"/>
        <v xml:space="preserve"> - </v>
      </c>
      <c r="AD195" s="182" t="str">
        <f t="shared" si="15"/>
        <v xml:space="preserve"> - </v>
      </c>
      <c r="AE195" s="184">
        <f t="shared" si="19"/>
        <v>0</v>
      </c>
      <c r="AF195" s="186">
        <f t="shared" si="20"/>
        <v>0</v>
      </c>
      <c r="AG195" s="188" t="str">
        <f t="array" ref="AG195" xml:space="preserve"> IFERROR( IF( D195="", "-", _xlfn.AGGREGATE(15,6, ( ( ($D$21:$D$27 = D195) * IF($D$19&lt;&gt;"", --($E$21:$E$27 = E195), 1) * IF($H$19&lt;&gt;"", --($F$21:$F$27 = F195), 1)  ) / ( ( $D$21:$D$27 = D195) * IF($D$19&lt;&gt;"", --($E$21:$E$27 = E195), 1)  * IF($H$19&lt;&gt;"", --($F$21:$F$27 = F195), 1) ) ) * $AF$21:$AF$27,1)    ), "-")</f>
        <v>-</v>
      </c>
      <c r="BB195"/>
      <c r="BE195" s="67"/>
    </row>
    <row r="196" spans="2:57" x14ac:dyDescent="0.25">
      <c r="B196" s="158" t="s">
        <v>428</v>
      </c>
      <c r="C196" s="158"/>
      <c r="D196" s="189" t="s">
        <v>680</v>
      </c>
      <c r="E196" s="160"/>
      <c r="F196" s="162" t="s">
        <v>681</v>
      </c>
      <c r="G196" s="163"/>
      <c r="H196" s="163"/>
      <c r="I196" s="158"/>
      <c r="J196" s="158"/>
      <c r="K196" s="167"/>
      <c r="L196" s="168"/>
      <c r="M196" s="167"/>
      <c r="N196" s="167"/>
      <c r="O196" s="210"/>
      <c r="P196" s="170"/>
      <c r="Q196" s="169"/>
      <c r="R196" s="158"/>
      <c r="S196" s="158"/>
      <c r="T196" s="162"/>
      <c r="U196" s="164"/>
      <c r="V196" s="165"/>
      <c r="W196" s="166"/>
      <c r="X196" s="172"/>
      <c r="Y196" s="174"/>
      <c r="Z196" s="176"/>
      <c r="AA196" s="178" t="str">
        <f t="shared" si="16"/>
        <v xml:space="preserve"> - </v>
      </c>
      <c r="AB196" s="180" t="str">
        <f t="shared" si="17"/>
        <v xml:space="preserve"> - </v>
      </c>
      <c r="AC196" s="180" t="str">
        <f t="shared" si="18"/>
        <v xml:space="preserve"> - </v>
      </c>
      <c r="AD196" s="182" t="str">
        <f t="shared" si="15"/>
        <v xml:space="preserve"> - </v>
      </c>
      <c r="AE196" s="184">
        <f t="shared" si="19"/>
        <v>0</v>
      </c>
      <c r="AF196" s="186">
        <f t="shared" si="20"/>
        <v>0</v>
      </c>
      <c r="AG196" s="188" t="str">
        <f t="array" ref="AG196" xml:space="preserve"> IFERROR( IF( D196="", "-", _xlfn.AGGREGATE(15,6, ( ( ($D$21:$D$27 = D196) * IF($D$19&lt;&gt;"", --($E$21:$E$27 = E196), 1) * IF($H$19&lt;&gt;"", --($F$21:$F$27 = F196), 1)  ) / ( ( $D$21:$D$27 = D196) * IF($D$19&lt;&gt;"", --($E$21:$E$27 = E196), 1)  * IF($H$19&lt;&gt;"", --($F$21:$F$27 = F196), 1) ) ) * $AF$21:$AF$27,1)    ), "-")</f>
        <v>-</v>
      </c>
      <c r="BB196"/>
      <c r="BE196" s="67"/>
    </row>
    <row r="197" spans="2:57" x14ac:dyDescent="0.25">
      <c r="B197" s="158" t="s">
        <v>429</v>
      </c>
      <c r="C197" s="158"/>
      <c r="D197" s="189" t="s">
        <v>680</v>
      </c>
      <c r="E197" s="193" t="s">
        <v>1017</v>
      </c>
      <c r="F197" s="162"/>
      <c r="G197" s="163"/>
      <c r="H197" s="163" t="s">
        <v>710</v>
      </c>
      <c r="I197" s="158"/>
      <c r="J197" s="158"/>
      <c r="K197" s="167"/>
      <c r="L197" s="168"/>
      <c r="M197" s="167"/>
      <c r="N197" s="167"/>
      <c r="O197" s="210"/>
      <c r="P197" s="170"/>
      <c r="Q197" s="169"/>
      <c r="R197" s="158"/>
      <c r="S197" s="158"/>
      <c r="T197" s="162"/>
      <c r="U197" s="164"/>
      <c r="V197" s="165"/>
      <c r="W197" s="166"/>
      <c r="X197" s="172"/>
      <c r="Y197" s="174"/>
      <c r="Z197" s="176"/>
      <c r="AA197" s="178" t="str">
        <f t="shared" si="16"/>
        <v xml:space="preserve"> - </v>
      </c>
      <c r="AB197" s="180" t="str">
        <f t="shared" si="17"/>
        <v xml:space="preserve"> - </v>
      </c>
      <c r="AC197" s="180" t="str">
        <f t="shared" si="18"/>
        <v xml:space="preserve"> - </v>
      </c>
      <c r="AD197" s="182" t="str">
        <f t="shared" si="15"/>
        <v xml:space="preserve"> - </v>
      </c>
      <c r="AE197" s="184">
        <f t="shared" si="19"/>
        <v>0</v>
      </c>
      <c r="AF197" s="186">
        <f t="shared" si="20"/>
        <v>0</v>
      </c>
      <c r="AG197" s="188" t="str">
        <f t="array" ref="AG197" xml:space="preserve"> IFERROR( IF( D197="", "-", _xlfn.AGGREGATE(15,6, ( ( ($D$21:$D$27 = D197) * IF($D$19&lt;&gt;"", --($E$21:$E$27 = E197), 1) * IF($H$19&lt;&gt;"", --($F$21:$F$27 = F197), 1)  ) / ( ( $D$21:$D$27 = D197) * IF($D$19&lt;&gt;"", --($E$21:$E$27 = E197), 1)  * IF($H$19&lt;&gt;"", --($F$21:$F$27 = F197), 1) ) ) * $AF$21:$AF$27,1)    ), "-")</f>
        <v>-</v>
      </c>
      <c r="BB197"/>
      <c r="BE197" s="67"/>
    </row>
    <row r="198" spans="2:57" x14ac:dyDescent="0.25">
      <c r="B198" s="158" t="s">
        <v>430</v>
      </c>
      <c r="C198" s="158"/>
      <c r="D198" s="189" t="s">
        <v>680</v>
      </c>
      <c r="E198" s="193" t="s">
        <v>1018</v>
      </c>
      <c r="F198" s="162"/>
      <c r="G198" s="163"/>
      <c r="H198" s="163" t="s">
        <v>711</v>
      </c>
      <c r="I198" s="158"/>
      <c r="J198" s="158"/>
      <c r="K198" s="167"/>
      <c r="L198" s="168"/>
      <c r="M198" s="167"/>
      <c r="N198" s="167"/>
      <c r="O198" s="210"/>
      <c r="P198" s="170"/>
      <c r="Q198" s="169"/>
      <c r="R198" s="158"/>
      <c r="S198" s="158"/>
      <c r="T198" s="162"/>
      <c r="U198" s="164"/>
      <c r="V198" s="165"/>
      <c r="W198" s="166"/>
      <c r="X198" s="172"/>
      <c r="Y198" s="174"/>
      <c r="Z198" s="176"/>
      <c r="AA198" s="178" t="str">
        <f t="shared" si="16"/>
        <v xml:space="preserve"> - </v>
      </c>
      <c r="AB198" s="180" t="str">
        <f t="shared" si="17"/>
        <v xml:space="preserve"> - </v>
      </c>
      <c r="AC198" s="180" t="str">
        <f t="shared" si="18"/>
        <v xml:space="preserve"> - </v>
      </c>
      <c r="AD198" s="182" t="str">
        <f t="shared" si="15"/>
        <v xml:space="preserve"> - </v>
      </c>
      <c r="AE198" s="184">
        <f t="shared" si="19"/>
        <v>0</v>
      </c>
      <c r="AF198" s="186">
        <f t="shared" si="20"/>
        <v>0</v>
      </c>
      <c r="AG198" s="188" t="str">
        <f t="array" ref="AG198" xml:space="preserve"> IFERROR( IF( D198="", "-", _xlfn.AGGREGATE(15,6, ( ( ($D$21:$D$27 = D198) * IF($D$19&lt;&gt;"", --($E$21:$E$27 = E198), 1) * IF($H$19&lt;&gt;"", --($F$21:$F$27 = F198), 1)  ) / ( ( $D$21:$D$27 = D198) * IF($D$19&lt;&gt;"", --($E$21:$E$27 = E198), 1)  * IF($H$19&lt;&gt;"", --($F$21:$F$27 = F198), 1) ) ) * $AF$21:$AF$27,1)    ), "-")</f>
        <v>-</v>
      </c>
      <c r="BB198"/>
      <c r="BE198" s="67"/>
    </row>
    <row r="199" spans="2:57" x14ac:dyDescent="0.25">
      <c r="B199" s="158" t="s">
        <v>431</v>
      </c>
      <c r="C199" s="158"/>
      <c r="D199" s="189" t="s">
        <v>750</v>
      </c>
      <c r="E199" s="160" t="s">
        <v>751</v>
      </c>
      <c r="F199" s="189" t="s">
        <v>744</v>
      </c>
      <c r="G199" s="163"/>
      <c r="H199" s="163"/>
      <c r="I199" s="158"/>
      <c r="J199" s="158"/>
      <c r="K199" s="167"/>
      <c r="L199" s="168"/>
      <c r="M199" s="167"/>
      <c r="N199" s="167"/>
      <c r="O199" s="210"/>
      <c r="P199" s="170"/>
      <c r="Q199" s="169"/>
      <c r="R199" s="158"/>
      <c r="S199" s="158"/>
      <c r="T199" s="162"/>
      <c r="U199" s="164"/>
      <c r="V199" s="165"/>
      <c r="W199" s="166"/>
      <c r="X199" s="172"/>
      <c r="Y199" s="174"/>
      <c r="Z199" s="176"/>
      <c r="AA199" s="178" t="str">
        <f t="shared" si="16"/>
        <v xml:space="preserve"> - </v>
      </c>
      <c r="AB199" s="180" t="str">
        <f t="shared" si="17"/>
        <v xml:space="preserve"> - </v>
      </c>
      <c r="AC199" s="180" t="str">
        <f t="shared" si="18"/>
        <v xml:space="preserve"> - </v>
      </c>
      <c r="AD199" s="182" t="str">
        <f t="shared" si="15"/>
        <v xml:space="preserve"> - </v>
      </c>
      <c r="AE199" s="184">
        <f t="shared" si="19"/>
        <v>0</v>
      </c>
      <c r="AF199" s="186">
        <f t="shared" si="20"/>
        <v>0</v>
      </c>
      <c r="AG199" s="188" t="str">
        <f t="array" ref="AG199" xml:space="preserve"> IFERROR( IF( D199="", "-", _xlfn.AGGREGATE(15,6, ( ( ($D$21:$D$27 = D199) * IF($D$19&lt;&gt;"", --($E$21:$E$27 = E199), 1) * IF($H$19&lt;&gt;"", --($F$21:$F$27 = F199), 1)  ) / ( ( $D$21:$D$27 = D199) * IF($D$19&lt;&gt;"", --($E$21:$E$27 = E199), 1)  * IF($H$19&lt;&gt;"", --($F$21:$F$27 = F199), 1) ) ) * $AF$21:$AF$27,1)    ), "-")</f>
        <v>-</v>
      </c>
      <c r="BB199"/>
      <c r="BE199" s="67"/>
    </row>
    <row r="200" spans="2:57" x14ac:dyDescent="0.25">
      <c r="B200" s="158" t="s">
        <v>432</v>
      </c>
      <c r="C200" s="158"/>
      <c r="D200" s="189" t="s">
        <v>750</v>
      </c>
      <c r="E200" s="160" t="s">
        <v>751</v>
      </c>
      <c r="F200" s="189" t="s">
        <v>682</v>
      </c>
      <c r="G200" s="163"/>
      <c r="H200" s="163"/>
      <c r="I200" s="158"/>
      <c r="J200" s="158"/>
      <c r="K200" s="167"/>
      <c r="L200" s="168"/>
      <c r="M200" s="167"/>
      <c r="N200" s="167"/>
      <c r="O200" s="210"/>
      <c r="P200" s="170"/>
      <c r="Q200" s="169"/>
      <c r="R200" s="158"/>
      <c r="S200" s="158"/>
      <c r="T200" s="162"/>
      <c r="U200" s="164"/>
      <c r="V200" s="165"/>
      <c r="W200" s="166"/>
      <c r="X200" s="172"/>
      <c r="Y200" s="174"/>
      <c r="Z200" s="176"/>
      <c r="AA200" s="178" t="str">
        <f t="shared" si="16"/>
        <v xml:space="preserve"> - </v>
      </c>
      <c r="AB200" s="180" t="str">
        <f t="shared" si="17"/>
        <v xml:space="preserve"> - </v>
      </c>
      <c r="AC200" s="180" t="str">
        <f t="shared" si="18"/>
        <v xml:space="preserve"> - </v>
      </c>
      <c r="AD200" s="182" t="str">
        <f t="shared" si="15"/>
        <v xml:space="preserve"> - </v>
      </c>
      <c r="AE200" s="184">
        <f t="shared" si="19"/>
        <v>0</v>
      </c>
      <c r="AF200" s="186">
        <f t="shared" si="20"/>
        <v>0</v>
      </c>
      <c r="AG200" s="188" t="str">
        <f t="array" ref="AG200" xml:space="preserve"> IFERROR( IF( D200="", "-", _xlfn.AGGREGATE(15,6, ( ( ($D$21:$D$27 = D200) * IF($D$19&lt;&gt;"", --($E$21:$E$27 = E200), 1) * IF($H$19&lt;&gt;"", --($F$21:$F$27 = F200), 1)  ) / ( ( $D$21:$D$27 = D200) * IF($D$19&lt;&gt;"", --($E$21:$E$27 = E200), 1)  * IF($H$19&lt;&gt;"", --($F$21:$F$27 = F200), 1) ) ) * $AF$21:$AF$27,1)    ), "-")</f>
        <v>-</v>
      </c>
      <c r="BB200"/>
      <c r="BE200" s="67"/>
    </row>
    <row r="201" spans="2:57" x14ac:dyDescent="0.25">
      <c r="B201" s="158" t="s">
        <v>433</v>
      </c>
      <c r="C201" s="158"/>
      <c r="D201" s="162" t="s">
        <v>821</v>
      </c>
      <c r="E201" s="160"/>
      <c r="F201" s="162"/>
      <c r="G201" s="163"/>
      <c r="H201" s="163"/>
      <c r="I201" s="158"/>
      <c r="J201" s="158"/>
      <c r="K201" s="167"/>
      <c r="L201" s="168"/>
      <c r="M201" s="167"/>
      <c r="N201" s="167"/>
      <c r="O201" s="210"/>
      <c r="P201" s="170"/>
      <c r="Q201" s="169"/>
      <c r="R201" s="158"/>
      <c r="S201" s="158"/>
      <c r="T201" s="162"/>
      <c r="U201" s="164"/>
      <c r="V201" s="165"/>
      <c r="W201" s="166"/>
      <c r="X201" s="172"/>
      <c r="Y201" s="174"/>
      <c r="Z201" s="176"/>
      <c r="AA201" s="178" t="str">
        <f t="shared" si="16"/>
        <v xml:space="preserve"> - </v>
      </c>
      <c r="AB201" s="180" t="str">
        <f t="shared" si="17"/>
        <v xml:space="preserve"> - </v>
      </c>
      <c r="AC201" s="180" t="str">
        <f t="shared" si="18"/>
        <v xml:space="preserve"> - </v>
      </c>
      <c r="AD201" s="182" t="str">
        <f t="shared" si="15"/>
        <v xml:space="preserve"> - </v>
      </c>
      <c r="AE201" s="184">
        <f t="shared" si="19"/>
        <v>0</v>
      </c>
      <c r="AF201" s="186">
        <f t="shared" si="20"/>
        <v>0</v>
      </c>
      <c r="AG201" s="188" t="str">
        <f t="array" ref="AG201" xml:space="preserve"> IFERROR( IF( D201="", "-", _xlfn.AGGREGATE(15,6, ( ( ($D$21:$D$27 = D201) * IF($D$19&lt;&gt;"", --($E$21:$E$27 = E201), 1) * IF($H$19&lt;&gt;"", --($F$21:$F$27 = F201), 1)  ) / ( ( $D$21:$D$27 = D201) * IF($D$19&lt;&gt;"", --($E$21:$E$27 = E201), 1)  * IF($H$19&lt;&gt;"", --($F$21:$F$27 = F201), 1) ) ) * $AF$21:$AF$27,1)    ), "-")</f>
        <v>-</v>
      </c>
      <c r="BB201"/>
      <c r="BE201" s="67"/>
    </row>
    <row r="202" spans="2:57" x14ac:dyDescent="0.25">
      <c r="B202" s="158" t="s">
        <v>434</v>
      </c>
      <c r="C202" s="158"/>
      <c r="D202" s="162" t="s">
        <v>822</v>
      </c>
      <c r="E202" s="160"/>
      <c r="F202" s="162"/>
      <c r="G202" s="163"/>
      <c r="H202" s="163"/>
      <c r="I202" s="158"/>
      <c r="J202" s="158"/>
      <c r="K202" s="167"/>
      <c r="L202" s="168"/>
      <c r="M202" s="167"/>
      <c r="N202" s="167"/>
      <c r="O202" s="210"/>
      <c r="P202" s="170"/>
      <c r="Q202" s="169"/>
      <c r="R202" s="158"/>
      <c r="S202" s="158"/>
      <c r="T202" s="162"/>
      <c r="U202" s="164"/>
      <c r="V202" s="165"/>
      <c r="W202" s="166"/>
      <c r="X202" s="172"/>
      <c r="Y202" s="174"/>
      <c r="Z202" s="176"/>
      <c r="AA202" s="178" t="str">
        <f t="shared" si="16"/>
        <v xml:space="preserve"> - </v>
      </c>
      <c r="AB202" s="180" t="str">
        <f t="shared" si="17"/>
        <v xml:space="preserve"> - </v>
      </c>
      <c r="AC202" s="180" t="str">
        <f t="shared" si="18"/>
        <v xml:space="preserve"> - </v>
      </c>
      <c r="AD202" s="182" t="str">
        <f t="shared" si="15"/>
        <v xml:space="preserve"> - </v>
      </c>
      <c r="AE202" s="184">
        <f t="shared" si="19"/>
        <v>0</v>
      </c>
      <c r="AF202" s="186">
        <f t="shared" si="20"/>
        <v>0</v>
      </c>
      <c r="AG202" s="188" t="str">
        <f t="array" ref="AG202" xml:space="preserve"> IFERROR( IF( D202="", "-", _xlfn.AGGREGATE(15,6, ( ( ($D$21:$D$27 = D202) * IF($D$19&lt;&gt;"", --($E$21:$E$27 = E202), 1) * IF($H$19&lt;&gt;"", --($F$21:$F$27 = F202), 1)  ) / ( ( $D$21:$D$27 = D202) * IF($D$19&lt;&gt;"", --($E$21:$E$27 = E202), 1)  * IF($H$19&lt;&gt;"", --($F$21:$F$27 = F202), 1) ) ) * $AF$21:$AF$27,1)    ), "-")</f>
        <v>-</v>
      </c>
      <c r="BB202"/>
      <c r="BE202" s="67"/>
    </row>
    <row r="203" spans="2:57" x14ac:dyDescent="0.25">
      <c r="B203" s="158" t="s">
        <v>435</v>
      </c>
      <c r="C203" s="158"/>
      <c r="D203" s="162" t="s">
        <v>823</v>
      </c>
      <c r="E203" s="160"/>
      <c r="F203" s="162"/>
      <c r="G203" s="163"/>
      <c r="H203" s="163"/>
      <c r="I203" s="158"/>
      <c r="J203" s="158"/>
      <c r="K203" s="167"/>
      <c r="L203" s="168"/>
      <c r="M203" s="167"/>
      <c r="N203" s="167"/>
      <c r="O203" s="210"/>
      <c r="P203" s="170"/>
      <c r="Q203" s="169"/>
      <c r="R203" s="158"/>
      <c r="S203" s="158"/>
      <c r="T203" s="162"/>
      <c r="U203" s="164"/>
      <c r="V203" s="165"/>
      <c r="W203" s="166"/>
      <c r="X203" s="172"/>
      <c r="Y203" s="174"/>
      <c r="Z203" s="176"/>
      <c r="AA203" s="178" t="str">
        <f t="shared" si="16"/>
        <v xml:space="preserve"> - </v>
      </c>
      <c r="AB203" s="180" t="str">
        <f t="shared" si="17"/>
        <v xml:space="preserve"> - </v>
      </c>
      <c r="AC203" s="180" t="str">
        <f t="shared" si="18"/>
        <v xml:space="preserve"> - </v>
      </c>
      <c r="AD203" s="182" t="str">
        <f t="shared" si="15"/>
        <v xml:space="preserve"> - </v>
      </c>
      <c r="AE203" s="184">
        <f t="shared" si="19"/>
        <v>0</v>
      </c>
      <c r="AF203" s="186">
        <f t="shared" si="20"/>
        <v>0</v>
      </c>
      <c r="AG203" s="188" t="str">
        <f t="array" ref="AG203" xml:space="preserve"> IFERROR( IF( D203="", "-", _xlfn.AGGREGATE(15,6, ( ( ($D$21:$D$27 = D203) * IF($D$19&lt;&gt;"", --($E$21:$E$27 = E203), 1) * IF($H$19&lt;&gt;"", --($F$21:$F$27 = F203), 1)  ) / ( ( $D$21:$D$27 = D203) * IF($D$19&lt;&gt;"", --($E$21:$E$27 = E203), 1)  * IF($H$19&lt;&gt;"", --($F$21:$F$27 = F203), 1) ) ) * $AF$21:$AF$27,1)    ), "-")</f>
        <v>-</v>
      </c>
      <c r="BB203"/>
      <c r="BE203" s="67"/>
    </row>
    <row r="204" spans="2:57" x14ac:dyDescent="0.25">
      <c r="B204" s="158" t="s">
        <v>436</v>
      </c>
      <c r="C204" s="158"/>
      <c r="D204" s="162" t="s">
        <v>824</v>
      </c>
      <c r="E204" s="160"/>
      <c r="F204" s="162"/>
      <c r="G204" s="163"/>
      <c r="H204" s="163" t="s">
        <v>712</v>
      </c>
      <c r="I204" s="158"/>
      <c r="J204" s="158"/>
      <c r="K204" s="167"/>
      <c r="L204" s="168"/>
      <c r="M204" s="167"/>
      <c r="N204" s="167"/>
      <c r="O204" s="210"/>
      <c r="P204" s="170"/>
      <c r="Q204" s="169"/>
      <c r="R204" s="158"/>
      <c r="S204" s="158"/>
      <c r="T204" s="162"/>
      <c r="U204" s="164"/>
      <c r="V204" s="165"/>
      <c r="W204" s="166"/>
      <c r="X204" s="172"/>
      <c r="Y204" s="174"/>
      <c r="Z204" s="176"/>
      <c r="AA204" s="178" t="str">
        <f t="shared" si="16"/>
        <v xml:space="preserve"> - </v>
      </c>
      <c r="AB204" s="180" t="str">
        <f t="shared" si="17"/>
        <v xml:space="preserve"> - </v>
      </c>
      <c r="AC204" s="180" t="str">
        <f t="shared" si="18"/>
        <v xml:space="preserve"> - </v>
      </c>
      <c r="AD204" s="182" t="str">
        <f t="shared" si="15"/>
        <v xml:space="preserve"> - </v>
      </c>
      <c r="AE204" s="184">
        <f t="shared" si="19"/>
        <v>0</v>
      </c>
      <c r="AF204" s="186">
        <f t="shared" si="20"/>
        <v>0</v>
      </c>
      <c r="AG204" s="188" t="str">
        <f t="array" ref="AG204" xml:space="preserve"> IFERROR( IF( D204="", "-", _xlfn.AGGREGATE(15,6, ( ( ($D$21:$D$27 = D204) * IF($D$19&lt;&gt;"", --($E$21:$E$27 = E204), 1) * IF($H$19&lt;&gt;"", --($F$21:$F$27 = F204), 1)  ) / ( ( $D$21:$D$27 = D204) * IF($D$19&lt;&gt;"", --($E$21:$E$27 = E204), 1)  * IF($H$19&lt;&gt;"", --($F$21:$F$27 = F204), 1) ) ) * $AF$21:$AF$27,1)    ), "-")</f>
        <v>-</v>
      </c>
      <c r="BB204"/>
      <c r="BE204" s="67"/>
    </row>
    <row r="205" spans="2:57" x14ac:dyDescent="0.25">
      <c r="B205" s="158" t="s">
        <v>437</v>
      </c>
      <c r="C205" s="158"/>
      <c r="D205" s="189" t="s">
        <v>825</v>
      </c>
      <c r="E205" s="160"/>
      <c r="F205" s="162" t="s">
        <v>167</v>
      </c>
      <c r="G205" s="163"/>
      <c r="H205" s="163"/>
      <c r="I205" s="158"/>
      <c r="J205" s="158"/>
      <c r="K205" s="167"/>
      <c r="L205" s="168"/>
      <c r="M205" s="167"/>
      <c r="N205" s="167"/>
      <c r="O205" s="210"/>
      <c r="P205" s="170"/>
      <c r="Q205" s="169"/>
      <c r="R205" s="158"/>
      <c r="S205" s="158"/>
      <c r="T205" s="162"/>
      <c r="U205" s="164"/>
      <c r="V205" s="165"/>
      <c r="W205" s="166"/>
      <c r="X205" s="172"/>
      <c r="Y205" s="174"/>
      <c r="Z205" s="176"/>
      <c r="AA205" s="178" t="str">
        <f t="shared" si="16"/>
        <v xml:space="preserve"> - </v>
      </c>
      <c r="AB205" s="180" t="str">
        <f t="shared" si="17"/>
        <v xml:space="preserve"> - </v>
      </c>
      <c r="AC205" s="180" t="str">
        <f t="shared" si="18"/>
        <v xml:space="preserve"> - </v>
      </c>
      <c r="AD205" s="182" t="str">
        <f t="shared" si="15"/>
        <v xml:space="preserve"> - </v>
      </c>
      <c r="AE205" s="184">
        <f t="shared" si="19"/>
        <v>0</v>
      </c>
      <c r="AF205" s="186">
        <f t="shared" si="20"/>
        <v>0</v>
      </c>
      <c r="AG205" s="188" t="str">
        <f t="array" ref="AG205" xml:space="preserve"> IFERROR( IF( D205="", "-", _xlfn.AGGREGATE(15,6, ( ( ($D$21:$D$27 = D205) * IF($D$19&lt;&gt;"", --($E$21:$E$27 = E205), 1) * IF($H$19&lt;&gt;"", --($F$21:$F$27 = F205), 1)  ) / ( ( $D$21:$D$27 = D205) * IF($D$19&lt;&gt;"", --($E$21:$E$27 = E205), 1)  * IF($H$19&lt;&gt;"", --($F$21:$F$27 = F205), 1) ) ) * $AF$21:$AF$27,1)    ), "-")</f>
        <v>-</v>
      </c>
      <c r="BB205"/>
      <c r="BE205" s="67"/>
    </row>
    <row r="206" spans="2:57" x14ac:dyDescent="0.25">
      <c r="B206" s="158" t="s">
        <v>438</v>
      </c>
      <c r="C206" s="158"/>
      <c r="D206" s="189" t="s">
        <v>825</v>
      </c>
      <c r="E206" s="160"/>
      <c r="F206" s="162" t="s">
        <v>683</v>
      </c>
      <c r="G206" s="163"/>
      <c r="H206" s="163"/>
      <c r="I206" s="158"/>
      <c r="J206" s="158"/>
      <c r="K206" s="167"/>
      <c r="L206" s="168"/>
      <c r="M206" s="167"/>
      <c r="N206" s="167"/>
      <c r="O206" s="210"/>
      <c r="P206" s="170"/>
      <c r="Q206" s="169"/>
      <c r="R206" s="158"/>
      <c r="S206" s="158"/>
      <c r="T206" s="162"/>
      <c r="U206" s="164"/>
      <c r="V206" s="165"/>
      <c r="W206" s="166"/>
      <c r="X206" s="172"/>
      <c r="Y206" s="174"/>
      <c r="Z206" s="176"/>
      <c r="AA206" s="178" t="str">
        <f t="shared" si="16"/>
        <v xml:space="preserve"> - </v>
      </c>
      <c r="AB206" s="180" t="str">
        <f t="shared" si="17"/>
        <v xml:space="preserve"> - </v>
      </c>
      <c r="AC206" s="180" t="str">
        <f t="shared" si="18"/>
        <v xml:space="preserve"> - </v>
      </c>
      <c r="AD206" s="182" t="str">
        <f t="shared" si="15"/>
        <v xml:space="preserve"> - </v>
      </c>
      <c r="AE206" s="184">
        <f t="shared" si="19"/>
        <v>0</v>
      </c>
      <c r="AF206" s="186">
        <f t="shared" si="20"/>
        <v>0</v>
      </c>
      <c r="AG206" s="188" t="str">
        <f t="array" ref="AG206" xml:space="preserve"> IFERROR( IF( D206="", "-", _xlfn.AGGREGATE(15,6, ( ( ($D$21:$D$27 = D206) * IF($D$19&lt;&gt;"", --($E$21:$E$27 = E206), 1) * IF($H$19&lt;&gt;"", --($F$21:$F$27 = F206), 1)  ) / ( ( $D$21:$D$27 = D206) * IF($D$19&lt;&gt;"", --($E$21:$E$27 = E206), 1)  * IF($H$19&lt;&gt;"", --($F$21:$F$27 = F206), 1) ) ) * $AF$21:$AF$27,1)    ), "-")</f>
        <v>-</v>
      </c>
      <c r="BB206"/>
      <c r="BE206" s="67"/>
    </row>
    <row r="207" spans="2:57" x14ac:dyDescent="0.25">
      <c r="B207" s="158" t="s">
        <v>439</v>
      </c>
      <c r="C207" s="158"/>
      <c r="D207" s="189" t="s">
        <v>825</v>
      </c>
      <c r="E207" s="160"/>
      <c r="F207" s="162" t="s">
        <v>617</v>
      </c>
      <c r="G207" s="163"/>
      <c r="H207" s="163"/>
      <c r="I207" s="158"/>
      <c r="J207" s="158"/>
      <c r="K207" s="167"/>
      <c r="L207" s="168"/>
      <c r="M207" s="167"/>
      <c r="N207" s="167"/>
      <c r="O207" s="210"/>
      <c r="P207" s="170"/>
      <c r="Q207" s="169"/>
      <c r="R207" s="158"/>
      <c r="S207" s="158"/>
      <c r="T207" s="162"/>
      <c r="U207" s="164"/>
      <c r="V207" s="165"/>
      <c r="W207" s="166"/>
      <c r="X207" s="172"/>
      <c r="Y207" s="174"/>
      <c r="Z207" s="176"/>
      <c r="AA207" s="178" t="str">
        <f t="shared" si="16"/>
        <v xml:space="preserve"> - </v>
      </c>
      <c r="AB207" s="180" t="str">
        <f t="shared" si="17"/>
        <v xml:space="preserve"> - </v>
      </c>
      <c r="AC207" s="180" t="str">
        <f t="shared" si="18"/>
        <v xml:space="preserve"> - </v>
      </c>
      <c r="AD207" s="182" t="str">
        <f t="shared" si="15"/>
        <v xml:space="preserve"> - </v>
      </c>
      <c r="AE207" s="184">
        <f t="shared" si="19"/>
        <v>0</v>
      </c>
      <c r="AF207" s="186">
        <f t="shared" si="20"/>
        <v>0</v>
      </c>
      <c r="AG207" s="188" t="str">
        <f t="array" ref="AG207" xml:space="preserve"> IFERROR( IF( D207="", "-", _xlfn.AGGREGATE(15,6, ( ( ($D$21:$D$27 = D207) * IF($D$19&lt;&gt;"", --($E$21:$E$27 = E207), 1) * IF($H$19&lt;&gt;"", --($F$21:$F$27 = F207), 1)  ) / ( ( $D$21:$D$27 = D207) * IF($D$19&lt;&gt;"", --($E$21:$E$27 = E207), 1)  * IF($H$19&lt;&gt;"", --($F$21:$F$27 = F207), 1) ) ) * $AF$21:$AF$27,1)    ), "-")</f>
        <v>-</v>
      </c>
      <c r="BB207"/>
      <c r="BE207" s="67"/>
    </row>
    <row r="208" spans="2:57" x14ac:dyDescent="0.25">
      <c r="B208" s="158" t="s">
        <v>440</v>
      </c>
      <c r="C208" s="158"/>
      <c r="D208" s="189" t="s">
        <v>825</v>
      </c>
      <c r="E208" s="160"/>
      <c r="F208" s="162" t="s">
        <v>638</v>
      </c>
      <c r="G208" s="163"/>
      <c r="H208" s="163"/>
      <c r="I208" s="158"/>
      <c r="J208" s="158"/>
      <c r="K208" s="167"/>
      <c r="L208" s="168"/>
      <c r="M208" s="167"/>
      <c r="N208" s="167"/>
      <c r="O208" s="210"/>
      <c r="P208" s="170"/>
      <c r="Q208" s="169"/>
      <c r="R208" s="158"/>
      <c r="S208" s="158"/>
      <c r="T208" s="162"/>
      <c r="U208" s="164"/>
      <c r="V208" s="165"/>
      <c r="W208" s="166"/>
      <c r="X208" s="172"/>
      <c r="Y208" s="174"/>
      <c r="Z208" s="176"/>
      <c r="AA208" s="178" t="str">
        <f t="shared" si="16"/>
        <v xml:space="preserve"> - </v>
      </c>
      <c r="AB208" s="180" t="str">
        <f t="shared" si="17"/>
        <v xml:space="preserve"> - </v>
      </c>
      <c r="AC208" s="180" t="str">
        <f t="shared" si="18"/>
        <v xml:space="preserve"> - </v>
      </c>
      <c r="AD208" s="182" t="str">
        <f t="shared" si="15"/>
        <v xml:space="preserve"> - </v>
      </c>
      <c r="AE208" s="184">
        <f t="shared" si="19"/>
        <v>0</v>
      </c>
      <c r="AF208" s="186">
        <f t="shared" si="20"/>
        <v>0</v>
      </c>
      <c r="AG208" s="188" t="str">
        <f t="array" ref="AG208" xml:space="preserve"> IFERROR( IF( D208="", "-", _xlfn.AGGREGATE(15,6, ( ( ($D$21:$D$27 = D208) * IF($D$19&lt;&gt;"", --($E$21:$E$27 = E208), 1) * IF($H$19&lt;&gt;"", --($F$21:$F$27 = F208), 1)  ) / ( ( $D$21:$D$27 = D208) * IF($D$19&lt;&gt;"", --($E$21:$E$27 = E208), 1)  * IF($H$19&lt;&gt;"", --($F$21:$F$27 = F208), 1) ) ) * $AF$21:$AF$27,1)    ), "-")</f>
        <v>-</v>
      </c>
      <c r="BB208"/>
      <c r="BE208" s="67"/>
    </row>
    <row r="209" spans="2:57" x14ac:dyDescent="0.25">
      <c r="B209" s="158" t="s">
        <v>441</v>
      </c>
      <c r="C209" s="158"/>
      <c r="D209" s="189" t="s">
        <v>825</v>
      </c>
      <c r="E209" s="160"/>
      <c r="F209" s="162" t="s">
        <v>684</v>
      </c>
      <c r="G209" s="163"/>
      <c r="H209" s="163"/>
      <c r="I209" s="158"/>
      <c r="J209" s="158"/>
      <c r="K209" s="167"/>
      <c r="L209" s="168"/>
      <c r="M209" s="167"/>
      <c r="N209" s="167"/>
      <c r="O209" s="210"/>
      <c r="P209" s="170"/>
      <c r="Q209" s="169"/>
      <c r="R209" s="158"/>
      <c r="S209" s="158"/>
      <c r="T209" s="162"/>
      <c r="U209" s="164"/>
      <c r="V209" s="165"/>
      <c r="W209" s="166"/>
      <c r="X209" s="172"/>
      <c r="Y209" s="174"/>
      <c r="Z209" s="176"/>
      <c r="AA209" s="178" t="str">
        <f t="shared" si="16"/>
        <v xml:space="preserve"> - </v>
      </c>
      <c r="AB209" s="180" t="str">
        <f t="shared" si="17"/>
        <v xml:space="preserve"> - </v>
      </c>
      <c r="AC209" s="180" t="str">
        <f t="shared" si="18"/>
        <v xml:space="preserve"> - </v>
      </c>
      <c r="AD209" s="182" t="str">
        <f t="shared" si="15"/>
        <v xml:space="preserve"> - </v>
      </c>
      <c r="AE209" s="184">
        <f t="shared" si="19"/>
        <v>0</v>
      </c>
      <c r="AF209" s="186">
        <f t="shared" si="20"/>
        <v>0</v>
      </c>
      <c r="AG209" s="188" t="str">
        <f t="array" ref="AG209" xml:space="preserve"> IFERROR( IF( D209="", "-", _xlfn.AGGREGATE(15,6, ( ( ($D$21:$D$27 = D209) * IF($D$19&lt;&gt;"", --($E$21:$E$27 = E209), 1) * IF($H$19&lt;&gt;"", --($F$21:$F$27 = F209), 1)  ) / ( ( $D$21:$D$27 = D209) * IF($D$19&lt;&gt;"", --($E$21:$E$27 = E209), 1)  * IF($H$19&lt;&gt;"", --($F$21:$F$27 = F209), 1) ) ) * $AF$21:$AF$27,1)    ), "-")</f>
        <v>-</v>
      </c>
      <c r="BB209"/>
      <c r="BE209" s="67"/>
    </row>
    <row r="210" spans="2:57" x14ac:dyDescent="0.25">
      <c r="B210" s="158" t="s">
        <v>442</v>
      </c>
      <c r="C210" s="158"/>
      <c r="D210" s="189" t="s">
        <v>825</v>
      </c>
      <c r="E210" s="160"/>
      <c r="F210" s="162" t="s">
        <v>639</v>
      </c>
      <c r="G210" s="163"/>
      <c r="H210" s="163"/>
      <c r="I210" s="158"/>
      <c r="J210" s="158"/>
      <c r="K210" s="167"/>
      <c r="L210" s="168"/>
      <c r="M210" s="167"/>
      <c r="N210" s="167"/>
      <c r="O210" s="210"/>
      <c r="P210" s="170"/>
      <c r="Q210" s="169"/>
      <c r="R210" s="158"/>
      <c r="S210" s="158"/>
      <c r="T210" s="162"/>
      <c r="U210" s="164"/>
      <c r="V210" s="165"/>
      <c r="W210" s="166"/>
      <c r="X210" s="172"/>
      <c r="Y210" s="174"/>
      <c r="Z210" s="176"/>
      <c r="AA210" s="178" t="str">
        <f t="shared" si="16"/>
        <v xml:space="preserve"> - </v>
      </c>
      <c r="AB210" s="180" t="str">
        <f t="shared" si="17"/>
        <v xml:space="preserve"> - </v>
      </c>
      <c r="AC210" s="180" t="str">
        <f t="shared" si="18"/>
        <v xml:space="preserve"> - </v>
      </c>
      <c r="AD210" s="182" t="str">
        <f t="shared" si="15"/>
        <v xml:space="preserve"> - </v>
      </c>
      <c r="AE210" s="184">
        <f t="shared" si="19"/>
        <v>0</v>
      </c>
      <c r="AF210" s="186">
        <f t="shared" si="20"/>
        <v>0</v>
      </c>
      <c r="AG210" s="188" t="str">
        <f t="array" ref="AG210" xml:space="preserve"> IFERROR( IF( D210="", "-", _xlfn.AGGREGATE(15,6, ( ( ($D$21:$D$27 = D210) * IF($D$19&lt;&gt;"", --($E$21:$E$27 = E210), 1) * IF($H$19&lt;&gt;"", --($F$21:$F$27 = F210), 1)  ) / ( ( $D$21:$D$27 = D210) * IF($D$19&lt;&gt;"", --($E$21:$E$27 = E210), 1)  * IF($H$19&lt;&gt;"", --($F$21:$F$27 = F210), 1) ) ) * $AF$21:$AF$27,1)    ), "-")</f>
        <v>-</v>
      </c>
      <c r="BB210"/>
      <c r="BE210" s="67"/>
    </row>
    <row r="211" spans="2:57" x14ac:dyDescent="0.25">
      <c r="B211" s="158" t="s">
        <v>443</v>
      </c>
      <c r="C211" s="158"/>
      <c r="D211" s="162" t="s">
        <v>443</v>
      </c>
      <c r="E211" s="160"/>
      <c r="F211" s="162"/>
      <c r="G211" s="163"/>
      <c r="H211" s="163"/>
      <c r="I211" s="158"/>
      <c r="J211" s="158"/>
      <c r="K211" s="167"/>
      <c r="L211" s="168"/>
      <c r="M211" s="167"/>
      <c r="N211" s="167"/>
      <c r="O211" s="210"/>
      <c r="P211" s="170"/>
      <c r="Q211" s="169"/>
      <c r="R211" s="158"/>
      <c r="S211" s="158"/>
      <c r="T211" s="162"/>
      <c r="U211" s="164"/>
      <c r="V211" s="165"/>
      <c r="W211" s="166"/>
      <c r="X211" s="172"/>
      <c r="Y211" s="174"/>
      <c r="Z211" s="176"/>
      <c r="AA211" s="178" t="str">
        <f t="shared" si="16"/>
        <v xml:space="preserve"> - </v>
      </c>
      <c r="AB211" s="180" t="str">
        <f t="shared" si="17"/>
        <v xml:space="preserve"> - </v>
      </c>
      <c r="AC211" s="180" t="str">
        <f t="shared" si="18"/>
        <v xml:space="preserve"> - </v>
      </c>
      <c r="AD211" s="182" t="str">
        <f t="shared" si="15"/>
        <v xml:space="preserve"> - </v>
      </c>
      <c r="AE211" s="184">
        <f t="shared" si="19"/>
        <v>0</v>
      </c>
      <c r="AF211" s="186">
        <f t="shared" si="20"/>
        <v>0</v>
      </c>
      <c r="AG211" s="188" t="str">
        <f t="array" ref="AG211" xml:space="preserve"> IFERROR( IF( D211="", "-", _xlfn.AGGREGATE(15,6, ( ( ($D$21:$D$27 = D211) * IF($D$19&lt;&gt;"", --($E$21:$E$27 = E211), 1) * IF($H$19&lt;&gt;"", --($F$21:$F$27 = F211), 1)  ) / ( ( $D$21:$D$27 = D211) * IF($D$19&lt;&gt;"", --($E$21:$E$27 = E211), 1)  * IF($H$19&lt;&gt;"", --($F$21:$F$27 = F211), 1) ) ) * $AF$21:$AF$27,1)    ), "-")</f>
        <v>-</v>
      </c>
      <c r="BB211"/>
      <c r="BE211" s="67"/>
    </row>
    <row r="212" spans="2:57" x14ac:dyDescent="0.25">
      <c r="B212" s="158" t="s">
        <v>444</v>
      </c>
      <c r="C212" s="158"/>
      <c r="D212" s="162" t="s">
        <v>444</v>
      </c>
      <c r="E212" s="160"/>
      <c r="F212" s="162"/>
      <c r="G212" s="163"/>
      <c r="H212" s="163"/>
      <c r="I212" s="158"/>
      <c r="J212" s="158"/>
      <c r="K212" s="167"/>
      <c r="L212" s="168"/>
      <c r="M212" s="167"/>
      <c r="N212" s="167"/>
      <c r="O212" s="210"/>
      <c r="P212" s="170"/>
      <c r="Q212" s="169"/>
      <c r="R212" s="158"/>
      <c r="S212" s="158"/>
      <c r="T212" s="162"/>
      <c r="U212" s="164"/>
      <c r="V212" s="165"/>
      <c r="W212" s="166"/>
      <c r="X212" s="172"/>
      <c r="Y212" s="174"/>
      <c r="Z212" s="176"/>
      <c r="AA212" s="178" t="str">
        <f t="shared" si="16"/>
        <v xml:space="preserve"> - </v>
      </c>
      <c r="AB212" s="180" t="str">
        <f t="shared" si="17"/>
        <v xml:space="preserve"> - </v>
      </c>
      <c r="AC212" s="180" t="str">
        <f t="shared" si="18"/>
        <v xml:space="preserve"> - </v>
      </c>
      <c r="AD212" s="182" t="str">
        <f t="shared" si="15"/>
        <v xml:space="preserve"> - </v>
      </c>
      <c r="AE212" s="184">
        <f t="shared" si="19"/>
        <v>0</v>
      </c>
      <c r="AF212" s="186">
        <f t="shared" si="20"/>
        <v>0</v>
      </c>
      <c r="AG212" s="188" t="str">
        <f t="array" ref="AG212" xml:space="preserve"> IFERROR( IF( D212="", "-", _xlfn.AGGREGATE(15,6, ( ( ($D$21:$D$27 = D212) * IF($D$19&lt;&gt;"", --($E$21:$E$27 = E212), 1) * IF($H$19&lt;&gt;"", --($F$21:$F$27 = F212), 1)  ) / ( ( $D$21:$D$27 = D212) * IF($D$19&lt;&gt;"", --($E$21:$E$27 = E212), 1)  * IF($H$19&lt;&gt;"", --($F$21:$F$27 = F212), 1) ) ) * $AF$21:$AF$27,1)    ), "-")</f>
        <v>-</v>
      </c>
      <c r="BB212"/>
      <c r="BE212" s="67"/>
    </row>
    <row r="213" spans="2:57" x14ac:dyDescent="0.25">
      <c r="B213" s="158" t="s">
        <v>445</v>
      </c>
      <c r="C213" s="158"/>
      <c r="D213" s="162" t="s">
        <v>445</v>
      </c>
      <c r="E213" s="160"/>
      <c r="F213" s="162"/>
      <c r="G213" s="163"/>
      <c r="H213" s="163"/>
      <c r="I213" s="158"/>
      <c r="J213" s="158"/>
      <c r="K213" s="167"/>
      <c r="L213" s="168"/>
      <c r="M213" s="167"/>
      <c r="N213" s="167"/>
      <c r="O213" s="210"/>
      <c r="P213" s="170"/>
      <c r="Q213" s="169"/>
      <c r="R213" s="158"/>
      <c r="S213" s="158"/>
      <c r="T213" s="162"/>
      <c r="U213" s="164"/>
      <c r="V213" s="165"/>
      <c r="W213" s="166"/>
      <c r="X213" s="172"/>
      <c r="Y213" s="174"/>
      <c r="Z213" s="176"/>
      <c r="AA213" s="178" t="str">
        <f t="shared" si="16"/>
        <v xml:space="preserve"> - </v>
      </c>
      <c r="AB213" s="180" t="str">
        <f t="shared" si="17"/>
        <v xml:space="preserve"> - </v>
      </c>
      <c r="AC213" s="180" t="str">
        <f t="shared" si="18"/>
        <v xml:space="preserve"> - </v>
      </c>
      <c r="AD213" s="182" t="str">
        <f t="shared" ref="AD213:AD276" si="21">IF($Q213&gt;0,$AC213/$Q213, " - " )</f>
        <v xml:space="preserve"> - </v>
      </c>
      <c r="AE213" s="184">
        <f t="shared" si="19"/>
        <v>0</v>
      </c>
      <c r="AF213" s="186">
        <f t="shared" si="20"/>
        <v>0</v>
      </c>
      <c r="AG213" s="188" t="str">
        <f t="array" ref="AG213" xml:space="preserve"> IFERROR( IF( D213="", "-", _xlfn.AGGREGATE(15,6, ( ( ($D$21:$D$27 = D213) * IF($D$19&lt;&gt;"", --($E$21:$E$27 = E213), 1) * IF($H$19&lt;&gt;"", --($F$21:$F$27 = F213), 1)  ) / ( ( $D$21:$D$27 = D213) * IF($D$19&lt;&gt;"", --($E$21:$E$27 = E213), 1)  * IF($H$19&lt;&gt;"", --($F$21:$F$27 = F213), 1) ) ) * $AF$21:$AF$27,1)    ), "-")</f>
        <v>-</v>
      </c>
      <c r="BB213"/>
      <c r="BE213" s="67"/>
    </row>
    <row r="214" spans="2:57" x14ac:dyDescent="0.25">
      <c r="B214" s="158" t="s">
        <v>446</v>
      </c>
      <c r="C214" s="158"/>
      <c r="D214" s="189" t="s">
        <v>826</v>
      </c>
      <c r="E214" s="160"/>
      <c r="F214" s="162" t="s">
        <v>685</v>
      </c>
      <c r="G214" s="163"/>
      <c r="H214" s="163"/>
      <c r="I214" s="158"/>
      <c r="J214" s="158"/>
      <c r="K214" s="167"/>
      <c r="L214" s="168"/>
      <c r="M214" s="167"/>
      <c r="N214" s="167"/>
      <c r="O214" s="210"/>
      <c r="P214" s="170"/>
      <c r="Q214" s="169"/>
      <c r="R214" s="158"/>
      <c r="S214" s="158"/>
      <c r="T214" s="162"/>
      <c r="U214" s="164"/>
      <c r="V214" s="165"/>
      <c r="W214" s="166"/>
      <c r="X214" s="172"/>
      <c r="Y214" s="174"/>
      <c r="Z214" s="176"/>
      <c r="AA214" s="178" t="str">
        <f t="shared" si="16"/>
        <v xml:space="preserve"> - </v>
      </c>
      <c r="AB214" s="180" t="str">
        <f t="shared" si="17"/>
        <v xml:space="preserve"> - </v>
      </c>
      <c r="AC214" s="180" t="str">
        <f t="shared" si="18"/>
        <v xml:space="preserve"> - </v>
      </c>
      <c r="AD214" s="182" t="str">
        <f t="shared" si="21"/>
        <v xml:space="preserve"> - </v>
      </c>
      <c r="AE214" s="184">
        <f t="shared" si="19"/>
        <v>0</v>
      </c>
      <c r="AF214" s="186">
        <f t="shared" si="20"/>
        <v>0</v>
      </c>
      <c r="AG214" s="188" t="str">
        <f t="array" ref="AG214" xml:space="preserve"> IFERROR( IF( D214="", "-", _xlfn.AGGREGATE(15,6, ( ( ($D$21:$D$27 = D214) * IF($D$19&lt;&gt;"", --($E$21:$E$27 = E214), 1) * IF($H$19&lt;&gt;"", --($F$21:$F$27 = F214), 1)  ) / ( ( $D$21:$D$27 = D214) * IF($D$19&lt;&gt;"", --($E$21:$E$27 = E214), 1)  * IF($H$19&lt;&gt;"", --($F$21:$F$27 = F214), 1) ) ) * $AF$21:$AF$27,1)    ), "-")</f>
        <v>-</v>
      </c>
      <c r="BB214"/>
      <c r="BE214" s="67"/>
    </row>
    <row r="215" spans="2:57" x14ac:dyDescent="0.25">
      <c r="B215" s="158" t="s">
        <v>447</v>
      </c>
      <c r="C215" s="158"/>
      <c r="D215" s="162" t="s">
        <v>713</v>
      </c>
      <c r="E215" s="160" t="s">
        <v>759</v>
      </c>
      <c r="F215" s="162" t="s">
        <v>926</v>
      </c>
      <c r="G215" s="163"/>
      <c r="H215" s="163"/>
      <c r="I215" s="158"/>
      <c r="J215" s="158"/>
      <c r="K215" s="167"/>
      <c r="L215" s="168"/>
      <c r="M215" s="167"/>
      <c r="N215" s="167"/>
      <c r="O215" s="210"/>
      <c r="P215" s="170"/>
      <c r="Q215" s="169"/>
      <c r="R215" s="158"/>
      <c r="S215" s="158"/>
      <c r="T215" s="162"/>
      <c r="U215" s="164"/>
      <c r="V215" s="165"/>
      <c r="W215" s="166"/>
      <c r="X215" s="172"/>
      <c r="Y215" s="174"/>
      <c r="Z215" s="176"/>
      <c r="AA215" s="178" t="str">
        <f t="shared" si="16"/>
        <v xml:space="preserve"> - </v>
      </c>
      <c r="AB215" s="180" t="str">
        <f t="shared" si="17"/>
        <v xml:space="preserve"> - </v>
      </c>
      <c r="AC215" s="180" t="str">
        <f t="shared" si="18"/>
        <v xml:space="preserve"> - </v>
      </c>
      <c r="AD215" s="182" t="str">
        <f t="shared" si="21"/>
        <v xml:space="preserve"> - </v>
      </c>
      <c r="AE215" s="184">
        <f t="shared" si="19"/>
        <v>0</v>
      </c>
      <c r="AF215" s="186">
        <f t="shared" si="20"/>
        <v>0</v>
      </c>
      <c r="AG215" s="188" t="str">
        <f t="array" ref="AG215" xml:space="preserve"> IFERROR( IF( D215="", "-", _xlfn.AGGREGATE(15,6, ( ( ($D$21:$D$27 = D215) * IF($D$19&lt;&gt;"", --($E$21:$E$27 = E215), 1) * IF($H$19&lt;&gt;"", --($F$21:$F$27 = F215), 1)  ) / ( ( $D$21:$D$27 = D215) * IF($D$19&lt;&gt;"", --($E$21:$E$27 = E215), 1)  * IF($H$19&lt;&gt;"", --($F$21:$F$27 = F215), 1) ) ) * $AF$21:$AF$27,1)    ), "-")</f>
        <v>-</v>
      </c>
      <c r="BB215"/>
      <c r="BE215" s="67"/>
    </row>
    <row r="216" spans="2:57" x14ac:dyDescent="0.25">
      <c r="B216" s="158" t="s">
        <v>448</v>
      </c>
      <c r="C216" s="158"/>
      <c r="D216" s="162" t="s">
        <v>713</v>
      </c>
      <c r="E216" s="160" t="s">
        <v>760</v>
      </c>
      <c r="F216" s="162" t="s">
        <v>926</v>
      </c>
      <c r="G216" s="163"/>
      <c r="H216" s="163"/>
      <c r="I216" s="158"/>
      <c r="J216" s="158"/>
      <c r="K216" s="167"/>
      <c r="L216" s="168"/>
      <c r="M216" s="167"/>
      <c r="N216" s="167"/>
      <c r="O216" s="210"/>
      <c r="P216" s="170"/>
      <c r="Q216" s="169"/>
      <c r="R216" s="158"/>
      <c r="S216" s="158"/>
      <c r="T216" s="162"/>
      <c r="U216" s="164"/>
      <c r="V216" s="165"/>
      <c r="W216" s="166"/>
      <c r="X216" s="172"/>
      <c r="Y216" s="174"/>
      <c r="Z216" s="176"/>
      <c r="AA216" s="178" t="str">
        <f t="shared" si="16"/>
        <v xml:space="preserve"> - </v>
      </c>
      <c r="AB216" s="180" t="str">
        <f t="shared" si="17"/>
        <v xml:space="preserve"> - </v>
      </c>
      <c r="AC216" s="180" t="str">
        <f t="shared" si="18"/>
        <v xml:space="preserve"> - </v>
      </c>
      <c r="AD216" s="182" t="str">
        <f t="shared" si="21"/>
        <v xml:space="preserve"> - </v>
      </c>
      <c r="AE216" s="184">
        <f t="shared" si="19"/>
        <v>0</v>
      </c>
      <c r="AF216" s="186">
        <f t="shared" si="20"/>
        <v>0</v>
      </c>
      <c r="AG216" s="188" t="str">
        <f t="array" ref="AG216" xml:space="preserve"> IFERROR( IF( D216="", "-", _xlfn.AGGREGATE(15,6, ( ( ($D$21:$D$27 = D216) * IF($D$19&lt;&gt;"", --($E$21:$E$27 = E216), 1) * IF($H$19&lt;&gt;"", --($F$21:$F$27 = F216), 1)  ) / ( ( $D$21:$D$27 = D216) * IF($D$19&lt;&gt;"", --($E$21:$E$27 = E216), 1)  * IF($H$19&lt;&gt;"", --($F$21:$F$27 = F216), 1) ) ) * $AF$21:$AF$27,1)    ), "-")</f>
        <v>-</v>
      </c>
      <c r="BB216"/>
      <c r="BE216" s="67"/>
    </row>
    <row r="217" spans="2:57" x14ac:dyDescent="0.25">
      <c r="B217" s="158" t="s">
        <v>449</v>
      </c>
      <c r="C217" s="158"/>
      <c r="D217" s="162" t="s">
        <v>713</v>
      </c>
      <c r="E217" s="160" t="s">
        <v>714</v>
      </c>
      <c r="F217" s="162" t="s">
        <v>926</v>
      </c>
      <c r="G217" s="163"/>
      <c r="H217" s="163"/>
      <c r="I217" s="158"/>
      <c r="J217" s="158"/>
      <c r="K217" s="167"/>
      <c r="L217" s="168"/>
      <c r="M217" s="167"/>
      <c r="N217" s="167"/>
      <c r="O217" s="210"/>
      <c r="P217" s="170"/>
      <c r="Q217" s="169"/>
      <c r="R217" s="158"/>
      <c r="S217" s="158"/>
      <c r="T217" s="162"/>
      <c r="U217" s="164"/>
      <c r="V217" s="165"/>
      <c r="W217" s="166"/>
      <c r="X217" s="172"/>
      <c r="Y217" s="174"/>
      <c r="Z217" s="176"/>
      <c r="AA217" s="178" t="str">
        <f t="shared" si="16"/>
        <v xml:space="preserve"> - </v>
      </c>
      <c r="AB217" s="180" t="str">
        <f t="shared" si="17"/>
        <v xml:space="preserve"> - </v>
      </c>
      <c r="AC217" s="180" t="str">
        <f t="shared" si="18"/>
        <v xml:space="preserve"> - </v>
      </c>
      <c r="AD217" s="182" t="str">
        <f t="shared" si="21"/>
        <v xml:space="preserve"> - </v>
      </c>
      <c r="AE217" s="184">
        <f t="shared" si="19"/>
        <v>0</v>
      </c>
      <c r="AF217" s="186">
        <f t="shared" si="20"/>
        <v>0</v>
      </c>
      <c r="AG217" s="188" t="str">
        <f t="array" ref="AG217" xml:space="preserve"> IFERROR( IF( D217="", "-", _xlfn.AGGREGATE(15,6, ( ( ($D$21:$D$27 = D217) * IF($D$19&lt;&gt;"", --($E$21:$E$27 = E217), 1) * IF($H$19&lt;&gt;"", --($F$21:$F$27 = F217), 1)  ) / ( ( $D$21:$D$27 = D217) * IF($D$19&lt;&gt;"", --($E$21:$E$27 = E217), 1)  * IF($H$19&lt;&gt;"", --($F$21:$F$27 = F217), 1) ) ) * $AF$21:$AF$27,1)    ), "-")</f>
        <v>-</v>
      </c>
      <c r="BB217"/>
      <c r="BE217" s="67"/>
    </row>
    <row r="218" spans="2:57" x14ac:dyDescent="0.25">
      <c r="B218" s="158" t="s">
        <v>450</v>
      </c>
      <c r="C218" s="158"/>
      <c r="D218" s="162" t="s">
        <v>713</v>
      </c>
      <c r="E218" s="160" t="s">
        <v>827</v>
      </c>
      <c r="F218" s="162" t="s">
        <v>926</v>
      </c>
      <c r="G218" s="163"/>
      <c r="H218" s="163"/>
      <c r="I218" s="158"/>
      <c r="J218" s="158"/>
      <c r="K218" s="167"/>
      <c r="L218" s="168"/>
      <c r="M218" s="167"/>
      <c r="N218" s="167"/>
      <c r="O218" s="210"/>
      <c r="P218" s="170"/>
      <c r="Q218" s="169"/>
      <c r="R218" s="158"/>
      <c r="S218" s="158"/>
      <c r="T218" s="162"/>
      <c r="U218" s="164"/>
      <c r="V218" s="165"/>
      <c r="W218" s="166"/>
      <c r="X218" s="172"/>
      <c r="Y218" s="174"/>
      <c r="Z218" s="176"/>
      <c r="AA218" s="178" t="str">
        <f t="shared" si="16"/>
        <v xml:space="preserve"> - </v>
      </c>
      <c r="AB218" s="180" t="str">
        <f t="shared" si="17"/>
        <v xml:space="preserve"> - </v>
      </c>
      <c r="AC218" s="180" t="str">
        <f t="shared" ref="AC218:AC281" si="22">IF($L218&gt;0,$AB218/$L218, " - " )</f>
        <v xml:space="preserve"> - </v>
      </c>
      <c r="AD218" s="182" t="str">
        <f t="shared" si="21"/>
        <v xml:space="preserve"> - </v>
      </c>
      <c r="AE218" s="184">
        <f t="shared" ref="AE218:AE281" si="23">IFERROR(   (IF(ISNUMBER( $U218 ), $U218, IF( ISNUMBER( $V218 ),$V218, 0 ) ) + $X218 ) /  (  IF(ISNUMBER( $W218), $W218, 1) * IF(ISNUMBER( $L218), $L218, 1) ), "-")</f>
        <v>0</v>
      </c>
      <c r="AF218" s="186">
        <f t="shared" si="20"/>
        <v>0</v>
      </c>
      <c r="AG218" s="188" t="str">
        <f t="array" ref="AG218" xml:space="preserve"> IFERROR( IF( D218="", "-", _xlfn.AGGREGATE(15,6, ( ( ($D$21:$D$27 = D218) * IF($D$19&lt;&gt;"", --($E$21:$E$27 = E218), 1) * IF($H$19&lt;&gt;"", --($F$21:$F$27 = F218), 1)  ) / ( ( $D$21:$D$27 = D218) * IF($D$19&lt;&gt;"", --($E$21:$E$27 = E218), 1)  * IF($H$19&lt;&gt;"", --($F$21:$F$27 = F218), 1) ) ) * $AF$21:$AF$27,1)    ), "-")</f>
        <v>-</v>
      </c>
      <c r="BB218"/>
      <c r="BE218" s="67"/>
    </row>
    <row r="219" spans="2:57" x14ac:dyDescent="0.25">
      <c r="B219" s="158" t="s">
        <v>451</v>
      </c>
      <c r="C219" s="158"/>
      <c r="D219" s="162" t="s">
        <v>713</v>
      </c>
      <c r="E219" s="160" t="s">
        <v>828</v>
      </c>
      <c r="F219" s="162" t="s">
        <v>926</v>
      </c>
      <c r="G219" s="163"/>
      <c r="H219" s="163"/>
      <c r="I219" s="158"/>
      <c r="J219" s="158"/>
      <c r="K219" s="167"/>
      <c r="L219" s="168"/>
      <c r="M219" s="167"/>
      <c r="N219" s="167"/>
      <c r="O219" s="210"/>
      <c r="P219" s="170"/>
      <c r="Q219" s="169"/>
      <c r="R219" s="158"/>
      <c r="S219" s="158"/>
      <c r="T219" s="162"/>
      <c r="U219" s="164"/>
      <c r="V219" s="165"/>
      <c r="W219" s="166"/>
      <c r="X219" s="172"/>
      <c r="Y219" s="174"/>
      <c r="Z219" s="176"/>
      <c r="AA219" s="178" t="str">
        <f t="shared" si="16"/>
        <v xml:space="preserve"> - </v>
      </c>
      <c r="AB219" s="180" t="str">
        <f t="shared" si="17"/>
        <v xml:space="preserve"> - </v>
      </c>
      <c r="AC219" s="180" t="str">
        <f t="shared" si="22"/>
        <v xml:space="preserve"> - </v>
      </c>
      <c r="AD219" s="182" t="str">
        <f t="shared" si="21"/>
        <v xml:space="preserve"> - </v>
      </c>
      <c r="AE219" s="184">
        <f t="shared" si="23"/>
        <v>0</v>
      </c>
      <c r="AF219" s="186">
        <f t="shared" si="20"/>
        <v>0</v>
      </c>
      <c r="AG219" s="188" t="str">
        <f t="array" ref="AG219" xml:space="preserve"> IFERROR( IF( D219="", "-", _xlfn.AGGREGATE(15,6, ( ( ($D$21:$D$27 = D219) * IF($D$19&lt;&gt;"", --($E$21:$E$27 = E219), 1) * IF($H$19&lt;&gt;"", --($F$21:$F$27 = F219), 1)  ) / ( ( $D$21:$D$27 = D219) * IF($D$19&lt;&gt;"", --($E$21:$E$27 = E219), 1)  * IF($H$19&lt;&gt;"", --($F$21:$F$27 = F219), 1) ) ) * $AF$21:$AF$27,1)    ), "-")</f>
        <v>-</v>
      </c>
      <c r="BB219"/>
      <c r="BE219" s="67"/>
    </row>
    <row r="220" spans="2:57" x14ac:dyDescent="0.25">
      <c r="B220" s="158" t="s">
        <v>452</v>
      </c>
      <c r="C220" s="158"/>
      <c r="D220" s="162" t="s">
        <v>713</v>
      </c>
      <c r="E220" s="160" t="s">
        <v>829</v>
      </c>
      <c r="F220" s="162" t="s">
        <v>926</v>
      </c>
      <c r="G220" s="163" t="s">
        <v>927</v>
      </c>
      <c r="H220" s="163"/>
      <c r="I220" s="158"/>
      <c r="J220" s="158"/>
      <c r="K220" s="167"/>
      <c r="L220" s="168"/>
      <c r="M220" s="167"/>
      <c r="N220" s="167"/>
      <c r="O220" s="210"/>
      <c r="P220" s="170"/>
      <c r="Q220" s="169"/>
      <c r="R220" s="158"/>
      <c r="S220" s="158"/>
      <c r="T220" s="162"/>
      <c r="U220" s="164"/>
      <c r="V220" s="165"/>
      <c r="W220" s="166"/>
      <c r="X220" s="172"/>
      <c r="Y220" s="174"/>
      <c r="Z220" s="176"/>
      <c r="AA220" s="178" t="str">
        <f t="shared" si="16"/>
        <v xml:space="preserve"> - </v>
      </c>
      <c r="AB220" s="180" t="str">
        <f t="shared" si="17"/>
        <v xml:space="preserve"> - </v>
      </c>
      <c r="AC220" s="180" t="str">
        <f t="shared" si="22"/>
        <v xml:space="preserve"> - </v>
      </c>
      <c r="AD220" s="182" t="str">
        <f t="shared" si="21"/>
        <v xml:space="preserve"> - </v>
      </c>
      <c r="AE220" s="184">
        <f t="shared" si="23"/>
        <v>0</v>
      </c>
      <c r="AF220" s="186">
        <f t="shared" si="20"/>
        <v>0</v>
      </c>
      <c r="AG220" s="188" t="str">
        <f t="array" ref="AG220" xml:space="preserve"> IFERROR( IF( D220="", "-", _xlfn.AGGREGATE(15,6, ( ( ($D$21:$D$27 = D220) * IF($D$19&lt;&gt;"", --($E$21:$E$27 = E220), 1) * IF($H$19&lt;&gt;"", --($F$21:$F$27 = F220), 1)  ) / ( ( $D$21:$D$27 = D220) * IF($D$19&lt;&gt;"", --($E$21:$E$27 = E220), 1)  * IF($H$19&lt;&gt;"", --($F$21:$F$27 = F220), 1) ) ) * $AF$21:$AF$27,1)    ), "-")</f>
        <v>-</v>
      </c>
      <c r="BB220"/>
      <c r="BE220" s="67"/>
    </row>
    <row r="221" spans="2:57" x14ac:dyDescent="0.25">
      <c r="B221" s="158" t="s">
        <v>453</v>
      </c>
      <c r="C221" s="158"/>
      <c r="D221" s="162" t="s">
        <v>453</v>
      </c>
      <c r="E221" s="160"/>
      <c r="F221" s="162"/>
      <c r="G221" s="163"/>
      <c r="H221" s="163"/>
      <c r="I221" s="158"/>
      <c r="J221" s="158"/>
      <c r="K221" s="167"/>
      <c r="L221" s="168"/>
      <c r="M221" s="167"/>
      <c r="N221" s="167"/>
      <c r="O221" s="210"/>
      <c r="P221" s="170"/>
      <c r="Q221" s="169"/>
      <c r="R221" s="158"/>
      <c r="S221" s="158"/>
      <c r="T221" s="162"/>
      <c r="U221" s="164"/>
      <c r="V221" s="165"/>
      <c r="W221" s="166"/>
      <c r="X221" s="172"/>
      <c r="Y221" s="174"/>
      <c r="Z221" s="176"/>
      <c r="AA221" s="178" t="str">
        <f t="shared" ref="AA221:AA288" si="24">IF( ISNUMBER($U221), $U221, IF( ISNUMBER($T221), $T221 * IF( $V221="", 1,  $V221),            IF( ISNUMBER($V221), $V221 * IF( $W221="", 1,  $W221), " - ")           ) )</f>
        <v xml:space="preserve"> - </v>
      </c>
      <c r="AB221" s="180" t="str">
        <f t="shared" ref="AB221:AB288" si="25">IF( ISNUMBER($V221), $V221, IF( ISNUMBER($U221), $U221 / IF( $W221 &lt;&gt;"",  $W221, 1), " - ") )</f>
        <v xml:space="preserve"> - </v>
      </c>
      <c r="AC221" s="180" t="str">
        <f t="shared" si="22"/>
        <v xml:space="preserve"> - </v>
      </c>
      <c r="AD221" s="182" t="str">
        <f t="shared" si="21"/>
        <v xml:space="preserve"> - </v>
      </c>
      <c r="AE221" s="184">
        <f t="shared" si="23"/>
        <v>0</v>
      </c>
      <c r="AF221" s="186">
        <f t="shared" si="20"/>
        <v>0</v>
      </c>
      <c r="AG221" s="188" t="str">
        <f t="array" ref="AG221" xml:space="preserve"> IFERROR( IF( D221="", "-", _xlfn.AGGREGATE(15,6, ( ( ($D$21:$D$27 = D221) * IF($D$19&lt;&gt;"", --($E$21:$E$27 = E221), 1) * IF($H$19&lt;&gt;"", --($F$21:$F$27 = F221), 1)  ) / ( ( $D$21:$D$27 = D221) * IF($D$19&lt;&gt;"", --($E$21:$E$27 = E221), 1)  * IF($H$19&lt;&gt;"", --($F$21:$F$27 = F221), 1) ) ) * $AF$21:$AF$27,1)    ), "-")</f>
        <v>-</v>
      </c>
      <c r="BB221"/>
      <c r="BE221" s="67"/>
    </row>
    <row r="222" spans="2:57" x14ac:dyDescent="0.25">
      <c r="B222" s="158" t="s">
        <v>454</v>
      </c>
      <c r="C222" s="158"/>
      <c r="D222" s="162" t="s">
        <v>837</v>
      </c>
      <c r="E222" s="160" t="s">
        <v>830</v>
      </c>
      <c r="F222" s="162"/>
      <c r="G222" s="163"/>
      <c r="H222" s="163" t="s">
        <v>715</v>
      </c>
      <c r="I222" s="158"/>
      <c r="J222" s="158"/>
      <c r="K222" s="167"/>
      <c r="L222" s="168"/>
      <c r="M222" s="167"/>
      <c r="N222" s="167"/>
      <c r="O222" s="210"/>
      <c r="P222" s="170"/>
      <c r="Q222" s="169"/>
      <c r="R222" s="158"/>
      <c r="S222" s="158"/>
      <c r="T222" s="162"/>
      <c r="U222" s="164"/>
      <c r="V222" s="165"/>
      <c r="W222" s="166"/>
      <c r="X222" s="172"/>
      <c r="Y222" s="174"/>
      <c r="Z222" s="176"/>
      <c r="AA222" s="178" t="str">
        <f t="shared" si="24"/>
        <v xml:space="preserve"> - </v>
      </c>
      <c r="AB222" s="180" t="str">
        <f t="shared" si="25"/>
        <v xml:space="preserve"> - </v>
      </c>
      <c r="AC222" s="180" t="str">
        <f t="shared" si="22"/>
        <v xml:space="preserve"> - </v>
      </c>
      <c r="AD222" s="182" t="str">
        <f t="shared" si="21"/>
        <v xml:space="preserve"> - </v>
      </c>
      <c r="AE222" s="184">
        <f t="shared" si="23"/>
        <v>0</v>
      </c>
      <c r="AF222" s="186">
        <f t="shared" si="20"/>
        <v>0</v>
      </c>
      <c r="AG222" s="188" t="str">
        <f t="array" ref="AG222" xml:space="preserve"> IFERROR( IF( D222="", "-", _xlfn.AGGREGATE(15,6, ( ( ($D$21:$D$27 = D222) * IF($D$19&lt;&gt;"", --($E$21:$E$27 = E222), 1) * IF($H$19&lt;&gt;"", --($F$21:$F$27 = F222), 1)  ) / ( ( $D$21:$D$27 = D222) * IF($D$19&lt;&gt;"", --($E$21:$E$27 = E222), 1)  * IF($H$19&lt;&gt;"", --($F$21:$F$27 = F222), 1) ) ) * $AF$21:$AF$27,1)    ), "-")</f>
        <v>-</v>
      </c>
      <c r="BB222"/>
      <c r="BE222" s="67"/>
    </row>
    <row r="223" spans="2:57" x14ac:dyDescent="0.25">
      <c r="B223" s="158" t="s">
        <v>455</v>
      </c>
      <c r="C223" s="158"/>
      <c r="D223" s="162" t="s">
        <v>838</v>
      </c>
      <c r="E223" s="160" t="s">
        <v>832</v>
      </c>
      <c r="F223" s="162"/>
      <c r="G223" s="163"/>
      <c r="H223" s="163"/>
      <c r="I223" s="158"/>
      <c r="J223" s="158"/>
      <c r="K223" s="167"/>
      <c r="L223" s="168"/>
      <c r="M223" s="167"/>
      <c r="N223" s="167"/>
      <c r="O223" s="210"/>
      <c r="P223" s="170"/>
      <c r="Q223" s="169"/>
      <c r="R223" s="158"/>
      <c r="S223" s="158"/>
      <c r="T223" s="162"/>
      <c r="U223" s="164"/>
      <c r="V223" s="165"/>
      <c r="W223" s="166"/>
      <c r="X223" s="172"/>
      <c r="Y223" s="174"/>
      <c r="Z223" s="176"/>
      <c r="AA223" s="178" t="str">
        <f t="shared" si="24"/>
        <v xml:space="preserve"> - </v>
      </c>
      <c r="AB223" s="180" t="str">
        <f t="shared" si="25"/>
        <v xml:space="preserve"> - </v>
      </c>
      <c r="AC223" s="180" t="str">
        <f t="shared" si="22"/>
        <v xml:space="preserve"> - </v>
      </c>
      <c r="AD223" s="182" t="str">
        <f t="shared" si="21"/>
        <v xml:space="preserve"> - </v>
      </c>
      <c r="AE223" s="184">
        <f t="shared" si="23"/>
        <v>0</v>
      </c>
      <c r="AF223" s="186">
        <f t="shared" si="20"/>
        <v>0</v>
      </c>
      <c r="AG223" s="188" t="str">
        <f t="array" ref="AG223" xml:space="preserve"> IFERROR( IF( D223="", "-", _xlfn.AGGREGATE(15,6, ( ( ($D$21:$D$27 = D223) * IF($D$19&lt;&gt;"", --($E$21:$E$27 = E223), 1) * IF($H$19&lt;&gt;"", --($F$21:$F$27 = F223), 1)  ) / ( ( $D$21:$D$27 = D223) * IF($D$19&lt;&gt;"", --($E$21:$E$27 = E223), 1)  * IF($H$19&lt;&gt;"", --($F$21:$F$27 = F223), 1) ) ) * $AF$21:$AF$27,1)    ), "-")</f>
        <v>-</v>
      </c>
      <c r="BB223"/>
      <c r="BE223" s="67"/>
    </row>
    <row r="224" spans="2:57" x14ac:dyDescent="0.25">
      <c r="B224" s="158" t="s">
        <v>456</v>
      </c>
      <c r="C224" s="158"/>
      <c r="D224" s="162" t="s">
        <v>837</v>
      </c>
      <c r="E224" s="160" t="s">
        <v>831</v>
      </c>
      <c r="F224" s="162"/>
      <c r="G224" s="163"/>
      <c r="H224" s="163"/>
      <c r="I224" s="158"/>
      <c r="J224" s="158"/>
      <c r="K224" s="167"/>
      <c r="L224" s="168"/>
      <c r="M224" s="167"/>
      <c r="N224" s="167"/>
      <c r="O224" s="210"/>
      <c r="P224" s="170"/>
      <c r="Q224" s="169"/>
      <c r="R224" s="158"/>
      <c r="S224" s="158"/>
      <c r="T224" s="162"/>
      <c r="U224" s="164"/>
      <c r="V224" s="165"/>
      <c r="W224" s="166"/>
      <c r="X224" s="172"/>
      <c r="Y224" s="174"/>
      <c r="Z224" s="176"/>
      <c r="AA224" s="178" t="str">
        <f t="shared" si="24"/>
        <v xml:space="preserve"> - </v>
      </c>
      <c r="AB224" s="180" t="str">
        <f t="shared" si="25"/>
        <v xml:space="preserve"> - </v>
      </c>
      <c r="AC224" s="180" t="str">
        <f t="shared" si="22"/>
        <v xml:space="preserve"> - </v>
      </c>
      <c r="AD224" s="182" t="str">
        <f t="shared" si="21"/>
        <v xml:space="preserve"> - </v>
      </c>
      <c r="AE224" s="184">
        <f t="shared" si="23"/>
        <v>0</v>
      </c>
      <c r="AF224" s="186">
        <f t="shared" si="20"/>
        <v>0</v>
      </c>
      <c r="AG224" s="188" t="str">
        <f t="array" ref="AG224" xml:space="preserve"> IFERROR( IF( D224="", "-", _xlfn.AGGREGATE(15,6, ( ( ($D$21:$D$27 = D224) * IF($D$19&lt;&gt;"", --($E$21:$E$27 = E224), 1) * IF($H$19&lt;&gt;"", --($F$21:$F$27 = F224), 1)  ) / ( ( $D$21:$D$27 = D224) * IF($D$19&lt;&gt;"", --($E$21:$E$27 = E224), 1)  * IF($H$19&lt;&gt;"", --($F$21:$F$27 = F224), 1) ) ) * $AF$21:$AF$27,1)    ), "-")</f>
        <v>-</v>
      </c>
      <c r="BB224"/>
      <c r="BE224" s="67"/>
    </row>
    <row r="225" spans="2:57" x14ac:dyDescent="0.25">
      <c r="B225" s="158" t="s">
        <v>457</v>
      </c>
      <c r="C225" s="158"/>
      <c r="D225" s="162" t="s">
        <v>837</v>
      </c>
      <c r="E225" s="160" t="s">
        <v>833</v>
      </c>
      <c r="F225" s="162"/>
      <c r="G225" s="163"/>
      <c r="H225" s="163" t="s">
        <v>716</v>
      </c>
      <c r="I225" s="158"/>
      <c r="J225" s="158"/>
      <c r="K225" s="167"/>
      <c r="L225" s="168"/>
      <c r="M225" s="167"/>
      <c r="N225" s="167"/>
      <c r="O225" s="210"/>
      <c r="P225" s="170"/>
      <c r="Q225" s="169"/>
      <c r="R225" s="158"/>
      <c r="S225" s="158"/>
      <c r="T225" s="162"/>
      <c r="U225" s="164"/>
      <c r="V225" s="165"/>
      <c r="W225" s="166"/>
      <c r="X225" s="172"/>
      <c r="Y225" s="174"/>
      <c r="Z225" s="176"/>
      <c r="AA225" s="178" t="str">
        <f t="shared" si="24"/>
        <v xml:space="preserve"> - </v>
      </c>
      <c r="AB225" s="180" t="str">
        <f t="shared" si="25"/>
        <v xml:space="preserve"> - </v>
      </c>
      <c r="AC225" s="180" t="str">
        <f t="shared" si="22"/>
        <v xml:space="preserve"> - </v>
      </c>
      <c r="AD225" s="182" t="str">
        <f t="shared" si="21"/>
        <v xml:space="preserve"> - </v>
      </c>
      <c r="AE225" s="184">
        <f t="shared" si="23"/>
        <v>0</v>
      </c>
      <c r="AF225" s="186">
        <f t="shared" si="20"/>
        <v>0</v>
      </c>
      <c r="AG225" s="188" t="str">
        <f t="array" ref="AG225" xml:space="preserve"> IFERROR( IF( D225="", "-", _xlfn.AGGREGATE(15,6, ( ( ($D$21:$D$27 = D225) * IF($D$19&lt;&gt;"", --($E$21:$E$27 = E225), 1) * IF($H$19&lt;&gt;"", --($F$21:$F$27 = F225), 1)  ) / ( ( $D$21:$D$27 = D225) * IF($D$19&lt;&gt;"", --($E$21:$E$27 = E225), 1)  * IF($H$19&lt;&gt;"", --($F$21:$F$27 = F225), 1) ) ) * $AF$21:$AF$27,1)    ), "-")</f>
        <v>-</v>
      </c>
      <c r="BB225"/>
      <c r="BE225" s="67"/>
    </row>
    <row r="226" spans="2:57" x14ac:dyDescent="0.25">
      <c r="B226" s="158" t="s">
        <v>458</v>
      </c>
      <c r="C226" s="158"/>
      <c r="D226" s="162" t="s">
        <v>837</v>
      </c>
      <c r="E226" s="160" t="s">
        <v>834</v>
      </c>
      <c r="F226" s="162"/>
      <c r="G226" s="163"/>
      <c r="H226" s="163" t="s">
        <v>835</v>
      </c>
      <c r="I226" s="158"/>
      <c r="J226" s="158"/>
      <c r="K226" s="167"/>
      <c r="L226" s="168"/>
      <c r="M226" s="167"/>
      <c r="N226" s="167"/>
      <c r="O226" s="210"/>
      <c r="P226" s="170"/>
      <c r="Q226" s="169"/>
      <c r="R226" s="158"/>
      <c r="S226" s="158"/>
      <c r="T226" s="162"/>
      <c r="U226" s="164"/>
      <c r="V226" s="165"/>
      <c r="W226" s="166"/>
      <c r="X226" s="172"/>
      <c r="Y226" s="174"/>
      <c r="Z226" s="176"/>
      <c r="AA226" s="178" t="str">
        <f t="shared" si="24"/>
        <v xml:space="preserve"> - </v>
      </c>
      <c r="AB226" s="180" t="str">
        <f t="shared" si="25"/>
        <v xml:space="preserve"> - </v>
      </c>
      <c r="AC226" s="180" t="str">
        <f t="shared" si="22"/>
        <v xml:space="preserve"> - </v>
      </c>
      <c r="AD226" s="182" t="str">
        <f t="shared" si="21"/>
        <v xml:space="preserve"> - </v>
      </c>
      <c r="AE226" s="184">
        <f t="shared" si="23"/>
        <v>0</v>
      </c>
      <c r="AF226" s="186">
        <f t="shared" si="20"/>
        <v>0</v>
      </c>
      <c r="AG226" s="188" t="str">
        <f t="array" ref="AG226" xml:space="preserve"> IFERROR( IF( D226="", "-", _xlfn.AGGREGATE(15,6, ( ( ($D$21:$D$27 = D226) * IF($D$19&lt;&gt;"", --($E$21:$E$27 = E226), 1) * IF($H$19&lt;&gt;"", --($F$21:$F$27 = F226), 1)  ) / ( ( $D$21:$D$27 = D226) * IF($D$19&lt;&gt;"", --($E$21:$E$27 = E226), 1)  * IF($H$19&lt;&gt;"", --($F$21:$F$27 = F226), 1) ) ) * $AF$21:$AF$27,1)    ), "-")</f>
        <v>-</v>
      </c>
      <c r="BB226"/>
      <c r="BE226" s="67"/>
    </row>
    <row r="227" spans="2:57" x14ac:dyDescent="0.25">
      <c r="B227" s="158" t="s">
        <v>459</v>
      </c>
      <c r="C227" s="158"/>
      <c r="D227" s="162" t="s">
        <v>837</v>
      </c>
      <c r="E227" s="160" t="s">
        <v>836</v>
      </c>
      <c r="F227" s="162"/>
      <c r="G227" s="163"/>
      <c r="H227" s="163"/>
      <c r="I227" s="158"/>
      <c r="J227" s="158"/>
      <c r="K227" s="167"/>
      <c r="L227" s="168"/>
      <c r="M227" s="167"/>
      <c r="N227" s="167"/>
      <c r="O227" s="210"/>
      <c r="P227" s="170"/>
      <c r="Q227" s="169"/>
      <c r="R227" s="158"/>
      <c r="S227" s="158"/>
      <c r="T227" s="162"/>
      <c r="U227" s="164"/>
      <c r="V227" s="165"/>
      <c r="W227" s="166"/>
      <c r="X227" s="172"/>
      <c r="Y227" s="174"/>
      <c r="Z227" s="176"/>
      <c r="AA227" s="178" t="str">
        <f t="shared" si="24"/>
        <v xml:space="preserve"> - </v>
      </c>
      <c r="AB227" s="180" t="str">
        <f t="shared" si="25"/>
        <v xml:space="preserve"> - </v>
      </c>
      <c r="AC227" s="180" t="str">
        <f t="shared" si="22"/>
        <v xml:space="preserve"> - </v>
      </c>
      <c r="AD227" s="182" t="str">
        <f t="shared" si="21"/>
        <v xml:space="preserve"> - </v>
      </c>
      <c r="AE227" s="184">
        <f t="shared" si="23"/>
        <v>0</v>
      </c>
      <c r="AF227" s="186">
        <f t="shared" si="20"/>
        <v>0</v>
      </c>
      <c r="AG227" s="188" t="str">
        <f t="array" ref="AG227" xml:space="preserve"> IFERROR( IF( D227="", "-", _xlfn.AGGREGATE(15,6, ( ( ($D$21:$D$27 = D227) * IF($D$19&lt;&gt;"", --($E$21:$E$27 = E227), 1) * IF($H$19&lt;&gt;"", --($F$21:$F$27 = F227), 1)  ) / ( ( $D$21:$D$27 = D227) * IF($D$19&lt;&gt;"", --($E$21:$E$27 = E227), 1)  * IF($H$19&lt;&gt;"", --($F$21:$F$27 = F227), 1) ) ) * $AF$21:$AF$27,1)    ), "-")</f>
        <v>-</v>
      </c>
      <c r="BB227"/>
      <c r="BE227" s="67"/>
    </row>
    <row r="228" spans="2:57" x14ac:dyDescent="0.25">
      <c r="B228" s="158" t="s">
        <v>460</v>
      </c>
      <c r="C228" s="158"/>
      <c r="D228" s="162" t="s">
        <v>839</v>
      </c>
      <c r="E228" s="160">
        <v>10</v>
      </c>
      <c r="F228" s="162"/>
      <c r="G228" s="163"/>
      <c r="H228" s="163"/>
      <c r="I228" s="158"/>
      <c r="J228" s="158"/>
      <c r="K228" s="167"/>
      <c r="L228" s="168"/>
      <c r="M228" s="167"/>
      <c r="N228" s="167"/>
      <c r="O228" s="210"/>
      <c r="P228" s="170"/>
      <c r="Q228" s="169"/>
      <c r="R228" s="158"/>
      <c r="S228" s="158"/>
      <c r="T228" s="162"/>
      <c r="U228" s="164"/>
      <c r="V228" s="165"/>
      <c r="W228" s="166"/>
      <c r="X228" s="172"/>
      <c r="Y228" s="174"/>
      <c r="Z228" s="176"/>
      <c r="AA228" s="178" t="str">
        <f t="shared" si="24"/>
        <v xml:space="preserve"> - </v>
      </c>
      <c r="AB228" s="180" t="str">
        <f t="shared" si="25"/>
        <v xml:space="preserve"> - </v>
      </c>
      <c r="AC228" s="180" t="str">
        <f t="shared" si="22"/>
        <v xml:space="preserve"> - </v>
      </c>
      <c r="AD228" s="182" t="str">
        <f t="shared" si="21"/>
        <v xml:space="preserve"> - </v>
      </c>
      <c r="AE228" s="184">
        <f t="shared" si="23"/>
        <v>0</v>
      </c>
      <c r="AF228" s="186">
        <f t="shared" si="20"/>
        <v>0</v>
      </c>
      <c r="AG228" s="188" t="str">
        <f t="array" ref="AG228" xml:space="preserve"> IFERROR( IF( D228="", "-", _xlfn.AGGREGATE(15,6, ( ( ($D$21:$D$27 = D228) * IF($D$19&lt;&gt;"", --($E$21:$E$27 = E228), 1) * IF($H$19&lt;&gt;"", --($F$21:$F$27 = F228), 1)  ) / ( ( $D$21:$D$27 = D228) * IF($D$19&lt;&gt;"", --($E$21:$E$27 = E228), 1)  * IF($H$19&lt;&gt;"", --($F$21:$F$27 = F228), 1) ) ) * $AF$21:$AF$27,1)    ), "-")</f>
        <v>-</v>
      </c>
      <c r="BB228"/>
      <c r="BE228" s="67"/>
    </row>
    <row r="229" spans="2:57" x14ac:dyDescent="0.25">
      <c r="B229" s="158" t="s">
        <v>461</v>
      </c>
      <c r="C229" s="158"/>
      <c r="D229" s="162" t="s">
        <v>840</v>
      </c>
      <c r="E229" s="160"/>
      <c r="F229" s="162"/>
      <c r="G229" s="163"/>
      <c r="H229" s="163" t="s">
        <v>717</v>
      </c>
      <c r="I229" s="158"/>
      <c r="J229" s="158"/>
      <c r="K229" s="167"/>
      <c r="L229" s="168"/>
      <c r="M229" s="167"/>
      <c r="N229" s="167"/>
      <c r="O229" s="210"/>
      <c r="P229" s="170"/>
      <c r="Q229" s="169"/>
      <c r="R229" s="158"/>
      <c r="S229" s="158"/>
      <c r="T229" s="162"/>
      <c r="U229" s="164"/>
      <c r="V229" s="165"/>
      <c r="W229" s="166"/>
      <c r="X229" s="172"/>
      <c r="Y229" s="174"/>
      <c r="Z229" s="176"/>
      <c r="AA229" s="178" t="str">
        <f t="shared" si="24"/>
        <v xml:space="preserve"> - </v>
      </c>
      <c r="AB229" s="180" t="str">
        <f t="shared" si="25"/>
        <v xml:space="preserve"> - </v>
      </c>
      <c r="AC229" s="180" t="str">
        <f t="shared" si="22"/>
        <v xml:space="preserve"> - </v>
      </c>
      <c r="AD229" s="182" t="str">
        <f t="shared" si="21"/>
        <v xml:space="preserve"> - </v>
      </c>
      <c r="AE229" s="184">
        <f t="shared" si="23"/>
        <v>0</v>
      </c>
      <c r="AF229" s="186">
        <f t="shared" si="20"/>
        <v>0</v>
      </c>
      <c r="AG229" s="188" t="str">
        <f t="array" ref="AG229" xml:space="preserve"> IFERROR( IF( D229="", "-", _xlfn.AGGREGATE(15,6, ( ( ($D$21:$D$27 = D229) * IF($D$19&lt;&gt;"", --($E$21:$E$27 = E229), 1) * IF($H$19&lt;&gt;"", --($F$21:$F$27 = F229), 1)  ) / ( ( $D$21:$D$27 = D229) * IF($D$19&lt;&gt;"", --($E$21:$E$27 = E229), 1)  * IF($H$19&lt;&gt;"", --($F$21:$F$27 = F229), 1) ) ) * $AF$21:$AF$27,1)    ), "-")</f>
        <v>-</v>
      </c>
      <c r="BB229"/>
      <c r="BE229" s="67"/>
    </row>
    <row r="230" spans="2:57" x14ac:dyDescent="0.25">
      <c r="B230" s="158" t="s">
        <v>462</v>
      </c>
      <c r="C230" s="158"/>
      <c r="D230" s="189" t="s">
        <v>841</v>
      </c>
      <c r="E230" s="160"/>
      <c r="F230" s="162" t="s">
        <v>687</v>
      </c>
      <c r="G230" s="163" t="s">
        <v>842</v>
      </c>
      <c r="H230" s="163"/>
      <c r="I230" s="158"/>
      <c r="J230" s="158"/>
      <c r="K230" s="167" t="s">
        <v>688</v>
      </c>
      <c r="L230" s="168">
        <v>500</v>
      </c>
      <c r="M230" s="167" t="s">
        <v>900</v>
      </c>
      <c r="N230" s="167"/>
      <c r="O230" s="210"/>
      <c r="P230" s="170"/>
      <c r="Q230" s="169"/>
      <c r="R230" s="158"/>
      <c r="S230" s="158"/>
      <c r="T230" s="162"/>
      <c r="U230" s="164"/>
      <c r="V230" s="165"/>
      <c r="W230" s="166">
        <v>1</v>
      </c>
      <c r="X230" s="172"/>
      <c r="Y230" s="174"/>
      <c r="Z230" s="176"/>
      <c r="AA230" s="178" t="str">
        <f t="shared" si="24"/>
        <v xml:space="preserve"> - </v>
      </c>
      <c r="AB230" s="180" t="str">
        <f t="shared" si="25"/>
        <v xml:space="preserve"> - </v>
      </c>
      <c r="AC230" s="180" t="e">
        <f t="shared" si="22"/>
        <v>#VALUE!</v>
      </c>
      <c r="AD230" s="182" t="str">
        <f t="shared" si="21"/>
        <v xml:space="preserve"> - </v>
      </c>
      <c r="AE230" s="184">
        <f t="shared" si="23"/>
        <v>0</v>
      </c>
      <c r="AF230" s="186">
        <f t="shared" si="20"/>
        <v>0</v>
      </c>
      <c r="AG230" s="188" t="str">
        <f t="array" ref="AG230" xml:space="preserve"> IFERROR( IF( D230="", "-", _xlfn.AGGREGATE(15,6, ( ( ($D$21:$D$27 = D230) * IF($D$19&lt;&gt;"", --($E$21:$E$27 = E230), 1) * IF($H$19&lt;&gt;"", --($F$21:$F$27 = F230), 1)  ) / ( ( $D$21:$D$27 = D230) * IF($D$19&lt;&gt;"", --($E$21:$E$27 = E230), 1)  * IF($H$19&lt;&gt;"", --($F$21:$F$27 = F230), 1) ) ) * $AF$21:$AF$27,1)    ), "-")</f>
        <v>-</v>
      </c>
      <c r="BB230"/>
      <c r="BE230" s="67"/>
    </row>
    <row r="231" spans="2:57" x14ac:dyDescent="0.25">
      <c r="B231" s="158" t="s">
        <v>463</v>
      </c>
      <c r="C231" s="158"/>
      <c r="D231" s="162" t="s">
        <v>843</v>
      </c>
      <c r="E231" s="160"/>
      <c r="F231" s="162" t="s">
        <v>844</v>
      </c>
      <c r="G231" s="163"/>
      <c r="H231" s="163"/>
      <c r="I231" s="158"/>
      <c r="J231" s="158"/>
      <c r="K231" s="167"/>
      <c r="L231" s="168"/>
      <c r="M231" s="167"/>
      <c r="N231" s="167"/>
      <c r="O231" s="210"/>
      <c r="P231" s="170"/>
      <c r="Q231" s="169"/>
      <c r="R231" s="158"/>
      <c r="S231" s="158"/>
      <c r="T231" s="162"/>
      <c r="U231" s="164"/>
      <c r="V231" s="165"/>
      <c r="W231" s="166"/>
      <c r="X231" s="172"/>
      <c r="Y231" s="174"/>
      <c r="Z231" s="176"/>
      <c r="AA231" s="178" t="str">
        <f t="shared" si="24"/>
        <v xml:space="preserve"> - </v>
      </c>
      <c r="AB231" s="180" t="str">
        <f t="shared" si="25"/>
        <v xml:space="preserve"> - </v>
      </c>
      <c r="AC231" s="180" t="str">
        <f t="shared" si="22"/>
        <v xml:space="preserve"> - </v>
      </c>
      <c r="AD231" s="182" t="str">
        <f t="shared" si="21"/>
        <v xml:space="preserve"> - </v>
      </c>
      <c r="AE231" s="184">
        <f t="shared" si="23"/>
        <v>0</v>
      </c>
      <c r="AF231" s="186">
        <f t="shared" si="20"/>
        <v>0</v>
      </c>
      <c r="AG231" s="188" t="str">
        <f t="array" ref="AG231" xml:space="preserve"> IFERROR( IF( D231="", "-", _xlfn.AGGREGATE(15,6, ( ( ($D$21:$D$27 = D231) * IF($D$19&lt;&gt;"", --($E$21:$E$27 = E231), 1) * IF($H$19&lt;&gt;"", --($F$21:$F$27 = F231), 1)  ) / ( ( $D$21:$D$27 = D231) * IF($D$19&lt;&gt;"", --($E$21:$E$27 = E231), 1)  * IF($H$19&lt;&gt;"", --($F$21:$F$27 = F231), 1) ) ) * $AF$21:$AF$27,1)    ), "-")</f>
        <v>-</v>
      </c>
      <c r="BB231"/>
      <c r="BE231" s="67"/>
    </row>
    <row r="232" spans="2:57" x14ac:dyDescent="0.25">
      <c r="B232" s="158" t="s">
        <v>464</v>
      </c>
      <c r="C232" s="158"/>
      <c r="D232" s="189" t="s">
        <v>752</v>
      </c>
      <c r="E232" s="160" t="s">
        <v>175</v>
      </c>
      <c r="F232" s="162" t="s">
        <v>687</v>
      </c>
      <c r="G232" s="163" t="s">
        <v>745</v>
      </c>
      <c r="H232" s="163"/>
      <c r="I232" s="158"/>
      <c r="J232" s="158"/>
      <c r="K232" s="167" t="s">
        <v>688</v>
      </c>
      <c r="L232" s="168">
        <v>250</v>
      </c>
      <c r="M232" s="167" t="s">
        <v>900</v>
      </c>
      <c r="N232" s="167"/>
      <c r="O232" s="210"/>
      <c r="P232" s="170"/>
      <c r="Q232" s="169"/>
      <c r="R232" s="158"/>
      <c r="S232" s="157" t="s">
        <v>1045</v>
      </c>
      <c r="T232" s="162"/>
      <c r="U232" s="164"/>
      <c r="V232" s="165">
        <v>100</v>
      </c>
      <c r="W232" s="166">
        <v>1</v>
      </c>
      <c r="X232" s="172"/>
      <c r="Y232" s="174"/>
      <c r="Z232" s="176"/>
      <c r="AA232" s="178">
        <f t="shared" si="24"/>
        <v>100</v>
      </c>
      <c r="AB232" s="180">
        <f t="shared" si="25"/>
        <v>100</v>
      </c>
      <c r="AC232" s="180">
        <f t="shared" si="22"/>
        <v>0.4</v>
      </c>
      <c r="AD232" s="182" t="str">
        <f t="shared" si="21"/>
        <v xml:space="preserve"> - </v>
      </c>
      <c r="AE232" s="184">
        <f t="shared" si="23"/>
        <v>0.4</v>
      </c>
      <c r="AF232" s="186">
        <f t="shared" si="20"/>
        <v>0.4</v>
      </c>
      <c r="AG232" s="188" t="str">
        <f t="array" ref="AG232" xml:space="preserve"> IFERROR( IF( D232="", "-", _xlfn.AGGREGATE(15,6, ( ( ($D$21:$D$27 = D232) * IF($D$19&lt;&gt;"", --($E$21:$E$27 = E232), 1) * IF($H$19&lt;&gt;"", --($F$21:$F$27 = F232), 1)  ) / ( ( $D$21:$D$27 = D232) * IF($D$19&lt;&gt;"", --($E$21:$E$27 = E232), 1)  * IF($H$19&lt;&gt;"", --($F$21:$F$27 = F232), 1) ) ) * $AF$21:$AF$27,1)    ), "-")</f>
        <v>-</v>
      </c>
      <c r="BB232"/>
      <c r="BE232" s="67"/>
    </row>
    <row r="233" spans="2:57" ht="15" customHeight="1" x14ac:dyDescent="0.25">
      <c r="B233" s="158" t="s">
        <v>464</v>
      </c>
      <c r="C233" s="158"/>
      <c r="D233" s="189" t="s">
        <v>752</v>
      </c>
      <c r="E233" s="160" t="s">
        <v>175</v>
      </c>
      <c r="F233" s="162" t="s">
        <v>687</v>
      </c>
      <c r="G233" s="163" t="s">
        <v>745</v>
      </c>
      <c r="H233" s="163"/>
      <c r="I233" s="158"/>
      <c r="J233" s="158"/>
      <c r="K233" s="167" t="s">
        <v>688</v>
      </c>
      <c r="L233" s="168">
        <v>100</v>
      </c>
      <c r="M233" s="167" t="s">
        <v>900</v>
      </c>
      <c r="N233" s="167"/>
      <c r="O233" s="210"/>
      <c r="P233" s="170"/>
      <c r="Q233" s="169"/>
      <c r="R233" s="158"/>
      <c r="S233" s="157" t="s">
        <v>1045</v>
      </c>
      <c r="T233" s="162"/>
      <c r="U233" s="164"/>
      <c r="V233" s="165">
        <v>100</v>
      </c>
      <c r="W233" s="166">
        <v>1</v>
      </c>
      <c r="X233" s="172"/>
      <c r="Y233" s="174"/>
      <c r="Z233" s="176"/>
      <c r="AA233" s="178">
        <f t="shared" si="24"/>
        <v>100</v>
      </c>
      <c r="AB233" s="180">
        <f t="shared" si="25"/>
        <v>100</v>
      </c>
      <c r="AC233" s="180">
        <f t="shared" si="22"/>
        <v>1</v>
      </c>
      <c r="AD233" s="182" t="str">
        <f t="shared" si="21"/>
        <v xml:space="preserve"> - </v>
      </c>
      <c r="AE233" s="184">
        <f t="shared" si="23"/>
        <v>1</v>
      </c>
      <c r="AF233" s="186">
        <f t="shared" ref="AF233" si="26">AE233 / IF( ISNUMBER($Q233),  $Q233, 1)</f>
        <v>1</v>
      </c>
      <c r="AG233" s="188" t="str">
        <f t="array" ref="AG233" xml:space="preserve"> IFERROR( IF( D233="", "-", _xlfn.AGGREGATE(15,6, ( ( ($D$21:$D$27 = D233) * IF($D$19&lt;&gt;"", --($E$21:$E$27 = E233), 1) * IF($H$19&lt;&gt;"", --($F$21:$F$27 = F233), 1)  ) / ( ( $D$21:$D$27 = D233) * IF($D$19&lt;&gt;"", --($E$21:$E$27 = E233), 1)  * IF($H$19&lt;&gt;"", --($F$21:$F$27 = F233), 1) ) ) * $AF$21:$AF$27,1)    ), "-")</f>
        <v>-</v>
      </c>
      <c r="BB233"/>
      <c r="BE233" s="67"/>
    </row>
    <row r="234" spans="2:57" x14ac:dyDescent="0.25">
      <c r="B234" s="158" t="s">
        <v>464</v>
      </c>
      <c r="C234" s="158"/>
      <c r="D234" s="189" t="s">
        <v>752</v>
      </c>
      <c r="E234" s="160" t="s">
        <v>175</v>
      </c>
      <c r="F234" s="162" t="s">
        <v>687</v>
      </c>
      <c r="G234" s="163" t="s">
        <v>745</v>
      </c>
      <c r="H234" s="163"/>
      <c r="I234" s="158"/>
      <c r="J234" s="158"/>
      <c r="K234" s="167" t="s">
        <v>688</v>
      </c>
      <c r="L234" s="168">
        <v>200</v>
      </c>
      <c r="M234" s="167" t="s">
        <v>900</v>
      </c>
      <c r="N234" s="167"/>
      <c r="O234" s="210"/>
      <c r="P234" s="170"/>
      <c r="Q234" s="169"/>
      <c r="R234" s="158"/>
      <c r="S234" s="157" t="s">
        <v>1045</v>
      </c>
      <c r="T234" s="162"/>
      <c r="U234" s="164"/>
      <c r="V234" s="165">
        <v>300</v>
      </c>
      <c r="W234" s="166">
        <v>1</v>
      </c>
      <c r="X234" s="172"/>
      <c r="Y234" s="174"/>
      <c r="Z234" s="176"/>
      <c r="AA234" s="178">
        <f t="shared" si="24"/>
        <v>300</v>
      </c>
      <c r="AB234" s="180">
        <f t="shared" si="25"/>
        <v>300</v>
      </c>
      <c r="AC234" s="180">
        <f t="shared" si="22"/>
        <v>1.5</v>
      </c>
      <c r="AD234" s="182" t="str">
        <f t="shared" si="21"/>
        <v xml:space="preserve"> - </v>
      </c>
      <c r="AE234" s="184">
        <f t="shared" si="23"/>
        <v>1.5</v>
      </c>
      <c r="AF234" s="186">
        <f t="shared" si="20"/>
        <v>1.5</v>
      </c>
      <c r="AG234" s="188" t="str">
        <f t="array" ref="AG234" xml:space="preserve"> IFERROR( IF( D234="", "-", _xlfn.AGGREGATE(15,6, ( ( ($D$21:$D$27 = D234) * IF($D$19&lt;&gt;"", --($E$21:$E$27 = E234), 1) * IF($H$19&lt;&gt;"", --($F$21:$F$27 = F234), 1)  ) / ( ( $D$21:$D$27 = D234) * IF($D$19&lt;&gt;"", --($E$21:$E$27 = E234), 1)  * IF($H$19&lt;&gt;"", --($F$21:$F$27 = F234), 1) ) ) * $AF$21:$AF$27,1)    ), "-")</f>
        <v>-</v>
      </c>
      <c r="BB234"/>
      <c r="BE234" s="67"/>
    </row>
    <row r="235" spans="2:57" x14ac:dyDescent="0.25">
      <c r="B235" s="158" t="s">
        <v>464</v>
      </c>
      <c r="C235" s="158"/>
      <c r="D235" s="189" t="s">
        <v>752</v>
      </c>
      <c r="E235" s="160" t="s">
        <v>175</v>
      </c>
      <c r="F235" s="162" t="s">
        <v>687</v>
      </c>
      <c r="G235" s="163" t="s">
        <v>745</v>
      </c>
      <c r="H235" s="163"/>
      <c r="I235" s="158"/>
      <c r="J235" s="158"/>
      <c r="K235" s="167" t="s">
        <v>688</v>
      </c>
      <c r="L235" s="168">
        <v>200</v>
      </c>
      <c r="M235" s="167" t="s">
        <v>900</v>
      </c>
      <c r="N235" s="167"/>
      <c r="O235" s="210"/>
      <c r="P235" s="170"/>
      <c r="Q235" s="169"/>
      <c r="R235" s="158"/>
      <c r="S235" s="157" t="s">
        <v>1044</v>
      </c>
      <c r="T235" s="162"/>
      <c r="U235" s="164"/>
      <c r="V235" s="165">
        <v>50</v>
      </c>
      <c r="W235" s="166">
        <v>1</v>
      </c>
      <c r="X235" s="172"/>
      <c r="Y235" s="174"/>
      <c r="Z235" s="176"/>
      <c r="AA235" s="178">
        <f t="shared" si="24"/>
        <v>50</v>
      </c>
      <c r="AB235" s="180">
        <f t="shared" si="25"/>
        <v>50</v>
      </c>
      <c r="AC235" s="180">
        <f t="shared" si="22"/>
        <v>0.25</v>
      </c>
      <c r="AD235" s="182" t="str">
        <f t="shared" si="21"/>
        <v xml:space="preserve"> - </v>
      </c>
      <c r="AE235" s="184">
        <f t="shared" si="23"/>
        <v>0.25</v>
      </c>
      <c r="AF235" s="186">
        <f t="shared" si="20"/>
        <v>0.25</v>
      </c>
      <c r="AG235" s="188" t="str">
        <f t="array" ref="AG235" xml:space="preserve"> IFERROR( IF( D235="", "-", _xlfn.AGGREGATE(15,6, ( ( ($D$21:$D$27 = D235) * IF($D$19&lt;&gt;"", --($E$21:$E$27 = E235), 1) * IF($H$19&lt;&gt;"", --($F$21:$F$27 = F235), 1)  ) / ( ( $D$21:$D$27 = D235) * IF($D$19&lt;&gt;"", --($E$21:$E$27 = E235), 1)  * IF($H$19&lt;&gt;"", --($F$21:$F$27 = F235), 1) ) ) * $AF$21:$AF$27,1)    ), "-")</f>
        <v>-</v>
      </c>
      <c r="BB235"/>
      <c r="BE235" s="67"/>
    </row>
    <row r="236" spans="2:57" ht="15" customHeight="1" x14ac:dyDescent="0.25">
      <c r="B236" s="195" t="s">
        <v>1232</v>
      </c>
      <c r="C236" s="158"/>
      <c r="D236" s="189"/>
      <c r="E236" s="160"/>
      <c r="F236" s="162"/>
      <c r="G236" s="163"/>
      <c r="H236" s="163"/>
      <c r="I236" s="158"/>
      <c r="J236" s="158"/>
      <c r="K236" s="167" t="s">
        <v>74</v>
      </c>
      <c r="L236" s="168">
        <v>100</v>
      </c>
      <c r="M236" s="167" t="s">
        <v>86</v>
      </c>
      <c r="N236" s="167"/>
      <c r="O236" s="210"/>
      <c r="P236" s="170"/>
      <c r="Q236" s="169"/>
      <c r="R236" s="158"/>
      <c r="S236" s="157"/>
      <c r="T236" s="162"/>
      <c r="U236" s="164"/>
      <c r="V236" s="165"/>
      <c r="W236" s="166"/>
      <c r="X236" s="172"/>
      <c r="Y236" s="174"/>
      <c r="Z236" s="176"/>
      <c r="AA236" s="178" t="str">
        <f t="shared" si="24"/>
        <v xml:space="preserve"> - </v>
      </c>
      <c r="AB236" s="180" t="str">
        <f t="shared" si="25"/>
        <v xml:space="preserve"> - </v>
      </c>
      <c r="AC236" s="180" t="e">
        <f t="shared" si="22"/>
        <v>#VALUE!</v>
      </c>
      <c r="AD236" s="182" t="str">
        <f t="shared" si="21"/>
        <v xml:space="preserve"> - </v>
      </c>
      <c r="AE236" s="184">
        <f t="shared" si="23"/>
        <v>0</v>
      </c>
      <c r="AF236" s="186">
        <f t="shared" si="20"/>
        <v>0</v>
      </c>
      <c r="AG236" s="188" t="str">
        <f t="array" ref="AG236" xml:space="preserve"> IFERROR( IF( D236="", "-", _xlfn.AGGREGATE(15,6, ( ( ($D$21:$D$27 = D236) * IF($D$19&lt;&gt;"", --($E$21:$E$27 = E236), 1) * IF($H$19&lt;&gt;"", --($F$21:$F$27 = F236), 1)  ) / ( ( $D$21:$D$27 = D236) * IF($D$19&lt;&gt;"", --($E$21:$E$27 = E236), 1)  * IF($H$19&lt;&gt;"", --($F$21:$F$27 = F236), 1) ) ) * $AF$21:$AF$27,1)    ), "-")</f>
        <v>-</v>
      </c>
      <c r="BB236"/>
      <c r="BE236" s="67"/>
    </row>
    <row r="237" spans="2:57" x14ac:dyDescent="0.25">
      <c r="B237" s="158" t="s">
        <v>465</v>
      </c>
      <c r="C237" s="158"/>
      <c r="D237" s="189" t="s">
        <v>752</v>
      </c>
      <c r="E237" s="160" t="s">
        <v>175</v>
      </c>
      <c r="F237" s="162" t="s">
        <v>687</v>
      </c>
      <c r="G237" s="163" t="s">
        <v>745</v>
      </c>
      <c r="H237" s="163" t="s">
        <v>1047</v>
      </c>
      <c r="I237" s="158"/>
      <c r="J237" s="158"/>
      <c r="K237" s="167" t="s">
        <v>688</v>
      </c>
      <c r="L237" s="168">
        <v>500</v>
      </c>
      <c r="M237" s="167" t="s">
        <v>900</v>
      </c>
      <c r="N237" s="167"/>
      <c r="O237" s="210"/>
      <c r="P237" s="170"/>
      <c r="Q237" s="169"/>
      <c r="R237" s="158"/>
      <c r="S237" s="157"/>
      <c r="T237" s="162"/>
      <c r="U237" s="164"/>
      <c r="V237" s="165"/>
      <c r="W237" s="166">
        <v>1</v>
      </c>
      <c r="X237" s="172"/>
      <c r="Y237" s="174"/>
      <c r="Z237" s="176"/>
      <c r="AA237" s="178" t="str">
        <f t="shared" si="24"/>
        <v xml:space="preserve"> - </v>
      </c>
      <c r="AB237" s="180" t="str">
        <f t="shared" si="25"/>
        <v xml:space="preserve"> - </v>
      </c>
      <c r="AC237" s="180" t="e">
        <f t="shared" si="22"/>
        <v>#VALUE!</v>
      </c>
      <c r="AD237" s="182" t="str">
        <f t="shared" si="21"/>
        <v xml:space="preserve"> - </v>
      </c>
      <c r="AE237" s="184">
        <f t="shared" si="23"/>
        <v>0</v>
      </c>
      <c r="AF237" s="186">
        <f t="shared" si="20"/>
        <v>0</v>
      </c>
      <c r="AG237" s="188" t="str">
        <f t="array" ref="AG237" xml:space="preserve"> IFERROR( IF( D237="", "-", _xlfn.AGGREGATE(15,6, ( ( ($D$21:$D$27 = D237) * IF($D$19&lt;&gt;"", --($E$21:$E$27 = E237), 1) * IF($H$19&lt;&gt;"", --($F$21:$F$27 = F237), 1)  ) / ( ( $D$21:$D$27 = D237) * IF($D$19&lt;&gt;"", --($E$21:$E$27 = E237), 1)  * IF($H$19&lt;&gt;"", --($F$21:$F$27 = F237), 1) ) ) * $AF$21:$AF$27,1)    ), "-")</f>
        <v>-</v>
      </c>
      <c r="BB237"/>
      <c r="BE237" s="67"/>
    </row>
    <row r="238" spans="2:57" x14ac:dyDescent="0.25">
      <c r="B238" s="158" t="s">
        <v>466</v>
      </c>
      <c r="C238" s="158"/>
      <c r="D238" s="189" t="s">
        <v>752</v>
      </c>
      <c r="E238" s="160" t="s">
        <v>175</v>
      </c>
      <c r="F238" s="162" t="s">
        <v>687</v>
      </c>
      <c r="G238" s="163" t="s">
        <v>746</v>
      </c>
      <c r="H238" s="163" t="s">
        <v>1048</v>
      </c>
      <c r="I238" s="158"/>
      <c r="J238" s="158"/>
      <c r="K238" s="167" t="s">
        <v>688</v>
      </c>
      <c r="L238" s="168">
        <v>250</v>
      </c>
      <c r="M238" s="167" t="s">
        <v>900</v>
      </c>
      <c r="N238" s="167"/>
      <c r="O238" s="210"/>
      <c r="P238" s="170"/>
      <c r="Q238" s="169"/>
      <c r="R238" s="158"/>
      <c r="S238" s="157"/>
      <c r="T238" s="162"/>
      <c r="U238" s="164"/>
      <c r="V238" s="165"/>
      <c r="W238" s="166">
        <v>1</v>
      </c>
      <c r="X238" s="172"/>
      <c r="Y238" s="174"/>
      <c r="Z238" s="176"/>
      <c r="AA238" s="178" t="str">
        <f t="shared" si="24"/>
        <v xml:space="preserve"> - </v>
      </c>
      <c r="AB238" s="180" t="str">
        <f t="shared" si="25"/>
        <v xml:space="preserve"> - </v>
      </c>
      <c r="AC238" s="180" t="e">
        <f t="shared" si="22"/>
        <v>#VALUE!</v>
      </c>
      <c r="AD238" s="182" t="str">
        <f t="shared" si="21"/>
        <v xml:space="preserve"> - </v>
      </c>
      <c r="AE238" s="184">
        <f t="shared" si="23"/>
        <v>0</v>
      </c>
      <c r="AF238" s="186">
        <f t="shared" si="20"/>
        <v>0</v>
      </c>
      <c r="AG238" s="188" t="str">
        <f t="array" ref="AG238" xml:space="preserve"> IFERROR( IF( D238="", "-", _xlfn.AGGREGATE(15,6, ( ( ($D$21:$D$27 = D238) * IF($D$19&lt;&gt;"", --($E$21:$E$27 = E238), 1) * IF($H$19&lt;&gt;"", --($F$21:$F$27 = F238), 1)  ) / ( ( $D$21:$D$27 = D238) * IF($D$19&lt;&gt;"", --($E$21:$E$27 = E238), 1)  * IF($H$19&lt;&gt;"", --($F$21:$F$27 = F238), 1) ) ) * $AF$21:$AF$27,1)    ), "-")</f>
        <v>-</v>
      </c>
      <c r="BB238"/>
      <c r="BE238" s="67"/>
    </row>
    <row r="239" spans="2:57" x14ac:dyDescent="0.25">
      <c r="B239" s="158" t="s">
        <v>467</v>
      </c>
      <c r="C239" s="158"/>
      <c r="D239" s="189" t="s">
        <v>752</v>
      </c>
      <c r="E239" s="160" t="s">
        <v>175</v>
      </c>
      <c r="F239" s="162" t="s">
        <v>687</v>
      </c>
      <c r="G239" s="163" t="s">
        <v>746</v>
      </c>
      <c r="H239" s="163"/>
      <c r="I239" s="158"/>
      <c r="J239" s="158"/>
      <c r="K239" s="167" t="s">
        <v>688</v>
      </c>
      <c r="L239" s="168">
        <v>500</v>
      </c>
      <c r="M239" s="167" t="s">
        <v>900</v>
      </c>
      <c r="N239" s="167"/>
      <c r="O239" s="210"/>
      <c r="P239" s="170"/>
      <c r="Q239" s="169"/>
      <c r="R239" s="158"/>
      <c r="S239" s="158"/>
      <c r="T239" s="162"/>
      <c r="U239" s="164"/>
      <c r="V239" s="165"/>
      <c r="W239" s="166">
        <v>1</v>
      </c>
      <c r="X239" s="172"/>
      <c r="Y239" s="174"/>
      <c r="Z239" s="176"/>
      <c r="AA239" s="178" t="str">
        <f t="shared" si="24"/>
        <v xml:space="preserve"> - </v>
      </c>
      <c r="AB239" s="180" t="str">
        <f t="shared" si="25"/>
        <v xml:space="preserve"> - </v>
      </c>
      <c r="AC239" s="180" t="e">
        <f t="shared" si="22"/>
        <v>#VALUE!</v>
      </c>
      <c r="AD239" s="182" t="str">
        <f t="shared" si="21"/>
        <v xml:space="preserve"> - </v>
      </c>
      <c r="AE239" s="184">
        <f t="shared" si="23"/>
        <v>0</v>
      </c>
      <c r="AF239" s="186">
        <f t="shared" si="20"/>
        <v>0</v>
      </c>
      <c r="AG239" s="188" t="str">
        <f t="array" ref="AG239" xml:space="preserve"> IFERROR( IF( D239="", "-", _xlfn.AGGREGATE(15,6, ( ( ($D$21:$D$27 = D239) * IF($D$19&lt;&gt;"", --($E$21:$E$27 = E239), 1) * IF($H$19&lt;&gt;"", --($F$21:$F$27 = F239), 1)  ) / ( ( $D$21:$D$27 = D239) * IF($D$19&lt;&gt;"", --($E$21:$E$27 = E239), 1)  * IF($H$19&lt;&gt;"", --($F$21:$F$27 = F239), 1) ) ) * $AF$21:$AF$27,1)    ), "-")</f>
        <v>-</v>
      </c>
      <c r="BB239"/>
      <c r="BE239" s="67"/>
    </row>
    <row r="240" spans="2:57" x14ac:dyDescent="0.25">
      <c r="B240" s="158" t="s">
        <v>468</v>
      </c>
      <c r="C240" s="158"/>
      <c r="D240" s="189" t="s">
        <v>752</v>
      </c>
      <c r="E240" s="160" t="s">
        <v>175</v>
      </c>
      <c r="F240" s="162" t="s">
        <v>845</v>
      </c>
      <c r="G240" s="163" t="s">
        <v>745</v>
      </c>
      <c r="H240" s="163"/>
      <c r="I240" s="158"/>
      <c r="J240" s="158"/>
      <c r="K240" s="167" t="s">
        <v>688</v>
      </c>
      <c r="L240" s="168">
        <v>500</v>
      </c>
      <c r="M240" s="167" t="s">
        <v>900</v>
      </c>
      <c r="N240" s="167"/>
      <c r="O240" s="210"/>
      <c r="P240" s="170"/>
      <c r="Q240" s="169"/>
      <c r="R240" s="158"/>
      <c r="S240" s="158"/>
      <c r="T240" s="162"/>
      <c r="U240" s="164"/>
      <c r="V240" s="165"/>
      <c r="W240" s="166">
        <v>1</v>
      </c>
      <c r="X240" s="172"/>
      <c r="Y240" s="174"/>
      <c r="Z240" s="176"/>
      <c r="AA240" s="178" t="str">
        <f t="shared" si="24"/>
        <v xml:space="preserve"> - </v>
      </c>
      <c r="AB240" s="180" t="str">
        <f t="shared" si="25"/>
        <v xml:space="preserve"> - </v>
      </c>
      <c r="AC240" s="180" t="e">
        <f t="shared" si="22"/>
        <v>#VALUE!</v>
      </c>
      <c r="AD240" s="182" t="str">
        <f t="shared" si="21"/>
        <v xml:space="preserve"> - </v>
      </c>
      <c r="AE240" s="184">
        <f t="shared" si="23"/>
        <v>0</v>
      </c>
      <c r="AF240" s="186">
        <f t="shared" si="20"/>
        <v>0</v>
      </c>
      <c r="AG240" s="188" t="str">
        <f t="array" ref="AG240" xml:space="preserve"> IFERROR( IF( D240="", "-", _xlfn.AGGREGATE(15,6, ( ( ($D$21:$D$27 = D240) * IF($D$19&lt;&gt;"", --($E$21:$E$27 = E240), 1) * IF($H$19&lt;&gt;"", --($F$21:$F$27 = F240), 1)  ) / ( ( $D$21:$D$27 = D240) * IF($D$19&lt;&gt;"", --($E$21:$E$27 = E240), 1)  * IF($H$19&lt;&gt;"", --($F$21:$F$27 = F240), 1) ) ) * $AF$21:$AF$27,1)    ), "-")</f>
        <v>-</v>
      </c>
      <c r="BB240"/>
      <c r="BE240" s="67"/>
    </row>
    <row r="241" spans="2:57" x14ac:dyDescent="0.25">
      <c r="B241" s="158" t="s">
        <v>469</v>
      </c>
      <c r="C241" s="158"/>
      <c r="D241" s="189" t="s">
        <v>752</v>
      </c>
      <c r="E241" s="160" t="s">
        <v>175</v>
      </c>
      <c r="F241" s="162" t="s">
        <v>845</v>
      </c>
      <c r="G241" s="163" t="s">
        <v>745</v>
      </c>
      <c r="H241" s="163"/>
      <c r="I241" s="158"/>
      <c r="J241" s="158"/>
      <c r="K241" s="167" t="s">
        <v>688</v>
      </c>
      <c r="L241" s="168">
        <v>250</v>
      </c>
      <c r="M241" s="167" t="s">
        <v>900</v>
      </c>
      <c r="N241" s="167"/>
      <c r="O241" s="210"/>
      <c r="P241" s="170"/>
      <c r="Q241" s="169"/>
      <c r="R241" s="158"/>
      <c r="S241" s="158"/>
      <c r="T241" s="162"/>
      <c r="U241" s="164"/>
      <c r="V241" s="165"/>
      <c r="W241" s="166">
        <v>1</v>
      </c>
      <c r="X241" s="172"/>
      <c r="Y241" s="174"/>
      <c r="Z241" s="176"/>
      <c r="AA241" s="178" t="str">
        <f t="shared" si="24"/>
        <v xml:space="preserve"> - </v>
      </c>
      <c r="AB241" s="180" t="str">
        <f t="shared" si="25"/>
        <v xml:space="preserve"> - </v>
      </c>
      <c r="AC241" s="180" t="e">
        <f t="shared" si="22"/>
        <v>#VALUE!</v>
      </c>
      <c r="AD241" s="182" t="str">
        <f t="shared" si="21"/>
        <v xml:space="preserve"> - </v>
      </c>
      <c r="AE241" s="184">
        <f t="shared" si="23"/>
        <v>0</v>
      </c>
      <c r="AF241" s="186">
        <f t="shared" si="20"/>
        <v>0</v>
      </c>
      <c r="AG241" s="188" t="str">
        <f t="array" ref="AG241" xml:space="preserve"> IFERROR( IF( D241="", "-", _xlfn.AGGREGATE(15,6, ( ( ($D$21:$D$27 = D241) * IF($D$19&lt;&gt;"", --($E$21:$E$27 = E241), 1) * IF($H$19&lt;&gt;"", --($F$21:$F$27 = F241), 1)  ) / ( ( $D$21:$D$27 = D241) * IF($D$19&lt;&gt;"", --($E$21:$E$27 = E241), 1)  * IF($H$19&lt;&gt;"", --($F$21:$F$27 = F241), 1) ) ) * $AF$21:$AF$27,1)    ), "-")</f>
        <v>-</v>
      </c>
      <c r="BB241"/>
      <c r="BE241" s="67"/>
    </row>
    <row r="242" spans="2:57" x14ac:dyDescent="0.25">
      <c r="B242" s="158" t="s">
        <v>470</v>
      </c>
      <c r="C242" s="158"/>
      <c r="D242" s="162" t="s">
        <v>752</v>
      </c>
      <c r="E242" s="160" t="s">
        <v>175</v>
      </c>
      <c r="F242" s="162" t="s">
        <v>845</v>
      </c>
      <c r="G242" s="163" t="s">
        <v>746</v>
      </c>
      <c r="H242" s="163"/>
      <c r="I242" s="158"/>
      <c r="J242" s="158"/>
      <c r="K242" s="167" t="s">
        <v>688</v>
      </c>
      <c r="L242" s="168">
        <v>250</v>
      </c>
      <c r="M242" s="167" t="s">
        <v>900</v>
      </c>
      <c r="N242" s="167"/>
      <c r="O242" s="210"/>
      <c r="P242" s="170"/>
      <c r="Q242" s="169"/>
      <c r="R242" s="158"/>
      <c r="S242" s="158"/>
      <c r="T242" s="162"/>
      <c r="U242" s="164"/>
      <c r="V242" s="165"/>
      <c r="W242" s="166">
        <v>1</v>
      </c>
      <c r="X242" s="172"/>
      <c r="Y242" s="174"/>
      <c r="Z242" s="176"/>
      <c r="AA242" s="178" t="str">
        <f t="shared" si="24"/>
        <v xml:space="preserve"> - </v>
      </c>
      <c r="AB242" s="180" t="str">
        <f t="shared" si="25"/>
        <v xml:space="preserve"> - </v>
      </c>
      <c r="AC242" s="180" t="e">
        <f t="shared" si="22"/>
        <v>#VALUE!</v>
      </c>
      <c r="AD242" s="182" t="str">
        <f t="shared" si="21"/>
        <v xml:space="preserve"> - </v>
      </c>
      <c r="AE242" s="184">
        <f t="shared" si="23"/>
        <v>0</v>
      </c>
      <c r="AF242" s="186">
        <f t="shared" si="20"/>
        <v>0</v>
      </c>
      <c r="AG242" s="188" t="str">
        <f t="array" ref="AG242" xml:space="preserve"> IFERROR( IF( D242="", "-", _xlfn.AGGREGATE(15,6, ( ( ($D$21:$D$27 = D242) * IF($D$19&lt;&gt;"", --($E$21:$E$27 = E242), 1) * IF($H$19&lt;&gt;"", --($F$21:$F$27 = F242), 1)  ) / ( ( $D$21:$D$27 = D242) * IF($D$19&lt;&gt;"", --($E$21:$E$27 = E242), 1)  * IF($H$19&lt;&gt;"", --($F$21:$F$27 = F242), 1) ) ) * $AF$21:$AF$27,1)    ), "-")</f>
        <v>-</v>
      </c>
      <c r="BB242"/>
      <c r="BE242" s="67"/>
    </row>
    <row r="243" spans="2:57" x14ac:dyDescent="0.25">
      <c r="B243" s="158" t="s">
        <v>471</v>
      </c>
      <c r="C243" s="158"/>
      <c r="D243" s="162" t="s">
        <v>752</v>
      </c>
      <c r="E243" s="160" t="s">
        <v>175</v>
      </c>
      <c r="F243" s="162" t="s">
        <v>928</v>
      </c>
      <c r="G243" s="163"/>
      <c r="H243" s="163"/>
      <c r="I243" s="158"/>
      <c r="J243" s="158"/>
      <c r="K243" s="167" t="s">
        <v>688</v>
      </c>
      <c r="L243" s="168">
        <v>250</v>
      </c>
      <c r="M243" s="167" t="s">
        <v>900</v>
      </c>
      <c r="N243" s="167"/>
      <c r="O243" s="210"/>
      <c r="P243" s="170"/>
      <c r="Q243" s="169"/>
      <c r="R243" s="158"/>
      <c r="S243" s="158"/>
      <c r="T243" s="162"/>
      <c r="U243" s="164"/>
      <c r="V243" s="165"/>
      <c r="W243" s="166">
        <v>1</v>
      </c>
      <c r="X243" s="172"/>
      <c r="Y243" s="174"/>
      <c r="Z243" s="176"/>
      <c r="AA243" s="178" t="str">
        <f t="shared" si="24"/>
        <v xml:space="preserve"> - </v>
      </c>
      <c r="AB243" s="180" t="str">
        <f t="shared" si="25"/>
        <v xml:space="preserve"> - </v>
      </c>
      <c r="AC243" s="180" t="e">
        <f t="shared" si="22"/>
        <v>#VALUE!</v>
      </c>
      <c r="AD243" s="182" t="str">
        <f t="shared" si="21"/>
        <v xml:space="preserve"> - </v>
      </c>
      <c r="AE243" s="184">
        <f t="shared" si="23"/>
        <v>0</v>
      </c>
      <c r="AF243" s="186">
        <f t="shared" si="20"/>
        <v>0</v>
      </c>
      <c r="AG243" s="188" t="str">
        <f t="array" ref="AG243" xml:space="preserve"> IFERROR( IF( D243="", "-", _xlfn.AGGREGATE(15,6, ( ( ($D$21:$D$27 = D243) * IF($D$19&lt;&gt;"", --($E$21:$E$27 = E243), 1) * IF($H$19&lt;&gt;"", --($F$21:$F$27 = F243), 1)  ) / ( ( $D$21:$D$27 = D243) * IF($D$19&lt;&gt;"", --($E$21:$E$27 = E243), 1)  * IF($H$19&lt;&gt;"", --($F$21:$F$27 = F243), 1) ) ) * $AF$21:$AF$27,1)    ), "-")</f>
        <v>-</v>
      </c>
      <c r="BB243"/>
      <c r="BE243" s="67"/>
    </row>
    <row r="244" spans="2:57" x14ac:dyDescent="0.25">
      <c r="B244" s="158" t="s">
        <v>472</v>
      </c>
      <c r="C244" s="158"/>
      <c r="D244" s="162" t="s">
        <v>752</v>
      </c>
      <c r="E244" s="160" t="s">
        <v>175</v>
      </c>
      <c r="F244" s="162" t="s">
        <v>929</v>
      </c>
      <c r="G244" s="163"/>
      <c r="H244" s="163"/>
      <c r="I244" s="158"/>
      <c r="J244" s="158"/>
      <c r="K244" s="167" t="s">
        <v>688</v>
      </c>
      <c r="L244" s="168">
        <v>250</v>
      </c>
      <c r="M244" s="167" t="s">
        <v>900</v>
      </c>
      <c r="N244" s="167"/>
      <c r="O244" s="210"/>
      <c r="P244" s="170"/>
      <c r="Q244" s="169"/>
      <c r="R244" s="158"/>
      <c r="S244" s="158"/>
      <c r="T244" s="162"/>
      <c r="U244" s="164"/>
      <c r="V244" s="165"/>
      <c r="W244" s="166">
        <v>1</v>
      </c>
      <c r="X244" s="172"/>
      <c r="Y244" s="174"/>
      <c r="Z244" s="176"/>
      <c r="AA244" s="178" t="str">
        <f t="shared" si="24"/>
        <v xml:space="preserve"> - </v>
      </c>
      <c r="AB244" s="180" t="str">
        <f t="shared" si="25"/>
        <v xml:space="preserve"> - </v>
      </c>
      <c r="AC244" s="180" t="e">
        <f t="shared" si="22"/>
        <v>#VALUE!</v>
      </c>
      <c r="AD244" s="182" t="str">
        <f t="shared" si="21"/>
        <v xml:space="preserve"> - </v>
      </c>
      <c r="AE244" s="184">
        <f t="shared" si="23"/>
        <v>0</v>
      </c>
      <c r="AF244" s="186">
        <f t="shared" si="20"/>
        <v>0</v>
      </c>
      <c r="AG244" s="188" t="str">
        <f t="array" ref="AG244" xml:space="preserve"> IFERROR( IF( D244="", "-", _xlfn.AGGREGATE(15,6, ( ( ($D$21:$D$27 = D244) * IF($D$19&lt;&gt;"", --($E$21:$E$27 = E244), 1) * IF($H$19&lt;&gt;"", --($F$21:$F$27 = F244), 1)  ) / ( ( $D$21:$D$27 = D244) * IF($D$19&lt;&gt;"", --($E$21:$E$27 = E244), 1)  * IF($H$19&lt;&gt;"", --($F$21:$F$27 = F244), 1) ) ) * $AF$21:$AF$27,1)    ), "-")</f>
        <v>-</v>
      </c>
      <c r="BB244"/>
      <c r="BE244" s="67"/>
    </row>
    <row r="245" spans="2:57" x14ac:dyDescent="0.25">
      <c r="B245" s="158" t="s">
        <v>473</v>
      </c>
      <c r="C245" s="158"/>
      <c r="D245" s="162" t="s">
        <v>752</v>
      </c>
      <c r="E245" s="160" t="s">
        <v>175</v>
      </c>
      <c r="F245" s="162" t="s">
        <v>930</v>
      </c>
      <c r="G245" s="163" t="s">
        <v>745</v>
      </c>
      <c r="H245" s="163"/>
      <c r="I245" s="158"/>
      <c r="J245" s="158"/>
      <c r="K245" s="167" t="s">
        <v>688</v>
      </c>
      <c r="L245" s="168">
        <v>250</v>
      </c>
      <c r="M245" s="167" t="s">
        <v>900</v>
      </c>
      <c r="N245" s="167"/>
      <c r="O245" s="210"/>
      <c r="P245" s="170"/>
      <c r="Q245" s="169"/>
      <c r="R245" s="158"/>
      <c r="S245" s="158"/>
      <c r="T245" s="162"/>
      <c r="U245" s="164"/>
      <c r="V245" s="165"/>
      <c r="W245" s="166">
        <v>1</v>
      </c>
      <c r="X245" s="172"/>
      <c r="Y245" s="174"/>
      <c r="Z245" s="176"/>
      <c r="AA245" s="178" t="str">
        <f t="shared" si="24"/>
        <v xml:space="preserve"> - </v>
      </c>
      <c r="AB245" s="180" t="str">
        <f t="shared" si="25"/>
        <v xml:space="preserve"> - </v>
      </c>
      <c r="AC245" s="180" t="e">
        <f t="shared" si="22"/>
        <v>#VALUE!</v>
      </c>
      <c r="AD245" s="182" t="str">
        <f t="shared" si="21"/>
        <v xml:space="preserve"> - </v>
      </c>
      <c r="AE245" s="184">
        <f t="shared" si="23"/>
        <v>0</v>
      </c>
      <c r="AF245" s="186">
        <f t="shared" si="20"/>
        <v>0</v>
      </c>
      <c r="AG245" s="188" t="str">
        <f t="array" ref="AG245" xml:space="preserve"> IFERROR( IF( D245="", "-", _xlfn.AGGREGATE(15,6, ( ( ($D$21:$D$27 = D245) * IF($D$19&lt;&gt;"", --($E$21:$E$27 = E245), 1) * IF($H$19&lt;&gt;"", --($F$21:$F$27 = F245), 1)  ) / ( ( $D$21:$D$27 = D245) * IF($D$19&lt;&gt;"", --($E$21:$E$27 = E245), 1)  * IF($H$19&lt;&gt;"", --($F$21:$F$27 = F245), 1) ) ) * $AF$21:$AF$27,1)    ), "-")</f>
        <v>-</v>
      </c>
      <c r="BB245"/>
      <c r="BE245" s="67"/>
    </row>
    <row r="246" spans="2:57" x14ac:dyDescent="0.25">
      <c r="B246" s="158" t="s">
        <v>474</v>
      </c>
      <c r="C246" s="158"/>
      <c r="D246" s="162" t="s">
        <v>752</v>
      </c>
      <c r="E246" s="160" t="s">
        <v>175</v>
      </c>
      <c r="F246" s="162" t="s">
        <v>931</v>
      </c>
      <c r="G246" s="163" t="s">
        <v>745</v>
      </c>
      <c r="H246" s="163"/>
      <c r="I246" s="158"/>
      <c r="J246" s="158"/>
      <c r="K246" s="167" t="s">
        <v>688</v>
      </c>
      <c r="L246" s="168">
        <v>100</v>
      </c>
      <c r="M246" s="167" t="s">
        <v>900</v>
      </c>
      <c r="N246" s="167"/>
      <c r="O246" s="210"/>
      <c r="P246" s="170"/>
      <c r="Q246" s="169"/>
      <c r="R246" s="158"/>
      <c r="S246" s="158"/>
      <c r="T246" s="162"/>
      <c r="U246" s="164"/>
      <c r="V246" s="165"/>
      <c r="W246" s="166">
        <v>1</v>
      </c>
      <c r="X246" s="172"/>
      <c r="Y246" s="174"/>
      <c r="Z246" s="176"/>
      <c r="AA246" s="178" t="str">
        <f t="shared" si="24"/>
        <v xml:space="preserve"> - </v>
      </c>
      <c r="AB246" s="180" t="str">
        <f t="shared" si="25"/>
        <v xml:space="preserve"> - </v>
      </c>
      <c r="AC246" s="180" t="e">
        <f t="shared" si="22"/>
        <v>#VALUE!</v>
      </c>
      <c r="AD246" s="182" t="str">
        <f t="shared" si="21"/>
        <v xml:space="preserve"> - </v>
      </c>
      <c r="AE246" s="184">
        <f t="shared" si="23"/>
        <v>0</v>
      </c>
      <c r="AF246" s="186">
        <f t="shared" si="20"/>
        <v>0</v>
      </c>
      <c r="AG246" s="188" t="str">
        <f t="array" ref="AG246" xml:space="preserve"> IFERROR( IF( D246="", "-", _xlfn.AGGREGATE(15,6, ( ( ($D$21:$D$27 = D246) * IF($D$19&lt;&gt;"", --($E$21:$E$27 = E246), 1) * IF($H$19&lt;&gt;"", --($F$21:$F$27 = F246), 1)  ) / ( ( $D$21:$D$27 = D246) * IF($D$19&lt;&gt;"", --($E$21:$E$27 = E246), 1)  * IF($H$19&lt;&gt;"", --($F$21:$F$27 = F246), 1) ) ) * $AF$21:$AF$27,1)    ), "-")</f>
        <v>-</v>
      </c>
      <c r="BB246"/>
      <c r="BE246" s="67"/>
    </row>
    <row r="247" spans="2:57" x14ac:dyDescent="0.25">
      <c r="B247" s="158" t="s">
        <v>475</v>
      </c>
      <c r="C247" s="158"/>
      <c r="D247" s="162" t="s">
        <v>752</v>
      </c>
      <c r="E247" s="160" t="s">
        <v>175</v>
      </c>
      <c r="F247" s="162" t="s">
        <v>931</v>
      </c>
      <c r="G247" s="163" t="s">
        <v>745</v>
      </c>
      <c r="H247" s="163"/>
      <c r="I247" s="158"/>
      <c r="J247" s="158"/>
      <c r="K247" s="167" t="s">
        <v>688</v>
      </c>
      <c r="L247" s="168">
        <v>150</v>
      </c>
      <c r="M247" s="167" t="s">
        <v>900</v>
      </c>
      <c r="N247" s="167"/>
      <c r="O247" s="210"/>
      <c r="P247" s="170"/>
      <c r="Q247" s="169"/>
      <c r="R247" s="158"/>
      <c r="S247" s="158"/>
      <c r="T247" s="162"/>
      <c r="U247" s="164"/>
      <c r="V247" s="165"/>
      <c r="W247" s="166">
        <v>1</v>
      </c>
      <c r="X247" s="172"/>
      <c r="Y247" s="174"/>
      <c r="Z247" s="176"/>
      <c r="AA247" s="178" t="str">
        <f t="shared" si="24"/>
        <v xml:space="preserve"> - </v>
      </c>
      <c r="AB247" s="180" t="str">
        <f t="shared" si="25"/>
        <v xml:space="preserve"> - </v>
      </c>
      <c r="AC247" s="180" t="e">
        <f t="shared" si="22"/>
        <v>#VALUE!</v>
      </c>
      <c r="AD247" s="182" t="str">
        <f t="shared" si="21"/>
        <v xml:space="preserve"> - </v>
      </c>
      <c r="AE247" s="184">
        <f t="shared" si="23"/>
        <v>0</v>
      </c>
      <c r="AF247" s="186">
        <f t="shared" si="20"/>
        <v>0</v>
      </c>
      <c r="AG247" s="188" t="str">
        <f t="array" ref="AG247" xml:space="preserve"> IFERROR( IF( D247="", "-", _xlfn.AGGREGATE(15,6, ( ( ($D$21:$D$27 = D247) * IF($D$19&lt;&gt;"", --($E$21:$E$27 = E247), 1) * IF($H$19&lt;&gt;"", --($F$21:$F$27 = F247), 1)  ) / ( ( $D$21:$D$27 = D247) * IF($D$19&lt;&gt;"", --($E$21:$E$27 = E247), 1)  * IF($H$19&lt;&gt;"", --($F$21:$F$27 = F247), 1) ) ) * $AF$21:$AF$27,1)    ), "-")</f>
        <v>-</v>
      </c>
      <c r="BB247"/>
      <c r="BE247" s="67"/>
    </row>
    <row r="248" spans="2:57" x14ac:dyDescent="0.25">
      <c r="B248" s="158" t="s">
        <v>476</v>
      </c>
      <c r="C248" s="158"/>
      <c r="D248" s="162" t="s">
        <v>752</v>
      </c>
      <c r="E248" s="193" t="s">
        <v>932</v>
      </c>
      <c r="F248" s="162"/>
      <c r="G248" s="163"/>
      <c r="H248" s="163"/>
      <c r="I248" s="158"/>
      <c r="J248" s="158"/>
      <c r="K248" s="167"/>
      <c r="L248" s="168"/>
      <c r="M248" s="167"/>
      <c r="N248" s="167"/>
      <c r="O248" s="210"/>
      <c r="P248" s="170"/>
      <c r="Q248" s="169"/>
      <c r="R248" s="158"/>
      <c r="S248" s="158"/>
      <c r="T248" s="162"/>
      <c r="U248" s="164"/>
      <c r="V248" s="165"/>
      <c r="W248" s="166"/>
      <c r="X248" s="172"/>
      <c r="Y248" s="174"/>
      <c r="Z248" s="176"/>
      <c r="AA248" s="178" t="str">
        <f t="shared" si="24"/>
        <v xml:space="preserve"> - </v>
      </c>
      <c r="AB248" s="180" t="str">
        <f t="shared" si="25"/>
        <v xml:space="preserve"> - </v>
      </c>
      <c r="AC248" s="180" t="str">
        <f t="shared" si="22"/>
        <v xml:space="preserve"> - </v>
      </c>
      <c r="AD248" s="182" t="str">
        <f t="shared" si="21"/>
        <v xml:space="preserve"> - </v>
      </c>
      <c r="AE248" s="184">
        <f t="shared" si="23"/>
        <v>0</v>
      </c>
      <c r="AF248" s="186">
        <f t="shared" si="20"/>
        <v>0</v>
      </c>
      <c r="AG248" s="188" t="str">
        <f t="array" ref="AG248" xml:space="preserve"> IFERROR( IF( D248="", "-", _xlfn.AGGREGATE(15,6, ( ( ($D$21:$D$27 = D248) * IF($D$19&lt;&gt;"", --($E$21:$E$27 = E248), 1) * IF($H$19&lt;&gt;"", --($F$21:$F$27 = F248), 1)  ) / ( ( $D$21:$D$27 = D248) * IF($D$19&lt;&gt;"", --($E$21:$E$27 = E248), 1)  * IF($H$19&lt;&gt;"", --($F$21:$F$27 = F248), 1) ) ) * $AF$21:$AF$27,1)    ), "-")</f>
        <v>-</v>
      </c>
      <c r="BB248"/>
      <c r="BE248" s="67"/>
    </row>
    <row r="249" spans="2:57" x14ac:dyDescent="0.25">
      <c r="B249" s="158" t="s">
        <v>477</v>
      </c>
      <c r="C249" s="158"/>
      <c r="D249" s="162" t="s">
        <v>752</v>
      </c>
      <c r="E249" s="160" t="s">
        <v>933</v>
      </c>
      <c r="F249" s="162"/>
      <c r="G249" s="163"/>
      <c r="H249" s="163"/>
      <c r="I249" s="158"/>
      <c r="J249" s="158"/>
      <c r="K249" s="167"/>
      <c r="L249" s="168"/>
      <c r="M249" s="167"/>
      <c r="N249" s="167"/>
      <c r="O249" s="210"/>
      <c r="P249" s="170"/>
      <c r="Q249" s="169"/>
      <c r="R249" s="158"/>
      <c r="S249" s="158"/>
      <c r="T249" s="162"/>
      <c r="U249" s="164"/>
      <c r="V249" s="165"/>
      <c r="W249" s="166"/>
      <c r="X249" s="172"/>
      <c r="Y249" s="174"/>
      <c r="Z249" s="176"/>
      <c r="AA249" s="178" t="str">
        <f t="shared" si="24"/>
        <v xml:space="preserve"> - </v>
      </c>
      <c r="AB249" s="180" t="str">
        <f t="shared" si="25"/>
        <v xml:space="preserve"> - </v>
      </c>
      <c r="AC249" s="180" t="str">
        <f t="shared" si="22"/>
        <v xml:space="preserve"> - </v>
      </c>
      <c r="AD249" s="182" t="str">
        <f t="shared" si="21"/>
        <v xml:space="preserve"> - </v>
      </c>
      <c r="AE249" s="184">
        <f t="shared" si="23"/>
        <v>0</v>
      </c>
      <c r="AF249" s="186">
        <f t="shared" si="20"/>
        <v>0</v>
      </c>
      <c r="AG249" s="188" t="str">
        <f t="array" ref="AG249" xml:space="preserve"> IFERROR( IF( D249="", "-", _xlfn.AGGREGATE(15,6, ( ( ($D$21:$D$27 = D249) * IF($D$19&lt;&gt;"", --($E$21:$E$27 = E249), 1) * IF($H$19&lt;&gt;"", --($F$21:$F$27 = F249), 1)  ) / ( ( $D$21:$D$27 = D249) * IF($D$19&lt;&gt;"", --($E$21:$E$27 = E249), 1)  * IF($H$19&lt;&gt;"", --($F$21:$F$27 = F249), 1) ) ) * $AF$21:$AF$27,1)    ), "-")</f>
        <v>-</v>
      </c>
      <c r="BB249"/>
      <c r="BE249" s="67"/>
    </row>
    <row r="250" spans="2:57" x14ac:dyDescent="0.25">
      <c r="B250" s="158" t="s">
        <v>478</v>
      </c>
      <c r="C250" s="158"/>
      <c r="D250" s="189" t="s">
        <v>686</v>
      </c>
      <c r="E250" s="193" t="s">
        <v>934</v>
      </c>
      <c r="F250" s="162" t="s">
        <v>929</v>
      </c>
      <c r="G250" s="189" t="s">
        <v>1046</v>
      </c>
      <c r="H250" s="163"/>
      <c r="I250" s="158"/>
      <c r="J250" s="158"/>
      <c r="K250" s="167" t="s">
        <v>688</v>
      </c>
      <c r="L250" s="168">
        <v>50</v>
      </c>
      <c r="M250" s="167" t="s">
        <v>900</v>
      </c>
      <c r="N250" s="167"/>
      <c r="O250" s="210"/>
      <c r="P250" s="170"/>
      <c r="Q250" s="169"/>
      <c r="R250" s="158"/>
      <c r="S250" s="158"/>
      <c r="T250" s="162"/>
      <c r="U250" s="164"/>
      <c r="V250" s="165"/>
      <c r="W250" s="166">
        <v>1</v>
      </c>
      <c r="X250" s="172"/>
      <c r="Y250" s="174"/>
      <c r="Z250" s="176"/>
      <c r="AA250" s="178" t="str">
        <f t="shared" si="24"/>
        <v xml:space="preserve"> - </v>
      </c>
      <c r="AB250" s="180" t="str">
        <f t="shared" si="25"/>
        <v xml:space="preserve"> - </v>
      </c>
      <c r="AC250" s="180" t="e">
        <f t="shared" si="22"/>
        <v>#VALUE!</v>
      </c>
      <c r="AD250" s="182" t="str">
        <f t="shared" si="21"/>
        <v xml:space="preserve"> - </v>
      </c>
      <c r="AE250" s="184">
        <f t="shared" si="23"/>
        <v>0</v>
      </c>
      <c r="AF250" s="186">
        <f t="shared" si="20"/>
        <v>0</v>
      </c>
      <c r="AG250" s="188" t="str">
        <f t="array" ref="AG250" xml:space="preserve"> IFERROR( IF( D250="", "-", _xlfn.AGGREGATE(15,6, ( ( ($D$21:$D$27 = D250) * IF($D$19&lt;&gt;"", --($E$21:$E$27 = E250), 1) * IF($H$19&lt;&gt;"", --($F$21:$F$27 = F250), 1)  ) / ( ( $D$21:$D$27 = D250) * IF($D$19&lt;&gt;"", --($E$21:$E$27 = E250), 1)  * IF($H$19&lt;&gt;"", --($F$21:$F$27 = F250), 1) ) ) * $AF$21:$AF$27,1)    ), "-")</f>
        <v>-</v>
      </c>
      <c r="BB250"/>
      <c r="BE250" s="67"/>
    </row>
    <row r="251" spans="2:57" x14ac:dyDescent="0.25">
      <c r="B251" s="158" t="s">
        <v>479</v>
      </c>
      <c r="C251" s="158"/>
      <c r="D251" s="189" t="s">
        <v>752</v>
      </c>
      <c r="E251" s="193" t="s">
        <v>935</v>
      </c>
      <c r="F251" s="189" t="s">
        <v>930</v>
      </c>
      <c r="G251" s="163"/>
      <c r="H251" s="163"/>
      <c r="I251" s="158"/>
      <c r="J251" s="158"/>
      <c r="K251" s="167"/>
      <c r="L251" s="168"/>
      <c r="M251" s="167"/>
      <c r="N251" s="167"/>
      <c r="O251" s="210"/>
      <c r="P251" s="170"/>
      <c r="Q251" s="169"/>
      <c r="R251" s="158"/>
      <c r="S251" s="158"/>
      <c r="T251" s="162"/>
      <c r="U251" s="164"/>
      <c r="V251" s="165"/>
      <c r="W251" s="166"/>
      <c r="X251" s="172"/>
      <c r="Y251" s="174"/>
      <c r="Z251" s="176"/>
      <c r="AA251" s="178" t="str">
        <f t="shared" si="24"/>
        <v xml:space="preserve"> - </v>
      </c>
      <c r="AB251" s="180" t="str">
        <f t="shared" si="25"/>
        <v xml:space="preserve"> - </v>
      </c>
      <c r="AC251" s="180" t="str">
        <f t="shared" si="22"/>
        <v xml:space="preserve"> - </v>
      </c>
      <c r="AD251" s="182" t="str">
        <f t="shared" si="21"/>
        <v xml:space="preserve"> - </v>
      </c>
      <c r="AE251" s="184">
        <f t="shared" si="23"/>
        <v>0</v>
      </c>
      <c r="AF251" s="186">
        <f t="shared" si="20"/>
        <v>0</v>
      </c>
      <c r="AG251" s="188" t="str">
        <f t="array" ref="AG251" xml:space="preserve"> IFERROR( IF( D251="", "-", _xlfn.AGGREGATE(15,6, ( ( ($D$21:$D$27 = D251) * IF($D$19&lt;&gt;"", --($E$21:$E$27 = E251), 1) * IF($H$19&lt;&gt;"", --($F$21:$F$27 = F251), 1)  ) / ( ( $D$21:$D$27 = D251) * IF($D$19&lt;&gt;"", --($E$21:$E$27 = E251), 1)  * IF($H$19&lt;&gt;"", --($F$21:$F$27 = F251), 1) ) ) * $AF$21:$AF$27,1)    ), "-")</f>
        <v>-</v>
      </c>
      <c r="BB251"/>
      <c r="BE251" s="67"/>
    </row>
    <row r="252" spans="2:57" x14ac:dyDescent="0.25">
      <c r="B252" s="158" t="s">
        <v>480</v>
      </c>
      <c r="C252" s="158"/>
      <c r="D252" s="189" t="s">
        <v>752</v>
      </c>
      <c r="E252" s="193" t="s">
        <v>936</v>
      </c>
      <c r="F252" s="189" t="s">
        <v>931</v>
      </c>
      <c r="G252" s="163"/>
      <c r="H252" s="163"/>
      <c r="I252" s="158"/>
      <c r="J252" s="158"/>
      <c r="K252" s="167"/>
      <c r="L252" s="168"/>
      <c r="M252" s="167"/>
      <c r="N252" s="167"/>
      <c r="O252" s="210"/>
      <c r="P252" s="170"/>
      <c r="Q252" s="169"/>
      <c r="R252" s="158"/>
      <c r="S252" s="158"/>
      <c r="T252" s="162"/>
      <c r="U252" s="164"/>
      <c r="V252" s="165"/>
      <c r="W252" s="166"/>
      <c r="X252" s="172"/>
      <c r="Y252" s="174"/>
      <c r="Z252" s="176"/>
      <c r="AA252" s="178" t="str">
        <f t="shared" si="24"/>
        <v xml:space="preserve"> - </v>
      </c>
      <c r="AB252" s="180" t="str">
        <f t="shared" si="25"/>
        <v xml:space="preserve"> - </v>
      </c>
      <c r="AC252" s="180" t="str">
        <f t="shared" si="22"/>
        <v xml:space="preserve"> - </v>
      </c>
      <c r="AD252" s="182" t="str">
        <f t="shared" si="21"/>
        <v xml:space="preserve"> - </v>
      </c>
      <c r="AE252" s="184">
        <f t="shared" si="23"/>
        <v>0</v>
      </c>
      <c r="AF252" s="186">
        <f t="shared" ref="AF252:AF320" si="27">AE252 / IF( ISNUMBER($Q252),  $Q252, 1)</f>
        <v>0</v>
      </c>
      <c r="AG252" s="188" t="str">
        <f t="array" ref="AG252" xml:space="preserve"> IFERROR( IF( D252="", "-", _xlfn.AGGREGATE(15,6, ( ( ($D$21:$D$27 = D252) * IF($D$19&lt;&gt;"", --($E$21:$E$27 = E252), 1) * IF($H$19&lt;&gt;"", --($F$21:$F$27 = F252), 1)  ) / ( ( $D$21:$D$27 = D252) * IF($D$19&lt;&gt;"", --($E$21:$E$27 = E252), 1)  * IF($H$19&lt;&gt;"", --($F$21:$F$27 = F252), 1) ) ) * $AF$21:$AF$27,1)    ), "-")</f>
        <v>-</v>
      </c>
      <c r="BB252"/>
      <c r="BE252" s="67"/>
    </row>
    <row r="253" spans="2:57" x14ac:dyDescent="0.25">
      <c r="B253" s="158" t="s">
        <v>481</v>
      </c>
      <c r="C253" s="158"/>
      <c r="D253" s="189" t="s">
        <v>752</v>
      </c>
      <c r="E253" s="160" t="s">
        <v>937</v>
      </c>
      <c r="F253" s="189" t="s">
        <v>939</v>
      </c>
      <c r="G253" s="163"/>
      <c r="H253" s="163"/>
      <c r="I253" s="158"/>
      <c r="J253" s="158"/>
      <c r="K253" s="167" t="s">
        <v>688</v>
      </c>
      <c r="L253" s="168">
        <v>250</v>
      </c>
      <c r="M253" s="167" t="s">
        <v>900</v>
      </c>
      <c r="N253" s="167"/>
      <c r="O253" s="210"/>
      <c r="P253" s="170"/>
      <c r="Q253" s="169"/>
      <c r="R253" s="158"/>
      <c r="S253" s="158"/>
      <c r="T253" s="162"/>
      <c r="U253" s="164"/>
      <c r="V253" s="165"/>
      <c r="W253" s="166">
        <v>1</v>
      </c>
      <c r="X253" s="172"/>
      <c r="Y253" s="174"/>
      <c r="Z253" s="176"/>
      <c r="AA253" s="178" t="str">
        <f t="shared" si="24"/>
        <v xml:space="preserve"> - </v>
      </c>
      <c r="AB253" s="180" t="str">
        <f t="shared" si="25"/>
        <v xml:space="preserve"> - </v>
      </c>
      <c r="AC253" s="180" t="e">
        <f t="shared" si="22"/>
        <v>#VALUE!</v>
      </c>
      <c r="AD253" s="182" t="str">
        <f t="shared" si="21"/>
        <v xml:space="preserve"> - </v>
      </c>
      <c r="AE253" s="184">
        <f t="shared" si="23"/>
        <v>0</v>
      </c>
      <c r="AF253" s="186">
        <f t="shared" si="27"/>
        <v>0</v>
      </c>
      <c r="AG253" s="188" t="str">
        <f t="array" ref="AG253" xml:space="preserve"> IFERROR( IF( D253="", "-", _xlfn.AGGREGATE(15,6, ( ( ($D$21:$D$27 = D253) * IF($D$19&lt;&gt;"", --($E$21:$E$27 = E253), 1) * IF($H$19&lt;&gt;"", --($F$21:$F$27 = F253), 1)  ) / ( ( $D$21:$D$27 = D253) * IF($D$19&lt;&gt;"", --($E$21:$E$27 = E253), 1)  * IF($H$19&lt;&gt;"", --($F$21:$F$27 = F253), 1) ) ) * $AF$21:$AF$27,1)    ), "-")</f>
        <v>-</v>
      </c>
      <c r="BB253"/>
      <c r="BE253" s="67"/>
    </row>
    <row r="254" spans="2:57" x14ac:dyDescent="0.25">
      <c r="B254" s="158" t="s">
        <v>482</v>
      </c>
      <c r="C254" s="158"/>
      <c r="D254" s="189" t="s">
        <v>752</v>
      </c>
      <c r="E254" s="160" t="s">
        <v>938</v>
      </c>
      <c r="F254" s="162" t="s">
        <v>845</v>
      </c>
      <c r="G254" s="163"/>
      <c r="H254" s="163"/>
      <c r="I254" s="158"/>
      <c r="J254" s="158"/>
      <c r="K254" s="167" t="s">
        <v>688</v>
      </c>
      <c r="L254" s="168">
        <v>500</v>
      </c>
      <c r="M254" s="167" t="s">
        <v>900</v>
      </c>
      <c r="N254" s="167"/>
      <c r="O254" s="210"/>
      <c r="P254" s="170"/>
      <c r="Q254" s="169"/>
      <c r="R254" s="158"/>
      <c r="S254" s="158"/>
      <c r="T254" s="162"/>
      <c r="U254" s="164"/>
      <c r="V254" s="165"/>
      <c r="W254" s="166">
        <v>1</v>
      </c>
      <c r="X254" s="172"/>
      <c r="Y254" s="174"/>
      <c r="Z254" s="176"/>
      <c r="AA254" s="178" t="str">
        <f t="shared" si="24"/>
        <v xml:space="preserve"> - </v>
      </c>
      <c r="AB254" s="180" t="str">
        <f t="shared" si="25"/>
        <v xml:space="preserve"> - </v>
      </c>
      <c r="AC254" s="180" t="e">
        <f t="shared" si="22"/>
        <v>#VALUE!</v>
      </c>
      <c r="AD254" s="182" t="str">
        <f t="shared" si="21"/>
        <v xml:space="preserve"> - </v>
      </c>
      <c r="AE254" s="184">
        <f t="shared" si="23"/>
        <v>0</v>
      </c>
      <c r="AF254" s="186">
        <f t="shared" si="27"/>
        <v>0</v>
      </c>
      <c r="AG254" s="188" t="str">
        <f t="array" ref="AG254" xml:space="preserve"> IFERROR( IF( D254="", "-", _xlfn.AGGREGATE(15,6, ( ( ($D$21:$D$27 = D254) * IF($D$19&lt;&gt;"", --($E$21:$E$27 = E254), 1) * IF($H$19&lt;&gt;"", --($F$21:$F$27 = F254), 1)  ) / ( ( $D$21:$D$27 = D254) * IF($D$19&lt;&gt;"", --($E$21:$E$27 = E254), 1)  * IF($H$19&lt;&gt;"", --($F$21:$F$27 = F254), 1) ) ) * $AF$21:$AF$27,1)    ), "-")</f>
        <v>-</v>
      </c>
      <c r="BB254"/>
      <c r="BE254" s="67"/>
    </row>
    <row r="255" spans="2:57" x14ac:dyDescent="0.25">
      <c r="B255" s="158" t="s">
        <v>483</v>
      </c>
      <c r="C255" s="158"/>
      <c r="D255" s="189" t="s">
        <v>752</v>
      </c>
      <c r="E255" s="160" t="s">
        <v>938</v>
      </c>
      <c r="F255" s="189" t="s">
        <v>939</v>
      </c>
      <c r="G255" s="163"/>
      <c r="H255" s="163"/>
      <c r="I255" s="158"/>
      <c r="J255" s="158"/>
      <c r="K255" s="167" t="s">
        <v>688</v>
      </c>
      <c r="L255" s="168">
        <v>250</v>
      </c>
      <c r="M255" s="167" t="s">
        <v>900</v>
      </c>
      <c r="N255" s="167"/>
      <c r="O255" s="210"/>
      <c r="P255" s="170"/>
      <c r="Q255" s="169"/>
      <c r="R255" s="158"/>
      <c r="S255" s="158"/>
      <c r="T255" s="162"/>
      <c r="U255" s="164"/>
      <c r="V255" s="165"/>
      <c r="W255" s="166">
        <v>1</v>
      </c>
      <c r="X255" s="172"/>
      <c r="Y255" s="174"/>
      <c r="Z255" s="176"/>
      <c r="AA255" s="178" t="str">
        <f t="shared" si="24"/>
        <v xml:space="preserve"> - </v>
      </c>
      <c r="AB255" s="180" t="str">
        <f t="shared" si="25"/>
        <v xml:space="preserve"> - </v>
      </c>
      <c r="AC255" s="180" t="e">
        <f t="shared" si="22"/>
        <v>#VALUE!</v>
      </c>
      <c r="AD255" s="182" t="str">
        <f t="shared" si="21"/>
        <v xml:space="preserve"> - </v>
      </c>
      <c r="AE255" s="184">
        <f t="shared" si="23"/>
        <v>0</v>
      </c>
      <c r="AF255" s="186">
        <f t="shared" si="27"/>
        <v>0</v>
      </c>
      <c r="AG255" s="188" t="str">
        <f t="array" ref="AG255" xml:space="preserve"> IFERROR( IF( D255="", "-", _xlfn.AGGREGATE(15,6, ( ( ($D$21:$D$27 = D255) * IF($D$19&lt;&gt;"", --($E$21:$E$27 = E255), 1) * IF($H$19&lt;&gt;"", --($F$21:$F$27 = F255), 1)  ) / ( ( $D$21:$D$27 = D255) * IF($D$19&lt;&gt;"", --($E$21:$E$27 = E255), 1)  * IF($H$19&lt;&gt;"", --($F$21:$F$27 = F255), 1) ) ) * $AF$21:$AF$27,1)    ), "-")</f>
        <v>-</v>
      </c>
      <c r="BB255"/>
      <c r="BE255" s="67"/>
    </row>
    <row r="256" spans="2:57" x14ac:dyDescent="0.25">
      <c r="B256" s="195" t="s">
        <v>484</v>
      </c>
      <c r="C256" s="158"/>
      <c r="D256" s="189" t="s">
        <v>752</v>
      </c>
      <c r="E256" s="160" t="s">
        <v>938</v>
      </c>
      <c r="F256" s="189" t="s">
        <v>844</v>
      </c>
      <c r="G256" s="163"/>
      <c r="H256" s="163"/>
      <c r="I256" s="158"/>
      <c r="J256" s="158"/>
      <c r="K256" s="167" t="s">
        <v>688</v>
      </c>
      <c r="L256" s="168">
        <v>250</v>
      </c>
      <c r="M256" s="167" t="s">
        <v>900</v>
      </c>
      <c r="N256" s="167"/>
      <c r="O256" s="210"/>
      <c r="P256" s="170"/>
      <c r="Q256" s="169"/>
      <c r="R256" s="158"/>
      <c r="S256" s="158"/>
      <c r="T256" s="162"/>
      <c r="U256" s="164"/>
      <c r="V256" s="165"/>
      <c r="W256" s="166">
        <v>1</v>
      </c>
      <c r="X256" s="172"/>
      <c r="Y256" s="174"/>
      <c r="Z256" s="176"/>
      <c r="AA256" s="178" t="str">
        <f t="shared" si="24"/>
        <v xml:space="preserve"> - </v>
      </c>
      <c r="AB256" s="180" t="str">
        <f t="shared" si="25"/>
        <v xml:space="preserve"> - </v>
      </c>
      <c r="AC256" s="180" t="e">
        <f t="shared" si="22"/>
        <v>#VALUE!</v>
      </c>
      <c r="AD256" s="182" t="str">
        <f t="shared" si="21"/>
        <v xml:space="preserve"> - </v>
      </c>
      <c r="AE256" s="184">
        <f t="shared" si="23"/>
        <v>0</v>
      </c>
      <c r="AF256" s="186">
        <f t="shared" si="27"/>
        <v>0</v>
      </c>
      <c r="AG256" s="188" t="str">
        <f t="array" ref="AG256" xml:space="preserve"> IFERROR( IF( D256="", "-", _xlfn.AGGREGATE(15,6, ( ( ($D$21:$D$27 = D256) * IF($D$19&lt;&gt;"", --($E$21:$E$27 = E256), 1) * IF($H$19&lt;&gt;"", --($F$21:$F$27 = F256), 1)  ) / ( ( $D$21:$D$27 = D256) * IF($D$19&lt;&gt;"", --($E$21:$E$27 = E256), 1)  * IF($H$19&lt;&gt;"", --($F$21:$F$27 = F256), 1) ) ) * $AF$21:$AF$27,1)    ), "-")</f>
        <v>-</v>
      </c>
      <c r="BB256"/>
      <c r="BE256" s="67"/>
    </row>
    <row r="257" spans="2:57" x14ac:dyDescent="0.25">
      <c r="B257" s="158" t="s">
        <v>485</v>
      </c>
      <c r="C257" s="158"/>
      <c r="D257" s="189" t="s">
        <v>752</v>
      </c>
      <c r="E257" s="160" t="s">
        <v>938</v>
      </c>
      <c r="F257" s="189" t="s">
        <v>940</v>
      </c>
      <c r="G257" s="163"/>
      <c r="H257" s="163"/>
      <c r="I257" s="158"/>
      <c r="J257" s="158"/>
      <c r="K257" s="167" t="s">
        <v>688</v>
      </c>
      <c r="L257" s="168">
        <v>125</v>
      </c>
      <c r="M257" s="167" t="s">
        <v>900</v>
      </c>
      <c r="N257" s="167"/>
      <c r="O257" s="210"/>
      <c r="P257" s="170"/>
      <c r="Q257" s="169"/>
      <c r="R257" s="158"/>
      <c r="S257" s="158"/>
      <c r="T257" s="162"/>
      <c r="U257" s="164"/>
      <c r="V257" s="165"/>
      <c r="W257" s="166">
        <v>1</v>
      </c>
      <c r="X257" s="172"/>
      <c r="Y257" s="174"/>
      <c r="Z257" s="176"/>
      <c r="AA257" s="178" t="str">
        <f t="shared" si="24"/>
        <v xml:space="preserve"> - </v>
      </c>
      <c r="AB257" s="180" t="str">
        <f t="shared" si="25"/>
        <v xml:space="preserve"> - </v>
      </c>
      <c r="AC257" s="180" t="e">
        <f t="shared" si="22"/>
        <v>#VALUE!</v>
      </c>
      <c r="AD257" s="182" t="str">
        <f t="shared" si="21"/>
        <v xml:space="preserve"> - </v>
      </c>
      <c r="AE257" s="184">
        <f t="shared" si="23"/>
        <v>0</v>
      </c>
      <c r="AF257" s="186">
        <f t="shared" si="27"/>
        <v>0</v>
      </c>
      <c r="AG257" s="188" t="str">
        <f t="array" ref="AG257" xml:space="preserve"> IFERROR( IF( D257="", "-", _xlfn.AGGREGATE(15,6, ( ( ($D$21:$D$27 = D257) * IF($D$19&lt;&gt;"", --($E$21:$E$27 = E257), 1) * IF($H$19&lt;&gt;"", --($F$21:$F$27 = F257), 1)  ) / ( ( $D$21:$D$27 = D257) * IF($D$19&lt;&gt;"", --($E$21:$E$27 = E257), 1)  * IF($H$19&lt;&gt;"", --($F$21:$F$27 = F257), 1) ) ) * $AF$21:$AF$27,1)    ), "-")</f>
        <v>-</v>
      </c>
      <c r="BB257"/>
      <c r="BE257" s="67"/>
    </row>
    <row r="258" spans="2:57" x14ac:dyDescent="0.25">
      <c r="B258" s="158" t="s">
        <v>486</v>
      </c>
      <c r="C258" s="158"/>
      <c r="D258" s="189" t="s">
        <v>752</v>
      </c>
      <c r="E258" s="160" t="s">
        <v>938</v>
      </c>
      <c r="F258" s="189" t="s">
        <v>941</v>
      </c>
      <c r="G258" s="163"/>
      <c r="H258" s="163"/>
      <c r="I258" s="158"/>
      <c r="J258" s="158"/>
      <c r="K258" s="167" t="s">
        <v>688</v>
      </c>
      <c r="L258" s="168">
        <v>125</v>
      </c>
      <c r="M258" s="167" t="s">
        <v>900</v>
      </c>
      <c r="N258" s="167"/>
      <c r="O258" s="210"/>
      <c r="P258" s="170"/>
      <c r="Q258" s="169"/>
      <c r="R258" s="158"/>
      <c r="S258" s="158"/>
      <c r="T258" s="162"/>
      <c r="U258" s="164"/>
      <c r="V258" s="165"/>
      <c r="W258" s="166">
        <v>1</v>
      </c>
      <c r="X258" s="172"/>
      <c r="Y258" s="174"/>
      <c r="Z258" s="176"/>
      <c r="AA258" s="178" t="str">
        <f t="shared" si="24"/>
        <v xml:space="preserve"> - </v>
      </c>
      <c r="AB258" s="180" t="str">
        <f t="shared" si="25"/>
        <v xml:space="preserve"> - </v>
      </c>
      <c r="AC258" s="180" t="e">
        <f t="shared" si="22"/>
        <v>#VALUE!</v>
      </c>
      <c r="AD258" s="182" t="str">
        <f t="shared" si="21"/>
        <v xml:space="preserve"> - </v>
      </c>
      <c r="AE258" s="184">
        <f t="shared" si="23"/>
        <v>0</v>
      </c>
      <c r="AF258" s="186">
        <f t="shared" si="27"/>
        <v>0</v>
      </c>
      <c r="AG258" s="188" t="str">
        <f t="array" ref="AG258" xml:space="preserve"> IFERROR( IF( D258="", "-", _xlfn.AGGREGATE(15,6, ( ( ($D$21:$D$27 = D258) * IF($D$19&lt;&gt;"", --($E$21:$E$27 = E258), 1) * IF($H$19&lt;&gt;"", --($F$21:$F$27 = F258), 1)  ) / ( ( $D$21:$D$27 = D258) * IF($D$19&lt;&gt;"", --($E$21:$E$27 = E258), 1)  * IF($H$19&lt;&gt;"", --($F$21:$F$27 = F258), 1) ) ) * $AF$21:$AF$27,1)    ), "-")</f>
        <v>-</v>
      </c>
      <c r="BB258"/>
      <c r="BE258" s="67"/>
    </row>
    <row r="259" spans="2:57" x14ac:dyDescent="0.25">
      <c r="B259" s="158" t="s">
        <v>487</v>
      </c>
      <c r="C259" s="158"/>
      <c r="D259" s="189" t="s">
        <v>752</v>
      </c>
      <c r="E259" s="160" t="s">
        <v>942</v>
      </c>
      <c r="F259" s="189" t="s">
        <v>928</v>
      </c>
      <c r="G259" s="163"/>
      <c r="H259" s="163"/>
      <c r="I259" s="158"/>
      <c r="J259" s="158"/>
      <c r="K259" s="167" t="s">
        <v>688</v>
      </c>
      <c r="L259" s="168">
        <v>250</v>
      </c>
      <c r="M259" s="167" t="s">
        <v>900</v>
      </c>
      <c r="N259" s="167"/>
      <c r="O259" s="210"/>
      <c r="P259" s="170"/>
      <c r="Q259" s="169"/>
      <c r="R259" s="158"/>
      <c r="S259" s="158"/>
      <c r="T259" s="162"/>
      <c r="U259" s="164"/>
      <c r="V259" s="165"/>
      <c r="W259" s="166">
        <v>1</v>
      </c>
      <c r="X259" s="172"/>
      <c r="Y259" s="174"/>
      <c r="Z259" s="176"/>
      <c r="AA259" s="178" t="str">
        <f t="shared" si="24"/>
        <v xml:space="preserve"> - </v>
      </c>
      <c r="AB259" s="180" t="str">
        <f t="shared" si="25"/>
        <v xml:space="preserve"> - </v>
      </c>
      <c r="AC259" s="180" t="e">
        <f t="shared" si="22"/>
        <v>#VALUE!</v>
      </c>
      <c r="AD259" s="182" t="str">
        <f t="shared" si="21"/>
        <v xml:space="preserve"> - </v>
      </c>
      <c r="AE259" s="184">
        <f t="shared" si="23"/>
        <v>0</v>
      </c>
      <c r="AF259" s="186">
        <f t="shared" si="27"/>
        <v>0</v>
      </c>
      <c r="AG259" s="188" t="str">
        <f t="array" ref="AG259" xml:space="preserve"> IFERROR( IF( D259="", "-", _xlfn.AGGREGATE(15,6, ( ( ($D$21:$D$27 = D259) * IF($D$19&lt;&gt;"", --($E$21:$E$27 = E259), 1) * IF($H$19&lt;&gt;"", --($F$21:$F$27 = F259), 1)  ) / ( ( $D$21:$D$27 = D259) * IF($D$19&lt;&gt;"", --($E$21:$E$27 = E259), 1)  * IF($H$19&lt;&gt;"", --($F$21:$F$27 = F259), 1) ) ) * $AF$21:$AF$27,1)    ), "-")</f>
        <v>-</v>
      </c>
      <c r="BB259"/>
      <c r="BE259" s="67"/>
    </row>
    <row r="260" spans="2:57" x14ac:dyDescent="0.25">
      <c r="B260" s="158" t="s">
        <v>488</v>
      </c>
      <c r="C260" s="158"/>
      <c r="D260" s="189" t="s">
        <v>752</v>
      </c>
      <c r="E260" s="160" t="s">
        <v>942</v>
      </c>
      <c r="F260" s="189" t="s">
        <v>941</v>
      </c>
      <c r="G260" s="163"/>
      <c r="H260" s="163"/>
      <c r="I260" s="158"/>
      <c r="J260" s="158"/>
      <c r="K260" s="167" t="s">
        <v>688</v>
      </c>
      <c r="L260" s="168">
        <v>100</v>
      </c>
      <c r="M260" s="167" t="s">
        <v>900</v>
      </c>
      <c r="N260" s="167"/>
      <c r="O260" s="210"/>
      <c r="P260" s="170"/>
      <c r="Q260" s="169"/>
      <c r="R260" s="158"/>
      <c r="S260" s="158"/>
      <c r="T260" s="162"/>
      <c r="U260" s="164"/>
      <c r="V260" s="165"/>
      <c r="W260" s="166">
        <v>1</v>
      </c>
      <c r="X260" s="172"/>
      <c r="Y260" s="174"/>
      <c r="Z260" s="176"/>
      <c r="AA260" s="178" t="str">
        <f t="shared" si="24"/>
        <v xml:space="preserve"> - </v>
      </c>
      <c r="AB260" s="180" t="str">
        <f t="shared" si="25"/>
        <v xml:space="preserve"> - </v>
      </c>
      <c r="AC260" s="180" t="e">
        <f t="shared" si="22"/>
        <v>#VALUE!</v>
      </c>
      <c r="AD260" s="182" t="str">
        <f t="shared" si="21"/>
        <v xml:space="preserve"> - </v>
      </c>
      <c r="AE260" s="184">
        <f t="shared" si="23"/>
        <v>0</v>
      </c>
      <c r="AF260" s="186">
        <f t="shared" si="27"/>
        <v>0</v>
      </c>
      <c r="AG260" s="188" t="str">
        <f t="array" ref="AG260" xml:space="preserve"> IFERROR( IF( D260="", "-", _xlfn.AGGREGATE(15,6, ( ( ($D$21:$D$27 = D260) * IF($D$19&lt;&gt;"", --($E$21:$E$27 = E260), 1) * IF($H$19&lt;&gt;"", --($F$21:$F$27 = F260), 1)  ) / ( ( $D$21:$D$27 = D260) * IF($D$19&lt;&gt;"", --($E$21:$E$27 = E260), 1)  * IF($H$19&lt;&gt;"", --($F$21:$F$27 = F260), 1) ) ) * $AF$21:$AF$27,1)    ), "-")</f>
        <v>-</v>
      </c>
      <c r="BB260"/>
      <c r="BE260" s="67"/>
    </row>
    <row r="261" spans="2:57" x14ac:dyDescent="0.25">
      <c r="B261" s="158" t="s">
        <v>489</v>
      </c>
      <c r="C261" s="158"/>
      <c r="D261" s="189" t="s">
        <v>752</v>
      </c>
      <c r="E261" s="193" t="s">
        <v>943</v>
      </c>
      <c r="F261" s="189" t="s">
        <v>930</v>
      </c>
      <c r="G261" s="163"/>
      <c r="H261" s="163"/>
      <c r="I261" s="158"/>
      <c r="J261" s="158"/>
      <c r="K261" s="167"/>
      <c r="L261" s="168"/>
      <c r="M261" s="167"/>
      <c r="N261" s="167"/>
      <c r="O261" s="210"/>
      <c r="P261" s="170"/>
      <c r="Q261" s="169"/>
      <c r="R261" s="158"/>
      <c r="S261" s="158"/>
      <c r="T261" s="162"/>
      <c r="U261" s="164"/>
      <c r="V261" s="165"/>
      <c r="W261" s="166"/>
      <c r="X261" s="172"/>
      <c r="Y261" s="174"/>
      <c r="Z261" s="176"/>
      <c r="AA261" s="178" t="str">
        <f t="shared" si="24"/>
        <v xml:space="preserve"> - </v>
      </c>
      <c r="AB261" s="180" t="str">
        <f t="shared" si="25"/>
        <v xml:space="preserve"> - </v>
      </c>
      <c r="AC261" s="180" t="str">
        <f t="shared" si="22"/>
        <v xml:space="preserve"> - </v>
      </c>
      <c r="AD261" s="182" t="str">
        <f t="shared" si="21"/>
        <v xml:space="preserve"> - </v>
      </c>
      <c r="AE261" s="184">
        <f t="shared" si="23"/>
        <v>0</v>
      </c>
      <c r="AF261" s="186">
        <f t="shared" si="27"/>
        <v>0</v>
      </c>
      <c r="AG261" s="188" t="str">
        <f t="array" ref="AG261" xml:space="preserve"> IFERROR( IF( D261="", "-", _xlfn.AGGREGATE(15,6, ( ( ($D$21:$D$27 = D261) * IF($D$19&lt;&gt;"", --($E$21:$E$27 = E261), 1) * IF($H$19&lt;&gt;"", --($F$21:$F$27 = F261), 1)  ) / ( ( $D$21:$D$27 = D261) * IF($D$19&lt;&gt;"", --($E$21:$E$27 = E261), 1)  * IF($H$19&lt;&gt;"", --($F$21:$F$27 = F261), 1) ) ) * $AF$21:$AF$27,1)    ), "-")</f>
        <v>-</v>
      </c>
      <c r="BB261"/>
      <c r="BE261" s="67"/>
    </row>
    <row r="262" spans="2:57" x14ac:dyDescent="0.25">
      <c r="B262" s="158" t="s">
        <v>490</v>
      </c>
      <c r="C262" s="158"/>
      <c r="D262" s="162" t="s">
        <v>490</v>
      </c>
      <c r="E262" s="160"/>
      <c r="F262" s="162"/>
      <c r="G262" s="163"/>
      <c r="H262" s="163"/>
      <c r="I262" s="158"/>
      <c r="J262" s="158"/>
      <c r="K262" s="167"/>
      <c r="L262" s="168"/>
      <c r="M262" s="167"/>
      <c r="N262" s="167"/>
      <c r="O262" s="210"/>
      <c r="P262" s="170"/>
      <c r="Q262" s="169"/>
      <c r="R262" s="158"/>
      <c r="S262" s="158"/>
      <c r="T262" s="162"/>
      <c r="U262" s="164"/>
      <c r="V262" s="165"/>
      <c r="W262" s="166"/>
      <c r="X262" s="172"/>
      <c r="Y262" s="174"/>
      <c r="Z262" s="176"/>
      <c r="AA262" s="178" t="str">
        <f t="shared" si="24"/>
        <v xml:space="preserve"> - </v>
      </c>
      <c r="AB262" s="180" t="str">
        <f t="shared" si="25"/>
        <v xml:space="preserve"> - </v>
      </c>
      <c r="AC262" s="180" t="str">
        <f t="shared" si="22"/>
        <v xml:space="preserve"> - </v>
      </c>
      <c r="AD262" s="182" t="str">
        <f t="shared" si="21"/>
        <v xml:space="preserve"> - </v>
      </c>
      <c r="AE262" s="184">
        <f t="shared" si="23"/>
        <v>0</v>
      </c>
      <c r="AF262" s="186">
        <f t="shared" si="27"/>
        <v>0</v>
      </c>
      <c r="AG262" s="188" t="str">
        <f t="array" ref="AG262" xml:space="preserve"> IFERROR( IF( D262="", "-", _xlfn.AGGREGATE(15,6, ( ( ($D$21:$D$27 = D262) * IF($D$19&lt;&gt;"", --($E$21:$E$27 = E262), 1) * IF($H$19&lt;&gt;"", --($F$21:$F$27 = F262), 1)  ) / ( ( $D$21:$D$27 = D262) * IF($D$19&lt;&gt;"", --($E$21:$E$27 = E262), 1)  * IF($H$19&lt;&gt;"", --($F$21:$F$27 = F262), 1) ) ) * $AF$21:$AF$27,1)    ), "-")</f>
        <v>-</v>
      </c>
      <c r="BB262"/>
      <c r="BE262" s="67"/>
    </row>
    <row r="263" spans="2:57" x14ac:dyDescent="0.25">
      <c r="B263" s="158" t="s">
        <v>491</v>
      </c>
      <c r="C263" s="158"/>
      <c r="D263" s="162" t="s">
        <v>491</v>
      </c>
      <c r="E263" s="160"/>
      <c r="F263" s="162"/>
      <c r="G263" s="163"/>
      <c r="H263" s="163"/>
      <c r="I263" s="158"/>
      <c r="J263" s="158"/>
      <c r="K263" s="167"/>
      <c r="L263" s="168"/>
      <c r="M263" s="167"/>
      <c r="N263" s="167"/>
      <c r="O263" s="210"/>
      <c r="P263" s="170"/>
      <c r="Q263" s="169"/>
      <c r="R263" s="158"/>
      <c r="S263" s="158"/>
      <c r="T263" s="162"/>
      <c r="U263" s="164"/>
      <c r="V263" s="165"/>
      <c r="W263" s="166"/>
      <c r="X263" s="172"/>
      <c r="Y263" s="174"/>
      <c r="Z263" s="176"/>
      <c r="AA263" s="178" t="str">
        <f t="shared" si="24"/>
        <v xml:space="preserve"> - </v>
      </c>
      <c r="AB263" s="180" t="str">
        <f t="shared" si="25"/>
        <v xml:space="preserve"> - </v>
      </c>
      <c r="AC263" s="180" t="str">
        <f t="shared" si="22"/>
        <v xml:space="preserve"> - </v>
      </c>
      <c r="AD263" s="182" t="str">
        <f t="shared" si="21"/>
        <v xml:space="preserve"> - </v>
      </c>
      <c r="AE263" s="184">
        <f t="shared" si="23"/>
        <v>0</v>
      </c>
      <c r="AF263" s="186">
        <f t="shared" si="27"/>
        <v>0</v>
      </c>
      <c r="AG263" s="188" t="str">
        <f t="array" ref="AG263" xml:space="preserve"> IFERROR( IF( D263="", "-", _xlfn.AGGREGATE(15,6, ( ( ($D$21:$D$27 = D263) * IF($D$19&lt;&gt;"", --($E$21:$E$27 = E263), 1) * IF($H$19&lt;&gt;"", --($F$21:$F$27 = F263), 1)  ) / ( ( $D$21:$D$27 = D263) * IF($D$19&lt;&gt;"", --($E$21:$E$27 = E263), 1)  * IF($H$19&lt;&gt;"", --($F$21:$F$27 = F263), 1) ) ) * $AF$21:$AF$27,1)    ), "-")</f>
        <v>-</v>
      </c>
      <c r="BB263"/>
      <c r="BE263" s="67"/>
    </row>
    <row r="264" spans="2:57" x14ac:dyDescent="0.25">
      <c r="B264" s="158" t="s">
        <v>492</v>
      </c>
      <c r="C264" s="158"/>
      <c r="D264" s="162" t="s">
        <v>492</v>
      </c>
      <c r="E264" s="160"/>
      <c r="F264" s="162"/>
      <c r="G264" s="163"/>
      <c r="H264" s="163"/>
      <c r="I264" s="158"/>
      <c r="J264" s="158"/>
      <c r="K264" s="167"/>
      <c r="L264" s="168"/>
      <c r="M264" s="167"/>
      <c r="N264" s="167"/>
      <c r="O264" s="210"/>
      <c r="P264" s="170"/>
      <c r="Q264" s="169"/>
      <c r="R264" s="158"/>
      <c r="S264" s="158"/>
      <c r="T264" s="162"/>
      <c r="U264" s="164"/>
      <c r="V264" s="165"/>
      <c r="W264" s="166"/>
      <c r="X264" s="172"/>
      <c r="Y264" s="174"/>
      <c r="Z264" s="176"/>
      <c r="AA264" s="178" t="str">
        <f t="shared" si="24"/>
        <v xml:space="preserve"> - </v>
      </c>
      <c r="AB264" s="180" t="str">
        <f t="shared" si="25"/>
        <v xml:space="preserve"> - </v>
      </c>
      <c r="AC264" s="180" t="str">
        <f t="shared" si="22"/>
        <v xml:space="preserve"> - </v>
      </c>
      <c r="AD264" s="182" t="str">
        <f t="shared" si="21"/>
        <v xml:space="preserve"> - </v>
      </c>
      <c r="AE264" s="184">
        <f t="shared" si="23"/>
        <v>0</v>
      </c>
      <c r="AF264" s="186">
        <f t="shared" si="27"/>
        <v>0</v>
      </c>
      <c r="AG264" s="188" t="str">
        <f t="array" ref="AG264" xml:space="preserve"> IFERROR( IF( D264="", "-", _xlfn.AGGREGATE(15,6, ( ( ($D$21:$D$27 = D264) * IF($D$19&lt;&gt;"", --($E$21:$E$27 = E264), 1) * IF($H$19&lt;&gt;"", --($F$21:$F$27 = F264), 1)  ) / ( ( $D$21:$D$27 = D264) * IF($D$19&lt;&gt;"", --($E$21:$E$27 = E264), 1)  * IF($H$19&lt;&gt;"", --($F$21:$F$27 = F264), 1) ) ) * $AF$21:$AF$27,1)    ), "-")</f>
        <v>-</v>
      </c>
      <c r="BB264"/>
      <c r="BE264" s="67"/>
    </row>
    <row r="265" spans="2:57" x14ac:dyDescent="0.25">
      <c r="B265" s="158" t="s">
        <v>493</v>
      </c>
      <c r="C265" s="158"/>
      <c r="D265" s="189" t="s">
        <v>752</v>
      </c>
      <c r="E265" s="160" t="s">
        <v>944</v>
      </c>
      <c r="F265" s="162" t="s">
        <v>845</v>
      </c>
      <c r="G265" s="163" t="s">
        <v>746</v>
      </c>
      <c r="H265" s="163"/>
      <c r="I265" s="158"/>
      <c r="J265" s="158"/>
      <c r="K265" s="167" t="s">
        <v>688</v>
      </c>
      <c r="L265" s="168">
        <v>250</v>
      </c>
      <c r="M265" s="167" t="s">
        <v>900</v>
      </c>
      <c r="N265" s="167"/>
      <c r="O265" s="210"/>
      <c r="P265" s="170"/>
      <c r="Q265" s="169"/>
      <c r="R265" s="158"/>
      <c r="S265" s="158"/>
      <c r="T265" s="162"/>
      <c r="U265" s="164"/>
      <c r="V265" s="165"/>
      <c r="W265" s="166">
        <v>1</v>
      </c>
      <c r="X265" s="172"/>
      <c r="Y265" s="174"/>
      <c r="Z265" s="176"/>
      <c r="AA265" s="178" t="str">
        <f t="shared" si="24"/>
        <v xml:space="preserve"> - </v>
      </c>
      <c r="AB265" s="180" t="str">
        <f t="shared" si="25"/>
        <v xml:space="preserve"> - </v>
      </c>
      <c r="AC265" s="180" t="e">
        <f t="shared" si="22"/>
        <v>#VALUE!</v>
      </c>
      <c r="AD265" s="182" t="str">
        <f t="shared" si="21"/>
        <v xml:space="preserve"> - </v>
      </c>
      <c r="AE265" s="184">
        <f t="shared" si="23"/>
        <v>0</v>
      </c>
      <c r="AF265" s="186">
        <f t="shared" si="27"/>
        <v>0</v>
      </c>
      <c r="AG265" s="188" t="str">
        <f t="array" ref="AG265" xml:space="preserve"> IFERROR( IF( D265="", "-", _xlfn.AGGREGATE(15,6, ( ( ($D$21:$D$27 = D265) * IF($D$19&lt;&gt;"", --($E$21:$E$27 = E265), 1) * IF($H$19&lt;&gt;"", --($F$21:$F$27 = F265), 1)  ) / ( ( $D$21:$D$27 = D265) * IF($D$19&lt;&gt;"", --($E$21:$E$27 = E265), 1)  * IF($H$19&lt;&gt;"", --($F$21:$F$27 = F265), 1) ) ) * $AF$21:$AF$27,1)    ), "-")</f>
        <v>-</v>
      </c>
      <c r="BB265"/>
      <c r="BE265" s="67"/>
    </row>
    <row r="266" spans="2:57" x14ac:dyDescent="0.25">
      <c r="B266" s="158" t="s">
        <v>494</v>
      </c>
      <c r="C266" s="158"/>
      <c r="D266" s="189" t="s">
        <v>752</v>
      </c>
      <c r="E266" s="160" t="s">
        <v>944</v>
      </c>
      <c r="F266" s="162" t="s">
        <v>929</v>
      </c>
      <c r="G266" s="163"/>
      <c r="H266" s="163"/>
      <c r="I266" s="158"/>
      <c r="J266" s="158"/>
      <c r="K266" s="167"/>
      <c r="L266" s="168"/>
      <c r="M266" s="167"/>
      <c r="N266" s="167"/>
      <c r="O266" s="210"/>
      <c r="P266" s="170"/>
      <c r="Q266" s="169"/>
      <c r="R266" s="158"/>
      <c r="S266" s="158"/>
      <c r="T266" s="162"/>
      <c r="U266" s="164"/>
      <c r="V266" s="165"/>
      <c r="W266" s="166"/>
      <c r="X266" s="172"/>
      <c r="Y266" s="174"/>
      <c r="Z266" s="176"/>
      <c r="AA266" s="178" t="str">
        <f t="shared" si="24"/>
        <v xml:space="preserve"> - </v>
      </c>
      <c r="AB266" s="180" t="str">
        <f t="shared" si="25"/>
        <v xml:space="preserve"> - </v>
      </c>
      <c r="AC266" s="180" t="str">
        <f t="shared" si="22"/>
        <v xml:space="preserve"> - </v>
      </c>
      <c r="AD266" s="182" t="str">
        <f t="shared" si="21"/>
        <v xml:space="preserve"> - </v>
      </c>
      <c r="AE266" s="184">
        <f t="shared" si="23"/>
        <v>0</v>
      </c>
      <c r="AF266" s="186">
        <f t="shared" si="27"/>
        <v>0</v>
      </c>
      <c r="AG266" s="188" t="str">
        <f t="array" ref="AG266" xml:space="preserve"> IFERROR( IF( D266="", "-", _xlfn.AGGREGATE(15,6, ( ( ($D$21:$D$27 = D266) * IF($D$19&lt;&gt;"", --($E$21:$E$27 = E266), 1) * IF($H$19&lt;&gt;"", --($F$21:$F$27 = F266), 1)  ) / ( ( $D$21:$D$27 = D266) * IF($D$19&lt;&gt;"", --($E$21:$E$27 = E266), 1)  * IF($H$19&lt;&gt;"", --($F$21:$F$27 = F266), 1) ) ) * $AF$21:$AF$27,1)    ), "-")</f>
        <v>-</v>
      </c>
      <c r="BB266"/>
      <c r="BE266" s="67"/>
    </row>
    <row r="267" spans="2:57" x14ac:dyDescent="0.25">
      <c r="B267" s="158" t="s">
        <v>495</v>
      </c>
      <c r="C267" s="158"/>
      <c r="D267" s="189" t="s">
        <v>752</v>
      </c>
      <c r="E267" s="160" t="s">
        <v>944</v>
      </c>
      <c r="F267" s="189" t="s">
        <v>930</v>
      </c>
      <c r="G267" s="163"/>
      <c r="H267" s="163"/>
      <c r="I267" s="158"/>
      <c r="J267" s="158"/>
      <c r="K267" s="167" t="s">
        <v>688</v>
      </c>
      <c r="L267" s="168">
        <v>125</v>
      </c>
      <c r="M267" s="167" t="s">
        <v>900</v>
      </c>
      <c r="N267" s="167"/>
      <c r="O267" s="210"/>
      <c r="P267" s="170"/>
      <c r="Q267" s="169"/>
      <c r="R267" s="158"/>
      <c r="S267" s="158"/>
      <c r="T267" s="162"/>
      <c r="U267" s="164"/>
      <c r="V267" s="165"/>
      <c r="W267" s="166">
        <v>1</v>
      </c>
      <c r="X267" s="172"/>
      <c r="Y267" s="174"/>
      <c r="Z267" s="176"/>
      <c r="AA267" s="178" t="str">
        <f t="shared" si="24"/>
        <v xml:space="preserve"> - </v>
      </c>
      <c r="AB267" s="180" t="str">
        <f t="shared" si="25"/>
        <v xml:space="preserve"> - </v>
      </c>
      <c r="AC267" s="180" t="e">
        <f t="shared" si="22"/>
        <v>#VALUE!</v>
      </c>
      <c r="AD267" s="182" t="str">
        <f t="shared" si="21"/>
        <v xml:space="preserve"> - </v>
      </c>
      <c r="AE267" s="184">
        <f t="shared" si="23"/>
        <v>0</v>
      </c>
      <c r="AF267" s="186">
        <f t="shared" si="27"/>
        <v>0</v>
      </c>
      <c r="AG267" s="188" t="str">
        <f t="array" ref="AG267" xml:space="preserve"> IFERROR( IF( D267="", "-", _xlfn.AGGREGATE(15,6, ( ( ($D$21:$D$27 = D267) * IF($D$19&lt;&gt;"", --($E$21:$E$27 = E267), 1) * IF($H$19&lt;&gt;"", --($F$21:$F$27 = F267), 1)  ) / ( ( $D$21:$D$27 = D267) * IF($D$19&lt;&gt;"", --($E$21:$E$27 = E267), 1)  * IF($H$19&lt;&gt;"", --($F$21:$F$27 = F267), 1) ) ) * $AF$21:$AF$27,1)    ), "-")</f>
        <v>-</v>
      </c>
      <c r="BB267"/>
      <c r="BE267" s="67"/>
    </row>
    <row r="268" spans="2:57" x14ac:dyDescent="0.25">
      <c r="B268" s="158" t="s">
        <v>496</v>
      </c>
      <c r="C268" s="158"/>
      <c r="D268" s="189" t="s">
        <v>752</v>
      </c>
      <c r="E268" s="160" t="s">
        <v>944</v>
      </c>
      <c r="F268" s="189" t="s">
        <v>930</v>
      </c>
      <c r="G268" s="163"/>
      <c r="H268" s="163"/>
      <c r="I268" s="158"/>
      <c r="J268" s="158"/>
      <c r="K268" s="167" t="s">
        <v>688</v>
      </c>
      <c r="L268" s="168">
        <v>250</v>
      </c>
      <c r="M268" s="167" t="s">
        <v>900</v>
      </c>
      <c r="N268" s="167"/>
      <c r="O268" s="210"/>
      <c r="P268" s="170"/>
      <c r="Q268" s="169"/>
      <c r="R268" s="158"/>
      <c r="S268" s="158"/>
      <c r="T268" s="162"/>
      <c r="U268" s="164"/>
      <c r="V268" s="165"/>
      <c r="W268" s="166">
        <v>1</v>
      </c>
      <c r="X268" s="172"/>
      <c r="Y268" s="174"/>
      <c r="Z268" s="176"/>
      <c r="AA268" s="178" t="str">
        <f t="shared" si="24"/>
        <v xml:space="preserve"> - </v>
      </c>
      <c r="AB268" s="180" t="str">
        <f t="shared" si="25"/>
        <v xml:space="preserve"> - </v>
      </c>
      <c r="AC268" s="180" t="e">
        <f t="shared" si="22"/>
        <v>#VALUE!</v>
      </c>
      <c r="AD268" s="182" t="str">
        <f t="shared" si="21"/>
        <v xml:space="preserve"> - </v>
      </c>
      <c r="AE268" s="184">
        <f t="shared" si="23"/>
        <v>0</v>
      </c>
      <c r="AF268" s="186">
        <f t="shared" si="27"/>
        <v>0</v>
      </c>
      <c r="AG268" s="188" t="str">
        <f t="array" ref="AG268" xml:space="preserve"> IFERROR( IF( D268="", "-", _xlfn.AGGREGATE(15,6, ( ( ($D$21:$D$27 = D268) * IF($D$19&lt;&gt;"", --($E$21:$E$27 = E268), 1) * IF($H$19&lt;&gt;"", --($F$21:$F$27 = F268), 1)  ) / ( ( $D$21:$D$27 = D268) * IF($D$19&lt;&gt;"", --($E$21:$E$27 = E268), 1)  * IF($H$19&lt;&gt;"", --($F$21:$F$27 = F268), 1) ) ) * $AF$21:$AF$27,1)    ), "-")</f>
        <v>-</v>
      </c>
      <c r="BB268"/>
      <c r="BE268" s="67"/>
    </row>
    <row r="269" spans="2:57" x14ac:dyDescent="0.25">
      <c r="B269" s="158" t="s">
        <v>497</v>
      </c>
      <c r="C269" s="158"/>
      <c r="D269" s="189" t="s">
        <v>752</v>
      </c>
      <c r="E269" s="160" t="s">
        <v>944</v>
      </c>
      <c r="F269" s="189" t="s">
        <v>687</v>
      </c>
      <c r="G269" s="163" t="s">
        <v>745</v>
      </c>
      <c r="H269" s="163"/>
      <c r="I269" s="158"/>
      <c r="J269" s="158"/>
      <c r="K269" s="167" t="s">
        <v>688</v>
      </c>
      <c r="L269" s="168">
        <v>500</v>
      </c>
      <c r="M269" s="167" t="s">
        <v>900</v>
      </c>
      <c r="N269" s="167"/>
      <c r="O269" s="210"/>
      <c r="P269" s="170"/>
      <c r="Q269" s="169"/>
      <c r="R269" s="158"/>
      <c r="S269" s="158"/>
      <c r="T269" s="162"/>
      <c r="U269" s="164"/>
      <c r="V269" s="165"/>
      <c r="W269" s="166">
        <v>1</v>
      </c>
      <c r="X269" s="172"/>
      <c r="Y269" s="174"/>
      <c r="Z269" s="176"/>
      <c r="AA269" s="178" t="str">
        <f t="shared" si="24"/>
        <v xml:space="preserve"> - </v>
      </c>
      <c r="AB269" s="180" t="str">
        <f t="shared" si="25"/>
        <v xml:space="preserve"> - </v>
      </c>
      <c r="AC269" s="180" t="e">
        <f t="shared" si="22"/>
        <v>#VALUE!</v>
      </c>
      <c r="AD269" s="182" t="str">
        <f t="shared" si="21"/>
        <v xml:space="preserve"> - </v>
      </c>
      <c r="AE269" s="184">
        <f t="shared" si="23"/>
        <v>0</v>
      </c>
      <c r="AF269" s="186">
        <f t="shared" si="27"/>
        <v>0</v>
      </c>
      <c r="AG269" s="188" t="str">
        <f t="array" ref="AG269" xml:space="preserve"> IFERROR( IF( D269="", "-", _xlfn.AGGREGATE(15,6, ( ( ($D$21:$D$27 = D269) * IF($D$19&lt;&gt;"", --($E$21:$E$27 = E269), 1) * IF($H$19&lt;&gt;"", --($F$21:$F$27 = F269), 1)  ) / ( ( $D$21:$D$27 = D269) * IF($D$19&lt;&gt;"", --($E$21:$E$27 = E269), 1)  * IF($H$19&lt;&gt;"", --($F$21:$F$27 = F269), 1) ) ) * $AF$21:$AF$27,1)    ), "-")</f>
        <v>-</v>
      </c>
      <c r="BB269"/>
      <c r="BE269" s="67"/>
    </row>
    <row r="270" spans="2:57" x14ac:dyDescent="0.25">
      <c r="B270" s="158" t="s">
        <v>498</v>
      </c>
      <c r="C270" s="158"/>
      <c r="D270" s="189" t="s">
        <v>752</v>
      </c>
      <c r="E270" s="160" t="s">
        <v>945</v>
      </c>
      <c r="F270" s="189" t="s">
        <v>941</v>
      </c>
      <c r="G270" s="163"/>
      <c r="H270" s="163"/>
      <c r="I270" s="158"/>
      <c r="J270" s="158"/>
      <c r="K270" s="167"/>
      <c r="L270" s="168"/>
      <c r="M270" s="167"/>
      <c r="N270" s="167"/>
      <c r="O270" s="210"/>
      <c r="P270" s="170"/>
      <c r="Q270" s="169"/>
      <c r="R270" s="158"/>
      <c r="S270" s="158"/>
      <c r="T270" s="162"/>
      <c r="U270" s="164"/>
      <c r="V270" s="165"/>
      <c r="W270" s="166"/>
      <c r="X270" s="172"/>
      <c r="Y270" s="174"/>
      <c r="Z270" s="176"/>
      <c r="AA270" s="178" t="str">
        <f t="shared" si="24"/>
        <v xml:space="preserve"> - </v>
      </c>
      <c r="AB270" s="180" t="str">
        <f t="shared" si="25"/>
        <v xml:space="preserve"> - </v>
      </c>
      <c r="AC270" s="180" t="str">
        <f t="shared" si="22"/>
        <v xml:space="preserve"> - </v>
      </c>
      <c r="AD270" s="182" t="str">
        <f t="shared" si="21"/>
        <v xml:space="preserve"> - </v>
      </c>
      <c r="AE270" s="184">
        <f t="shared" si="23"/>
        <v>0</v>
      </c>
      <c r="AF270" s="186">
        <f t="shared" si="27"/>
        <v>0</v>
      </c>
      <c r="AG270" s="188" t="str">
        <f t="array" ref="AG270" xml:space="preserve"> IFERROR( IF( D270="", "-", _xlfn.AGGREGATE(15,6, ( ( ($D$21:$D$27 = D270) * IF($D$19&lt;&gt;"", --($E$21:$E$27 = E270), 1) * IF($H$19&lt;&gt;"", --($F$21:$F$27 = F270), 1)  ) / ( ( $D$21:$D$27 = D270) * IF($D$19&lt;&gt;"", --($E$21:$E$27 = E270), 1)  * IF($H$19&lt;&gt;"", --($F$21:$F$27 = F270), 1) ) ) * $AF$21:$AF$27,1)    ), "-")</f>
        <v>-</v>
      </c>
      <c r="BB270"/>
      <c r="BE270" s="67"/>
    </row>
    <row r="271" spans="2:57" x14ac:dyDescent="0.25">
      <c r="B271" s="158" t="s">
        <v>499</v>
      </c>
      <c r="C271" s="158"/>
      <c r="D271" s="189" t="s">
        <v>752</v>
      </c>
      <c r="E271" s="160" t="s">
        <v>945</v>
      </c>
      <c r="F271" s="189" t="s">
        <v>948</v>
      </c>
      <c r="G271" s="163"/>
      <c r="H271" s="163"/>
      <c r="I271" s="158"/>
      <c r="J271" s="158"/>
      <c r="K271" s="167"/>
      <c r="L271" s="168"/>
      <c r="M271" s="167"/>
      <c r="N271" s="167"/>
      <c r="O271" s="210"/>
      <c r="P271" s="170"/>
      <c r="Q271" s="169"/>
      <c r="R271" s="158"/>
      <c r="S271" s="158"/>
      <c r="T271" s="162"/>
      <c r="U271" s="164"/>
      <c r="V271" s="165"/>
      <c r="W271" s="166"/>
      <c r="X271" s="172"/>
      <c r="Y271" s="174"/>
      <c r="Z271" s="176"/>
      <c r="AA271" s="178" t="str">
        <f t="shared" si="24"/>
        <v xml:space="preserve"> - </v>
      </c>
      <c r="AB271" s="180" t="str">
        <f t="shared" si="25"/>
        <v xml:space="preserve"> - </v>
      </c>
      <c r="AC271" s="180" t="str">
        <f t="shared" si="22"/>
        <v xml:space="preserve"> - </v>
      </c>
      <c r="AD271" s="182" t="str">
        <f t="shared" si="21"/>
        <v xml:space="preserve"> - </v>
      </c>
      <c r="AE271" s="184">
        <f t="shared" si="23"/>
        <v>0</v>
      </c>
      <c r="AF271" s="186">
        <f t="shared" si="27"/>
        <v>0</v>
      </c>
      <c r="AG271" s="188" t="str">
        <f t="array" ref="AG271" xml:space="preserve"> IFERROR( IF( D271="", "-", _xlfn.AGGREGATE(15,6, ( ( ($D$21:$D$27 = D271) * IF($D$19&lt;&gt;"", --($E$21:$E$27 = E271), 1) * IF($H$19&lt;&gt;"", --($F$21:$F$27 = F271), 1)  ) / ( ( $D$21:$D$27 = D271) * IF($D$19&lt;&gt;"", --($E$21:$E$27 = E271), 1)  * IF($H$19&lt;&gt;"", --($F$21:$F$27 = F271), 1) ) ) * $AF$21:$AF$27,1)    ), "-")</f>
        <v>-</v>
      </c>
      <c r="BB271"/>
      <c r="BE271" s="67"/>
    </row>
    <row r="272" spans="2:57" x14ac:dyDescent="0.25">
      <c r="B272" s="158" t="s">
        <v>500</v>
      </c>
      <c r="C272" s="158"/>
      <c r="D272" s="189" t="s">
        <v>752</v>
      </c>
      <c r="E272" s="160" t="s">
        <v>946</v>
      </c>
      <c r="F272" s="189" t="s">
        <v>941</v>
      </c>
      <c r="G272" s="163"/>
      <c r="H272" s="163"/>
      <c r="I272" s="158"/>
      <c r="J272" s="158"/>
      <c r="K272" s="167" t="s">
        <v>688</v>
      </c>
      <c r="L272" s="168">
        <v>125</v>
      </c>
      <c r="M272" s="167" t="s">
        <v>900</v>
      </c>
      <c r="N272" s="167"/>
      <c r="O272" s="210"/>
      <c r="P272" s="170"/>
      <c r="Q272" s="169"/>
      <c r="R272" s="158"/>
      <c r="S272" s="158"/>
      <c r="T272" s="162"/>
      <c r="U272" s="164"/>
      <c r="V272" s="165"/>
      <c r="W272" s="166">
        <v>1</v>
      </c>
      <c r="X272" s="172"/>
      <c r="Y272" s="174"/>
      <c r="Z272" s="176"/>
      <c r="AA272" s="178" t="str">
        <f t="shared" si="24"/>
        <v xml:space="preserve"> - </v>
      </c>
      <c r="AB272" s="180" t="str">
        <f t="shared" si="25"/>
        <v xml:space="preserve"> - </v>
      </c>
      <c r="AC272" s="180" t="e">
        <f t="shared" si="22"/>
        <v>#VALUE!</v>
      </c>
      <c r="AD272" s="182" t="str">
        <f t="shared" si="21"/>
        <v xml:space="preserve"> - </v>
      </c>
      <c r="AE272" s="184">
        <f t="shared" si="23"/>
        <v>0</v>
      </c>
      <c r="AF272" s="186">
        <f t="shared" si="27"/>
        <v>0</v>
      </c>
      <c r="AG272" s="188" t="str">
        <f t="array" ref="AG272" xml:space="preserve"> IFERROR( IF( D272="", "-", _xlfn.AGGREGATE(15,6, ( ( ($D$21:$D$27 = D272) * IF($D$19&lt;&gt;"", --($E$21:$E$27 = E272), 1) * IF($H$19&lt;&gt;"", --($F$21:$F$27 = F272), 1)  ) / ( ( $D$21:$D$27 = D272) * IF($D$19&lt;&gt;"", --($E$21:$E$27 = E272), 1)  * IF($H$19&lt;&gt;"", --($F$21:$F$27 = F272), 1) ) ) * $AF$21:$AF$27,1)    ), "-")</f>
        <v>-</v>
      </c>
      <c r="BB272"/>
      <c r="BE272" s="67"/>
    </row>
    <row r="273" spans="2:57" x14ac:dyDescent="0.25">
      <c r="B273" s="158" t="s">
        <v>501</v>
      </c>
      <c r="C273" s="158"/>
      <c r="D273" s="189" t="s">
        <v>752</v>
      </c>
      <c r="E273" s="160" t="s">
        <v>946</v>
      </c>
      <c r="F273" s="189" t="s">
        <v>948</v>
      </c>
      <c r="G273" s="163"/>
      <c r="H273" s="163"/>
      <c r="I273" s="158"/>
      <c r="J273" s="158"/>
      <c r="K273" s="167" t="s">
        <v>688</v>
      </c>
      <c r="L273" s="168">
        <v>125</v>
      </c>
      <c r="M273" s="167" t="s">
        <v>900</v>
      </c>
      <c r="N273" s="167"/>
      <c r="O273" s="210"/>
      <c r="P273" s="170"/>
      <c r="Q273" s="169"/>
      <c r="R273" s="158"/>
      <c r="S273" s="158"/>
      <c r="T273" s="162"/>
      <c r="U273" s="164"/>
      <c r="V273" s="165"/>
      <c r="W273" s="166">
        <v>1</v>
      </c>
      <c r="X273" s="172"/>
      <c r="Y273" s="174"/>
      <c r="Z273" s="176"/>
      <c r="AA273" s="178" t="str">
        <f t="shared" si="24"/>
        <v xml:space="preserve"> - </v>
      </c>
      <c r="AB273" s="180" t="str">
        <f t="shared" si="25"/>
        <v xml:space="preserve"> - </v>
      </c>
      <c r="AC273" s="180" t="e">
        <f t="shared" si="22"/>
        <v>#VALUE!</v>
      </c>
      <c r="AD273" s="182" t="str">
        <f t="shared" si="21"/>
        <v xml:space="preserve"> - </v>
      </c>
      <c r="AE273" s="184">
        <f t="shared" si="23"/>
        <v>0</v>
      </c>
      <c r="AF273" s="186">
        <f t="shared" si="27"/>
        <v>0</v>
      </c>
      <c r="AG273" s="188" t="str">
        <f t="array" ref="AG273" xml:space="preserve"> IFERROR( IF( D273="", "-", _xlfn.AGGREGATE(15,6, ( ( ($D$21:$D$27 = D273) * IF($D$19&lt;&gt;"", --($E$21:$E$27 = E273), 1) * IF($H$19&lt;&gt;"", --($F$21:$F$27 = F273), 1)  ) / ( ( $D$21:$D$27 = D273) * IF($D$19&lt;&gt;"", --($E$21:$E$27 = E273), 1)  * IF($H$19&lt;&gt;"", --($F$21:$F$27 = F273), 1) ) ) * $AF$21:$AF$27,1)    ), "-")</f>
        <v>-</v>
      </c>
      <c r="BB273"/>
      <c r="BE273" s="67"/>
    </row>
    <row r="274" spans="2:57" x14ac:dyDescent="0.25">
      <c r="B274" s="158" t="s">
        <v>502</v>
      </c>
      <c r="C274" s="158"/>
      <c r="D274" s="189" t="s">
        <v>752</v>
      </c>
      <c r="E274" s="160" t="s">
        <v>947</v>
      </c>
      <c r="F274" s="189" t="s">
        <v>931</v>
      </c>
      <c r="G274" s="163"/>
      <c r="H274" s="163"/>
      <c r="I274" s="158"/>
      <c r="J274" s="158"/>
      <c r="K274" s="167"/>
      <c r="L274" s="168"/>
      <c r="M274" s="167"/>
      <c r="N274" s="167"/>
      <c r="O274" s="210"/>
      <c r="P274" s="170"/>
      <c r="Q274" s="169"/>
      <c r="R274" s="158"/>
      <c r="S274" s="158"/>
      <c r="T274" s="162"/>
      <c r="U274" s="164"/>
      <c r="V274" s="165"/>
      <c r="W274" s="166"/>
      <c r="X274" s="172"/>
      <c r="Y274" s="174"/>
      <c r="Z274" s="176"/>
      <c r="AA274" s="178" t="str">
        <f t="shared" si="24"/>
        <v xml:space="preserve"> - </v>
      </c>
      <c r="AB274" s="180" t="str">
        <f t="shared" si="25"/>
        <v xml:space="preserve"> - </v>
      </c>
      <c r="AC274" s="180" t="str">
        <f t="shared" si="22"/>
        <v xml:space="preserve"> - </v>
      </c>
      <c r="AD274" s="182" t="str">
        <f t="shared" si="21"/>
        <v xml:space="preserve"> - </v>
      </c>
      <c r="AE274" s="184">
        <f t="shared" si="23"/>
        <v>0</v>
      </c>
      <c r="AF274" s="186">
        <f t="shared" si="27"/>
        <v>0</v>
      </c>
      <c r="AG274" s="188" t="str">
        <f t="array" ref="AG274" xml:space="preserve"> IFERROR( IF( D274="", "-", _xlfn.AGGREGATE(15,6, ( ( ($D$21:$D$27 = D274) * IF($D$19&lt;&gt;"", --($E$21:$E$27 = E274), 1) * IF($H$19&lt;&gt;"", --($F$21:$F$27 = F274), 1)  ) / ( ( $D$21:$D$27 = D274) * IF($D$19&lt;&gt;"", --($E$21:$E$27 = E274), 1)  * IF($H$19&lt;&gt;"", --($F$21:$F$27 = F274), 1) ) ) * $AF$21:$AF$27,1)    ), "-")</f>
        <v>-</v>
      </c>
      <c r="BB274"/>
      <c r="BE274" s="67"/>
    </row>
    <row r="275" spans="2:57" x14ac:dyDescent="0.25">
      <c r="B275" s="158" t="s">
        <v>503</v>
      </c>
      <c r="C275" s="158"/>
      <c r="D275" s="189" t="s">
        <v>949</v>
      </c>
      <c r="E275" s="160" t="s">
        <v>633</v>
      </c>
      <c r="F275" s="162"/>
      <c r="G275" s="163"/>
      <c r="H275" s="163"/>
      <c r="I275" s="158"/>
      <c r="J275" s="158"/>
      <c r="K275" s="167"/>
      <c r="L275" s="168"/>
      <c r="M275" s="167"/>
      <c r="N275" s="167"/>
      <c r="O275" s="210"/>
      <c r="P275" s="170"/>
      <c r="Q275" s="169"/>
      <c r="R275" s="158"/>
      <c r="S275" s="158"/>
      <c r="T275" s="162"/>
      <c r="U275" s="164"/>
      <c r="V275" s="165"/>
      <c r="W275" s="166"/>
      <c r="X275" s="172"/>
      <c r="Y275" s="174"/>
      <c r="Z275" s="176"/>
      <c r="AA275" s="178" t="str">
        <f t="shared" si="24"/>
        <v xml:space="preserve"> - </v>
      </c>
      <c r="AB275" s="180" t="str">
        <f t="shared" si="25"/>
        <v xml:space="preserve"> - </v>
      </c>
      <c r="AC275" s="180" t="str">
        <f t="shared" si="22"/>
        <v xml:space="preserve"> - </v>
      </c>
      <c r="AD275" s="182" t="str">
        <f t="shared" si="21"/>
        <v xml:space="preserve"> - </v>
      </c>
      <c r="AE275" s="184">
        <f t="shared" si="23"/>
        <v>0</v>
      </c>
      <c r="AF275" s="186">
        <f t="shared" si="27"/>
        <v>0</v>
      </c>
      <c r="AG275" s="188" t="str">
        <f t="array" ref="AG275" xml:space="preserve"> IFERROR( IF( D275="", "-", _xlfn.AGGREGATE(15,6, ( ( ($D$21:$D$27 = D275) * IF($D$19&lt;&gt;"", --($E$21:$E$27 = E275), 1) * IF($H$19&lt;&gt;"", --($F$21:$F$27 = F275), 1)  ) / ( ( $D$21:$D$27 = D275) * IF($D$19&lt;&gt;"", --($E$21:$E$27 = E275), 1)  * IF($H$19&lt;&gt;"", --($F$21:$F$27 = F275), 1) ) ) * $AF$21:$AF$27,1)    ), "-")</f>
        <v>-</v>
      </c>
      <c r="BB275"/>
      <c r="BE275" s="67"/>
    </row>
    <row r="276" spans="2:57" x14ac:dyDescent="0.25">
      <c r="B276" s="158" t="s">
        <v>504</v>
      </c>
      <c r="C276" s="158"/>
      <c r="D276" s="189" t="s">
        <v>949</v>
      </c>
      <c r="E276" s="193" t="s">
        <v>598</v>
      </c>
      <c r="F276" s="162"/>
      <c r="G276" s="163"/>
      <c r="H276" s="163"/>
      <c r="I276" s="158"/>
      <c r="J276" s="158"/>
      <c r="K276" s="167"/>
      <c r="L276" s="168"/>
      <c r="M276" s="167"/>
      <c r="N276" s="167"/>
      <c r="O276" s="210"/>
      <c r="P276" s="170"/>
      <c r="Q276" s="169"/>
      <c r="R276" s="158"/>
      <c r="S276" s="158"/>
      <c r="T276" s="162"/>
      <c r="U276" s="164"/>
      <c r="V276" s="165"/>
      <c r="W276" s="166"/>
      <c r="X276" s="172"/>
      <c r="Y276" s="174"/>
      <c r="Z276" s="176"/>
      <c r="AA276" s="178" t="str">
        <f t="shared" si="24"/>
        <v xml:space="preserve"> - </v>
      </c>
      <c r="AB276" s="180" t="str">
        <f t="shared" si="25"/>
        <v xml:space="preserve"> - </v>
      </c>
      <c r="AC276" s="180" t="str">
        <f t="shared" si="22"/>
        <v xml:space="preserve"> - </v>
      </c>
      <c r="AD276" s="182" t="str">
        <f t="shared" si="21"/>
        <v xml:space="preserve"> - </v>
      </c>
      <c r="AE276" s="184">
        <f t="shared" si="23"/>
        <v>0</v>
      </c>
      <c r="AF276" s="186">
        <f t="shared" si="27"/>
        <v>0</v>
      </c>
      <c r="AG276" s="188" t="str">
        <f t="array" ref="AG276" xml:space="preserve"> IFERROR( IF( D276="", "-", _xlfn.AGGREGATE(15,6, ( ( ($D$21:$D$27 = D276) * IF($D$19&lt;&gt;"", --($E$21:$E$27 = E276), 1) * IF($H$19&lt;&gt;"", --($F$21:$F$27 = F276), 1)  ) / ( ( $D$21:$D$27 = D276) * IF($D$19&lt;&gt;"", --($E$21:$E$27 = E276), 1)  * IF($H$19&lt;&gt;"", --($F$21:$F$27 = F276), 1) ) ) * $AF$21:$AF$27,1)    ), "-")</f>
        <v>-</v>
      </c>
      <c r="BB276"/>
      <c r="BE276" s="67"/>
    </row>
    <row r="277" spans="2:57" x14ac:dyDescent="0.25">
      <c r="B277" s="158" t="s">
        <v>505</v>
      </c>
      <c r="C277" s="158"/>
      <c r="D277" s="189" t="s">
        <v>949</v>
      </c>
      <c r="E277" s="160" t="s">
        <v>597</v>
      </c>
      <c r="F277" s="162"/>
      <c r="G277" s="163"/>
      <c r="H277" s="163"/>
      <c r="I277" s="158"/>
      <c r="J277" s="158"/>
      <c r="K277" s="167"/>
      <c r="L277" s="168"/>
      <c r="M277" s="167"/>
      <c r="N277" s="167"/>
      <c r="O277" s="210"/>
      <c r="P277" s="170"/>
      <c r="Q277" s="169"/>
      <c r="R277" s="158"/>
      <c r="S277" s="158"/>
      <c r="T277" s="162"/>
      <c r="U277" s="164"/>
      <c r="V277" s="165"/>
      <c r="W277" s="166"/>
      <c r="X277" s="172"/>
      <c r="Y277" s="174"/>
      <c r="Z277" s="176"/>
      <c r="AA277" s="178" t="str">
        <f t="shared" si="24"/>
        <v xml:space="preserve"> - </v>
      </c>
      <c r="AB277" s="180" t="str">
        <f t="shared" si="25"/>
        <v xml:space="preserve"> - </v>
      </c>
      <c r="AC277" s="180" t="str">
        <f t="shared" si="22"/>
        <v xml:space="preserve"> - </v>
      </c>
      <c r="AD277" s="182" t="str">
        <f t="shared" ref="AD277:AD340" si="28">IF($Q277&gt;0,$AC277/$Q277, " - " )</f>
        <v xml:space="preserve"> - </v>
      </c>
      <c r="AE277" s="184">
        <f t="shared" si="23"/>
        <v>0</v>
      </c>
      <c r="AF277" s="186">
        <f t="shared" si="27"/>
        <v>0</v>
      </c>
      <c r="AG277" s="188" t="str">
        <f t="array" ref="AG277" xml:space="preserve"> IFERROR( IF( D277="", "-", _xlfn.AGGREGATE(15,6, ( ( ($D$21:$D$27 = D277) * IF($D$19&lt;&gt;"", --($E$21:$E$27 = E277), 1) * IF($H$19&lt;&gt;"", --($F$21:$F$27 = F277), 1)  ) / ( ( $D$21:$D$27 = D277) * IF($D$19&lt;&gt;"", --($E$21:$E$27 = E277), 1)  * IF($H$19&lt;&gt;"", --($F$21:$F$27 = F277), 1) ) ) * $AF$21:$AF$27,1)    ), "-")</f>
        <v>-</v>
      </c>
      <c r="BB277"/>
      <c r="BE277" s="67"/>
    </row>
    <row r="278" spans="2:57" x14ac:dyDescent="0.25">
      <c r="B278" s="158" t="s">
        <v>506</v>
      </c>
      <c r="C278" s="158"/>
      <c r="D278" s="162" t="s">
        <v>506</v>
      </c>
      <c r="E278" s="160"/>
      <c r="F278" s="162"/>
      <c r="G278" s="163"/>
      <c r="H278" s="163"/>
      <c r="I278" s="158"/>
      <c r="J278" s="158"/>
      <c r="K278" s="167"/>
      <c r="L278" s="168"/>
      <c r="M278" s="167"/>
      <c r="N278" s="167"/>
      <c r="O278" s="210"/>
      <c r="P278" s="170"/>
      <c r="Q278" s="169"/>
      <c r="R278" s="158"/>
      <c r="S278" s="158"/>
      <c r="T278" s="162"/>
      <c r="U278" s="164"/>
      <c r="V278" s="165"/>
      <c r="W278" s="166"/>
      <c r="X278" s="172"/>
      <c r="Y278" s="174"/>
      <c r="Z278" s="176"/>
      <c r="AA278" s="178" t="str">
        <f t="shared" si="24"/>
        <v xml:space="preserve"> - </v>
      </c>
      <c r="AB278" s="180" t="str">
        <f t="shared" si="25"/>
        <v xml:space="preserve"> - </v>
      </c>
      <c r="AC278" s="180" t="str">
        <f t="shared" si="22"/>
        <v xml:space="preserve"> - </v>
      </c>
      <c r="AD278" s="182" t="str">
        <f t="shared" si="28"/>
        <v xml:space="preserve"> - </v>
      </c>
      <c r="AE278" s="184">
        <f t="shared" si="23"/>
        <v>0</v>
      </c>
      <c r="AF278" s="186">
        <f t="shared" si="27"/>
        <v>0</v>
      </c>
      <c r="AG278" s="188" t="str">
        <f t="array" ref="AG278" xml:space="preserve"> IFERROR( IF( D278="", "-", _xlfn.AGGREGATE(15,6, ( ( ($D$21:$D$27 = D278) * IF($D$19&lt;&gt;"", --($E$21:$E$27 = E278), 1) * IF($H$19&lt;&gt;"", --($F$21:$F$27 = F278), 1)  ) / ( ( $D$21:$D$27 = D278) * IF($D$19&lt;&gt;"", --($E$21:$E$27 = E278), 1)  * IF($H$19&lt;&gt;"", --($F$21:$F$27 = F278), 1) ) ) * $AF$21:$AF$27,1)    ), "-")</f>
        <v>-</v>
      </c>
      <c r="BB278"/>
      <c r="BE278" s="67"/>
    </row>
    <row r="279" spans="2:57" x14ac:dyDescent="0.25">
      <c r="B279" s="158" t="s">
        <v>507</v>
      </c>
      <c r="C279" s="158"/>
      <c r="D279" s="162" t="s">
        <v>507</v>
      </c>
      <c r="E279" s="160"/>
      <c r="F279" s="162"/>
      <c r="G279" s="163"/>
      <c r="H279" s="163"/>
      <c r="I279" s="158"/>
      <c r="J279" s="158"/>
      <c r="K279" s="167"/>
      <c r="L279" s="168"/>
      <c r="M279" s="167"/>
      <c r="N279" s="167"/>
      <c r="O279" s="210"/>
      <c r="P279" s="170"/>
      <c r="Q279" s="169"/>
      <c r="R279" s="158"/>
      <c r="S279" s="158"/>
      <c r="T279" s="162"/>
      <c r="U279" s="164"/>
      <c r="V279" s="165"/>
      <c r="W279" s="166"/>
      <c r="X279" s="172"/>
      <c r="Y279" s="174"/>
      <c r="Z279" s="176"/>
      <c r="AA279" s="178" t="str">
        <f t="shared" si="24"/>
        <v xml:space="preserve"> - </v>
      </c>
      <c r="AB279" s="180" t="str">
        <f t="shared" si="25"/>
        <v xml:space="preserve"> - </v>
      </c>
      <c r="AC279" s="180" t="str">
        <f t="shared" si="22"/>
        <v xml:space="preserve"> - </v>
      </c>
      <c r="AD279" s="182" t="str">
        <f t="shared" si="28"/>
        <v xml:space="preserve"> - </v>
      </c>
      <c r="AE279" s="184">
        <f t="shared" si="23"/>
        <v>0</v>
      </c>
      <c r="AF279" s="186">
        <f t="shared" si="27"/>
        <v>0</v>
      </c>
      <c r="AG279" s="188" t="str">
        <f t="array" ref="AG279" xml:space="preserve"> IFERROR( IF( D279="", "-", _xlfn.AGGREGATE(15,6, ( ( ($D$21:$D$27 = D279) * IF($D$19&lt;&gt;"", --($E$21:$E$27 = E279), 1) * IF($H$19&lt;&gt;"", --($F$21:$F$27 = F279), 1)  ) / ( ( $D$21:$D$27 = D279) * IF($D$19&lt;&gt;"", --($E$21:$E$27 = E279), 1)  * IF($H$19&lt;&gt;"", --($F$21:$F$27 = F279), 1) ) ) * $AF$21:$AF$27,1)    ), "-")</f>
        <v>-</v>
      </c>
      <c r="BB279"/>
      <c r="BE279" s="67"/>
    </row>
    <row r="280" spans="2:57" x14ac:dyDescent="0.25">
      <c r="B280" s="158" t="s">
        <v>508</v>
      </c>
      <c r="C280" s="158"/>
      <c r="D280" s="162" t="s">
        <v>508</v>
      </c>
      <c r="E280" s="160"/>
      <c r="F280" s="162"/>
      <c r="G280" s="163"/>
      <c r="H280" s="163"/>
      <c r="I280" s="158"/>
      <c r="J280" s="158"/>
      <c r="K280" s="167"/>
      <c r="L280" s="168"/>
      <c r="M280" s="167"/>
      <c r="N280" s="167"/>
      <c r="O280" s="210"/>
      <c r="P280" s="170"/>
      <c r="Q280" s="169"/>
      <c r="R280" s="158"/>
      <c r="S280" s="158"/>
      <c r="T280" s="162"/>
      <c r="U280" s="164"/>
      <c r="V280" s="165"/>
      <c r="W280" s="166"/>
      <c r="X280" s="172"/>
      <c r="Y280" s="174"/>
      <c r="Z280" s="176"/>
      <c r="AA280" s="178" t="str">
        <f t="shared" si="24"/>
        <v xml:space="preserve"> - </v>
      </c>
      <c r="AB280" s="180" t="str">
        <f t="shared" si="25"/>
        <v xml:space="preserve"> - </v>
      </c>
      <c r="AC280" s="180" t="str">
        <f t="shared" si="22"/>
        <v xml:space="preserve"> - </v>
      </c>
      <c r="AD280" s="182" t="str">
        <f t="shared" si="28"/>
        <v xml:space="preserve"> - </v>
      </c>
      <c r="AE280" s="184">
        <f t="shared" si="23"/>
        <v>0</v>
      </c>
      <c r="AF280" s="186">
        <f t="shared" si="27"/>
        <v>0</v>
      </c>
      <c r="AG280" s="188" t="str">
        <f t="array" ref="AG280" xml:space="preserve"> IFERROR( IF( D280="", "-", _xlfn.AGGREGATE(15,6, ( ( ($D$21:$D$27 = D280) * IF($D$19&lt;&gt;"", --($E$21:$E$27 = E280), 1) * IF($H$19&lt;&gt;"", --($F$21:$F$27 = F280), 1)  ) / ( ( $D$21:$D$27 = D280) * IF($D$19&lt;&gt;"", --($E$21:$E$27 = E280), 1)  * IF($H$19&lt;&gt;"", --($F$21:$F$27 = F280), 1) ) ) * $AF$21:$AF$27,1)    ), "-")</f>
        <v>-</v>
      </c>
      <c r="BB280"/>
      <c r="BE280" s="67"/>
    </row>
    <row r="281" spans="2:57" x14ac:dyDescent="0.25">
      <c r="B281" s="158" t="s">
        <v>509</v>
      </c>
      <c r="C281" s="158"/>
      <c r="D281" s="189" t="s">
        <v>951</v>
      </c>
      <c r="E281" s="160"/>
      <c r="F281" s="162"/>
      <c r="G281" s="163" t="s">
        <v>950</v>
      </c>
      <c r="H281" s="163"/>
      <c r="I281" s="158"/>
      <c r="J281" s="158"/>
      <c r="K281" s="167"/>
      <c r="L281" s="168"/>
      <c r="M281" s="167"/>
      <c r="N281" s="167"/>
      <c r="O281" s="210"/>
      <c r="P281" s="170"/>
      <c r="Q281" s="169"/>
      <c r="R281" s="158"/>
      <c r="S281" s="158"/>
      <c r="T281" s="162"/>
      <c r="U281" s="164"/>
      <c r="V281" s="165"/>
      <c r="W281" s="166"/>
      <c r="X281" s="172"/>
      <c r="Y281" s="174"/>
      <c r="Z281" s="176"/>
      <c r="AA281" s="178" t="str">
        <f t="shared" si="24"/>
        <v xml:space="preserve"> - </v>
      </c>
      <c r="AB281" s="180" t="str">
        <f t="shared" si="25"/>
        <v xml:space="preserve"> - </v>
      </c>
      <c r="AC281" s="180" t="str">
        <f t="shared" si="22"/>
        <v xml:space="preserve"> - </v>
      </c>
      <c r="AD281" s="182" t="str">
        <f t="shared" si="28"/>
        <v xml:space="preserve"> - </v>
      </c>
      <c r="AE281" s="184">
        <f t="shared" si="23"/>
        <v>0</v>
      </c>
      <c r="AF281" s="186">
        <f t="shared" si="27"/>
        <v>0</v>
      </c>
      <c r="AG281" s="188" t="str">
        <f t="array" ref="AG281" xml:space="preserve"> IFERROR( IF( D281="", "-", _xlfn.AGGREGATE(15,6, ( ( ($D$21:$D$27 = D281) * IF($D$19&lt;&gt;"", --($E$21:$E$27 = E281), 1) * IF($H$19&lt;&gt;"", --($F$21:$F$27 = F281), 1)  ) / ( ( $D$21:$D$27 = D281) * IF($D$19&lt;&gt;"", --($E$21:$E$27 = E281), 1)  * IF($H$19&lt;&gt;"", --($F$21:$F$27 = F281), 1) ) ) * $AF$21:$AF$27,1)    ), "-")</f>
        <v>-</v>
      </c>
      <c r="BB281"/>
      <c r="BE281" s="67"/>
    </row>
    <row r="282" spans="2:57" x14ac:dyDescent="0.25">
      <c r="B282" s="158" t="s">
        <v>510</v>
      </c>
      <c r="C282" s="158"/>
      <c r="D282" s="189" t="s">
        <v>952</v>
      </c>
      <c r="E282" s="160"/>
      <c r="F282" s="162"/>
      <c r="G282" s="163"/>
      <c r="H282" s="163"/>
      <c r="I282" s="158"/>
      <c r="J282" s="158"/>
      <c r="K282" s="167"/>
      <c r="L282" s="168"/>
      <c r="M282" s="167"/>
      <c r="N282" s="167"/>
      <c r="O282" s="210"/>
      <c r="P282" s="170"/>
      <c r="Q282" s="169"/>
      <c r="R282" s="158"/>
      <c r="S282" s="158"/>
      <c r="T282" s="162"/>
      <c r="U282" s="164"/>
      <c r="V282" s="165"/>
      <c r="W282" s="166"/>
      <c r="X282" s="172"/>
      <c r="Y282" s="174"/>
      <c r="Z282" s="176"/>
      <c r="AA282" s="178" t="str">
        <f t="shared" si="24"/>
        <v xml:space="preserve"> - </v>
      </c>
      <c r="AB282" s="180" t="str">
        <f t="shared" si="25"/>
        <v xml:space="preserve"> - </v>
      </c>
      <c r="AC282" s="180" t="str">
        <f t="shared" ref="AC282:AC345" si="29">IF($L282&gt;0,$AB282/$L282, " - " )</f>
        <v xml:space="preserve"> - </v>
      </c>
      <c r="AD282" s="182" t="str">
        <f t="shared" si="28"/>
        <v xml:space="preserve"> - </v>
      </c>
      <c r="AE282" s="184">
        <f t="shared" ref="AE282:AE336" si="30">IFERROR(   (IF(ISNUMBER( $U282 ), $U282, IF( ISNUMBER( $V282 ),$V282, 0 ) ) + $X282 ) /  (  IF(ISNUMBER( $W282), $W282, 1) * IF(ISNUMBER( $L282), $L282, 1) ), "-")</f>
        <v>0</v>
      </c>
      <c r="AF282" s="186">
        <f t="shared" si="27"/>
        <v>0</v>
      </c>
      <c r="AG282" s="188" t="str">
        <f t="array" ref="AG282" xml:space="preserve"> IFERROR( IF( D282="", "-", _xlfn.AGGREGATE(15,6, ( ( ($D$21:$D$27 = D282) * IF($D$19&lt;&gt;"", --($E$21:$E$27 = E282), 1) * IF($H$19&lt;&gt;"", --($F$21:$F$27 = F282), 1)  ) / ( ( $D$21:$D$27 = D282) * IF($D$19&lt;&gt;"", --($E$21:$E$27 = E282), 1)  * IF($H$19&lt;&gt;"", --($F$21:$F$27 = F282), 1) ) ) * $AF$21:$AF$27,1)    ), "-")</f>
        <v>-</v>
      </c>
      <c r="BB282"/>
      <c r="BE282" s="67"/>
    </row>
    <row r="283" spans="2:57" x14ac:dyDescent="0.25">
      <c r="B283" s="158" t="s">
        <v>511</v>
      </c>
      <c r="C283" s="158"/>
      <c r="D283" s="189" t="s">
        <v>954</v>
      </c>
      <c r="E283" s="160"/>
      <c r="F283" s="162"/>
      <c r="G283" s="163" t="s">
        <v>953</v>
      </c>
      <c r="H283" s="163"/>
      <c r="I283" s="158"/>
      <c r="J283" s="158"/>
      <c r="K283" s="167"/>
      <c r="L283" s="168"/>
      <c r="M283" s="167"/>
      <c r="N283" s="167"/>
      <c r="O283" s="210"/>
      <c r="P283" s="170"/>
      <c r="Q283" s="169"/>
      <c r="R283" s="158"/>
      <c r="S283" s="158"/>
      <c r="T283" s="162"/>
      <c r="U283" s="164"/>
      <c r="V283" s="165"/>
      <c r="W283" s="166"/>
      <c r="X283" s="172"/>
      <c r="Y283" s="174"/>
      <c r="Z283" s="176"/>
      <c r="AA283" s="178" t="str">
        <f t="shared" si="24"/>
        <v xml:space="preserve"> - </v>
      </c>
      <c r="AB283" s="180" t="str">
        <f t="shared" si="25"/>
        <v xml:space="preserve"> - </v>
      </c>
      <c r="AC283" s="180" t="str">
        <f t="shared" si="29"/>
        <v xml:space="preserve"> - </v>
      </c>
      <c r="AD283" s="182" t="str">
        <f t="shared" si="28"/>
        <v xml:space="preserve"> - </v>
      </c>
      <c r="AE283" s="184">
        <f t="shared" si="30"/>
        <v>0</v>
      </c>
      <c r="AF283" s="186">
        <f t="shared" si="27"/>
        <v>0</v>
      </c>
      <c r="AG283" s="188" t="str">
        <f t="array" ref="AG283" xml:space="preserve"> IFERROR( IF( D283="", "-", _xlfn.AGGREGATE(15,6, ( ( ($D$21:$D$27 = D283) * IF($D$19&lt;&gt;"", --($E$21:$E$27 = E283), 1) * IF($H$19&lt;&gt;"", --($F$21:$F$27 = F283), 1)  ) / ( ( $D$21:$D$27 = D283) * IF($D$19&lt;&gt;"", --($E$21:$E$27 = E283), 1)  * IF($H$19&lt;&gt;"", --($F$21:$F$27 = F283), 1) ) ) * $AF$21:$AF$27,1)    ), "-")</f>
        <v>-</v>
      </c>
      <c r="BB283"/>
      <c r="BE283" s="67"/>
    </row>
    <row r="284" spans="2:57" x14ac:dyDescent="0.25">
      <c r="B284" s="158" t="s">
        <v>512</v>
      </c>
      <c r="C284" s="158"/>
      <c r="D284" s="189" t="s">
        <v>955</v>
      </c>
      <c r="E284" s="160"/>
      <c r="F284" s="162"/>
      <c r="G284" s="163" t="s">
        <v>956</v>
      </c>
      <c r="H284" s="163"/>
      <c r="I284" s="158"/>
      <c r="J284" s="158"/>
      <c r="K284" s="167"/>
      <c r="L284" s="168"/>
      <c r="M284" s="167"/>
      <c r="N284" s="167"/>
      <c r="O284" s="210"/>
      <c r="P284" s="170"/>
      <c r="Q284" s="169"/>
      <c r="R284" s="158"/>
      <c r="S284" s="158"/>
      <c r="T284" s="162"/>
      <c r="U284" s="164"/>
      <c r="V284" s="165"/>
      <c r="W284" s="166"/>
      <c r="X284" s="172"/>
      <c r="Y284" s="174"/>
      <c r="Z284" s="176"/>
      <c r="AA284" s="178" t="str">
        <f t="shared" si="24"/>
        <v xml:space="preserve"> - </v>
      </c>
      <c r="AB284" s="180" t="str">
        <f t="shared" si="25"/>
        <v xml:space="preserve"> - </v>
      </c>
      <c r="AC284" s="180" t="str">
        <f t="shared" si="29"/>
        <v xml:space="preserve"> - </v>
      </c>
      <c r="AD284" s="182" t="str">
        <f t="shared" si="28"/>
        <v xml:space="preserve"> - </v>
      </c>
      <c r="AE284" s="184">
        <f t="shared" si="30"/>
        <v>0</v>
      </c>
      <c r="AF284" s="186">
        <f t="shared" si="27"/>
        <v>0</v>
      </c>
      <c r="AG284" s="188" t="str">
        <f t="array" ref="AG284" xml:space="preserve"> IFERROR( IF( D284="", "-", _xlfn.AGGREGATE(15,6, ( ( ($D$21:$D$27 = D284) * IF($D$19&lt;&gt;"", --($E$21:$E$27 = E284), 1) * IF($H$19&lt;&gt;"", --($F$21:$F$27 = F284), 1)  ) / ( ( $D$21:$D$27 = D284) * IF($D$19&lt;&gt;"", --($E$21:$E$27 = E284), 1)  * IF($H$19&lt;&gt;"", --($F$21:$F$27 = F284), 1) ) ) * $AF$21:$AF$27,1)    ), "-")</f>
        <v>-</v>
      </c>
      <c r="BB284"/>
      <c r="BE284" s="67"/>
    </row>
    <row r="285" spans="2:57" x14ac:dyDescent="0.25">
      <c r="B285" s="158" t="s">
        <v>513</v>
      </c>
      <c r="C285" s="158"/>
      <c r="D285" s="189" t="s">
        <v>955</v>
      </c>
      <c r="E285" s="160"/>
      <c r="F285" s="162"/>
      <c r="G285" s="163" t="s">
        <v>957</v>
      </c>
      <c r="H285" s="163"/>
      <c r="I285" s="158"/>
      <c r="J285" s="158"/>
      <c r="K285" s="167"/>
      <c r="L285" s="168"/>
      <c r="M285" s="167"/>
      <c r="N285" s="167"/>
      <c r="O285" s="210"/>
      <c r="P285" s="170"/>
      <c r="Q285" s="169"/>
      <c r="R285" s="158"/>
      <c r="S285" s="158"/>
      <c r="T285" s="162"/>
      <c r="U285" s="164"/>
      <c r="V285" s="165"/>
      <c r="W285" s="166"/>
      <c r="X285" s="172"/>
      <c r="Y285" s="174"/>
      <c r="Z285" s="176"/>
      <c r="AA285" s="178" t="str">
        <f t="shared" si="24"/>
        <v xml:space="preserve"> - </v>
      </c>
      <c r="AB285" s="180" t="str">
        <f t="shared" si="25"/>
        <v xml:space="preserve"> - </v>
      </c>
      <c r="AC285" s="180" t="str">
        <f t="shared" si="29"/>
        <v xml:space="preserve"> - </v>
      </c>
      <c r="AD285" s="182" t="str">
        <f t="shared" si="28"/>
        <v xml:space="preserve"> - </v>
      </c>
      <c r="AE285" s="184">
        <f t="shared" si="30"/>
        <v>0</v>
      </c>
      <c r="AF285" s="186">
        <f t="shared" si="27"/>
        <v>0</v>
      </c>
      <c r="AG285" s="188" t="str">
        <f t="array" ref="AG285" xml:space="preserve"> IFERROR( IF( D285="", "-", _xlfn.AGGREGATE(15,6, ( ( ($D$21:$D$27 = D285) * IF($D$19&lt;&gt;"", --($E$21:$E$27 = E285), 1) * IF($H$19&lt;&gt;"", --($F$21:$F$27 = F285), 1)  ) / ( ( $D$21:$D$27 = D285) * IF($D$19&lt;&gt;"", --($E$21:$E$27 = E285), 1)  * IF($H$19&lt;&gt;"", --($F$21:$F$27 = F285), 1) ) ) * $AF$21:$AF$27,1)    ), "-")</f>
        <v>-</v>
      </c>
      <c r="BB285"/>
      <c r="BE285" s="67"/>
    </row>
    <row r="286" spans="2:57" x14ac:dyDescent="0.25">
      <c r="B286" s="158" t="s">
        <v>514</v>
      </c>
      <c r="C286" s="158"/>
      <c r="D286" s="162" t="s">
        <v>514</v>
      </c>
      <c r="E286" s="160"/>
      <c r="F286" s="162"/>
      <c r="G286" s="163"/>
      <c r="H286" s="163"/>
      <c r="I286" s="158"/>
      <c r="J286" s="158"/>
      <c r="K286" s="167"/>
      <c r="L286" s="168"/>
      <c r="M286" s="167"/>
      <c r="N286" s="167"/>
      <c r="O286" s="210"/>
      <c r="P286" s="170"/>
      <c r="Q286" s="169"/>
      <c r="R286" s="158"/>
      <c r="S286" s="158"/>
      <c r="T286" s="162"/>
      <c r="U286" s="164"/>
      <c r="V286" s="165"/>
      <c r="W286" s="166"/>
      <c r="X286" s="172"/>
      <c r="Y286" s="174"/>
      <c r="Z286" s="176"/>
      <c r="AA286" s="178" t="str">
        <f t="shared" si="24"/>
        <v xml:space="preserve"> - </v>
      </c>
      <c r="AB286" s="180" t="str">
        <f t="shared" si="25"/>
        <v xml:space="preserve"> - </v>
      </c>
      <c r="AC286" s="180" t="str">
        <f t="shared" si="29"/>
        <v xml:space="preserve"> - </v>
      </c>
      <c r="AD286" s="182" t="str">
        <f t="shared" si="28"/>
        <v xml:space="preserve"> - </v>
      </c>
      <c r="AE286" s="184">
        <f t="shared" si="30"/>
        <v>0</v>
      </c>
      <c r="AF286" s="186">
        <f t="shared" si="27"/>
        <v>0</v>
      </c>
      <c r="AG286" s="188" t="str">
        <f t="array" ref="AG286" xml:space="preserve"> IFERROR( IF( D286="", "-", _xlfn.AGGREGATE(15,6, ( ( ($D$21:$D$27 = D286) * IF($D$19&lt;&gt;"", --($E$21:$E$27 = E286), 1) * IF($H$19&lt;&gt;"", --($F$21:$F$27 = F286), 1)  ) / ( ( $D$21:$D$27 = D286) * IF($D$19&lt;&gt;"", --($E$21:$E$27 = E286), 1)  * IF($H$19&lt;&gt;"", --($F$21:$F$27 = F286), 1) ) ) * $AF$21:$AF$27,1)    ), "-")</f>
        <v>-</v>
      </c>
      <c r="BB286"/>
      <c r="BE286" s="67"/>
    </row>
    <row r="287" spans="2:57" x14ac:dyDescent="0.25">
      <c r="B287" s="158" t="s">
        <v>515</v>
      </c>
      <c r="C287" s="158"/>
      <c r="D287" s="189" t="s">
        <v>958</v>
      </c>
      <c r="E287" s="160" t="s">
        <v>167</v>
      </c>
      <c r="F287" s="162"/>
      <c r="G287" s="163"/>
      <c r="H287" s="163"/>
      <c r="I287" s="158"/>
      <c r="J287" s="158"/>
      <c r="K287" s="167"/>
      <c r="L287" s="168"/>
      <c r="M287" s="167"/>
      <c r="N287" s="167"/>
      <c r="O287" s="210"/>
      <c r="P287" s="170"/>
      <c r="Q287" s="169"/>
      <c r="R287" s="158"/>
      <c r="S287" s="158"/>
      <c r="T287" s="162"/>
      <c r="U287" s="164"/>
      <c r="V287" s="165"/>
      <c r="W287" s="166"/>
      <c r="X287" s="172"/>
      <c r="Y287" s="174"/>
      <c r="Z287" s="176"/>
      <c r="AA287" s="178" t="str">
        <f t="shared" si="24"/>
        <v xml:space="preserve"> - </v>
      </c>
      <c r="AB287" s="180" t="str">
        <f t="shared" si="25"/>
        <v xml:space="preserve"> - </v>
      </c>
      <c r="AC287" s="180" t="str">
        <f t="shared" si="29"/>
        <v xml:space="preserve"> - </v>
      </c>
      <c r="AD287" s="182" t="str">
        <f t="shared" si="28"/>
        <v xml:space="preserve"> - </v>
      </c>
      <c r="AE287" s="184">
        <f t="shared" si="30"/>
        <v>0</v>
      </c>
      <c r="AF287" s="186">
        <f t="shared" si="27"/>
        <v>0</v>
      </c>
      <c r="AG287" s="188" t="str">
        <f t="array" ref="AG287" xml:space="preserve"> IFERROR( IF( D287="", "-", _xlfn.AGGREGATE(15,6, ( ( ($D$21:$D$27 = D287) * IF($D$19&lt;&gt;"", --($E$21:$E$27 = E287), 1) * IF($H$19&lt;&gt;"", --($F$21:$F$27 = F287), 1)  ) / ( ( $D$21:$D$27 = D287) * IF($D$19&lt;&gt;"", --($E$21:$E$27 = E287), 1)  * IF($H$19&lt;&gt;"", --($F$21:$F$27 = F287), 1) ) ) * $AF$21:$AF$27,1)    ), "-")</f>
        <v>-</v>
      </c>
      <c r="BB287"/>
      <c r="BE287" s="67"/>
    </row>
    <row r="288" spans="2:57" x14ac:dyDescent="0.25">
      <c r="B288" s="158" t="s">
        <v>516</v>
      </c>
      <c r="C288" s="158"/>
      <c r="D288" s="189" t="s">
        <v>958</v>
      </c>
      <c r="E288" s="160" t="s">
        <v>959</v>
      </c>
      <c r="F288" s="162"/>
      <c r="G288" s="163"/>
      <c r="H288" s="163"/>
      <c r="I288" s="158"/>
      <c r="J288" s="158"/>
      <c r="K288" s="167"/>
      <c r="L288" s="168"/>
      <c r="M288" s="167"/>
      <c r="N288" s="167"/>
      <c r="O288" s="210"/>
      <c r="P288" s="170"/>
      <c r="Q288" s="169"/>
      <c r="R288" s="158"/>
      <c r="S288" s="158"/>
      <c r="T288" s="162"/>
      <c r="U288" s="164"/>
      <c r="V288" s="165"/>
      <c r="W288" s="166"/>
      <c r="X288" s="172"/>
      <c r="Y288" s="174"/>
      <c r="Z288" s="176"/>
      <c r="AA288" s="178" t="str">
        <f t="shared" si="24"/>
        <v xml:space="preserve"> - </v>
      </c>
      <c r="AB288" s="180" t="str">
        <f t="shared" si="25"/>
        <v xml:space="preserve"> - </v>
      </c>
      <c r="AC288" s="180" t="str">
        <f t="shared" si="29"/>
        <v xml:space="preserve"> - </v>
      </c>
      <c r="AD288" s="182" t="str">
        <f t="shared" si="28"/>
        <v xml:space="preserve"> - </v>
      </c>
      <c r="AE288" s="184">
        <f t="shared" si="30"/>
        <v>0</v>
      </c>
      <c r="AF288" s="186">
        <f t="shared" si="27"/>
        <v>0</v>
      </c>
      <c r="AG288" s="188" t="str">
        <f t="array" ref="AG288" xml:space="preserve"> IFERROR( IF( D288="", "-", _xlfn.AGGREGATE(15,6, ( ( ($D$21:$D$27 = D288) * IF($D$19&lt;&gt;"", --($E$21:$E$27 = E288), 1) * IF($H$19&lt;&gt;"", --($F$21:$F$27 = F288), 1)  ) / ( ( $D$21:$D$27 = D288) * IF($D$19&lt;&gt;"", --($E$21:$E$27 = E288), 1)  * IF($H$19&lt;&gt;"", --($F$21:$F$27 = F288), 1) ) ) * $AF$21:$AF$27,1)    ), "-")</f>
        <v>-</v>
      </c>
      <c r="BB288"/>
      <c r="BE288" s="67"/>
    </row>
    <row r="289" spans="2:57" x14ac:dyDescent="0.25">
      <c r="B289" s="158" t="s">
        <v>517</v>
      </c>
      <c r="C289" s="158"/>
      <c r="D289" s="189" t="s">
        <v>958</v>
      </c>
      <c r="E289" s="160" t="s">
        <v>617</v>
      </c>
      <c r="F289" s="162"/>
      <c r="G289" s="163"/>
      <c r="H289" s="163"/>
      <c r="I289" s="158"/>
      <c r="J289" s="158"/>
      <c r="K289" s="167"/>
      <c r="L289" s="168"/>
      <c r="M289" s="167"/>
      <c r="N289" s="167"/>
      <c r="O289" s="210"/>
      <c r="P289" s="170"/>
      <c r="Q289" s="169"/>
      <c r="R289" s="158"/>
      <c r="S289" s="158"/>
      <c r="T289" s="162"/>
      <c r="U289" s="164"/>
      <c r="V289" s="165"/>
      <c r="W289" s="166"/>
      <c r="X289" s="172"/>
      <c r="Y289" s="174"/>
      <c r="Z289" s="176"/>
      <c r="AA289" s="178" t="str">
        <f t="shared" ref="AA289:AA357" si="31">IF( ISNUMBER($U289), $U289, IF( ISNUMBER($T289), $T289 * IF( $V289="", 1,  $V289),            IF( ISNUMBER($V289), $V289 * IF( $W289="", 1,  $W289), " - ")           ) )</f>
        <v xml:space="preserve"> - </v>
      </c>
      <c r="AB289" s="180" t="str">
        <f t="shared" ref="AB289:AB357" si="32">IF( ISNUMBER($V289), $V289, IF( ISNUMBER($U289), $U289 / IF( $W289 &lt;&gt;"",  $W289, 1), " - ") )</f>
        <v xml:space="preserve"> - </v>
      </c>
      <c r="AC289" s="180" t="str">
        <f t="shared" si="29"/>
        <v xml:space="preserve"> - </v>
      </c>
      <c r="AD289" s="182" t="str">
        <f t="shared" si="28"/>
        <v xml:space="preserve"> - </v>
      </c>
      <c r="AE289" s="184">
        <f t="shared" si="30"/>
        <v>0</v>
      </c>
      <c r="AF289" s="186">
        <f t="shared" si="27"/>
        <v>0</v>
      </c>
      <c r="AG289" s="188" t="str">
        <f t="array" ref="AG289" xml:space="preserve"> IFERROR( IF( D289="", "-", _xlfn.AGGREGATE(15,6, ( ( ($D$21:$D$27 = D289) * IF($D$19&lt;&gt;"", --($E$21:$E$27 = E289), 1) * IF($H$19&lt;&gt;"", --($F$21:$F$27 = F289), 1)  ) / ( ( $D$21:$D$27 = D289) * IF($D$19&lt;&gt;"", --($E$21:$E$27 = E289), 1)  * IF($H$19&lt;&gt;"", --($F$21:$F$27 = F289), 1) ) ) * $AF$21:$AF$27,1)    ), "-")</f>
        <v>-</v>
      </c>
      <c r="BB289"/>
      <c r="BE289" s="67"/>
    </row>
    <row r="290" spans="2:57" x14ac:dyDescent="0.25">
      <c r="B290" s="158" t="s">
        <v>518</v>
      </c>
      <c r="C290" s="158"/>
      <c r="D290" s="189" t="s">
        <v>958</v>
      </c>
      <c r="E290" s="160" t="s">
        <v>638</v>
      </c>
      <c r="F290" s="162"/>
      <c r="G290" s="163"/>
      <c r="H290" s="163"/>
      <c r="I290" s="158"/>
      <c r="J290" s="158"/>
      <c r="K290" s="167"/>
      <c r="L290" s="168"/>
      <c r="M290" s="167"/>
      <c r="N290" s="167"/>
      <c r="O290" s="210"/>
      <c r="P290" s="170"/>
      <c r="Q290" s="169"/>
      <c r="R290" s="158"/>
      <c r="S290" s="158"/>
      <c r="T290" s="162"/>
      <c r="U290" s="164"/>
      <c r="V290" s="165"/>
      <c r="W290" s="166"/>
      <c r="X290" s="172"/>
      <c r="Y290" s="174"/>
      <c r="Z290" s="176"/>
      <c r="AA290" s="178" t="str">
        <f t="shared" si="31"/>
        <v xml:space="preserve"> - </v>
      </c>
      <c r="AB290" s="180" t="str">
        <f t="shared" si="32"/>
        <v xml:space="preserve"> - </v>
      </c>
      <c r="AC290" s="180" t="str">
        <f t="shared" si="29"/>
        <v xml:space="preserve"> - </v>
      </c>
      <c r="AD290" s="182" t="str">
        <f t="shared" si="28"/>
        <v xml:space="preserve"> - </v>
      </c>
      <c r="AE290" s="184">
        <f t="shared" si="30"/>
        <v>0</v>
      </c>
      <c r="AF290" s="186">
        <f t="shared" si="27"/>
        <v>0</v>
      </c>
      <c r="AG290" s="188" t="str">
        <f t="array" ref="AG290" xml:space="preserve"> IFERROR( IF( D290="", "-", _xlfn.AGGREGATE(15,6, ( ( ($D$21:$D$27 = D290) * IF($D$19&lt;&gt;"", --($E$21:$E$27 = E290), 1) * IF($H$19&lt;&gt;"", --($F$21:$F$27 = F290), 1)  ) / ( ( $D$21:$D$27 = D290) * IF($D$19&lt;&gt;"", --($E$21:$E$27 = E290), 1)  * IF($H$19&lt;&gt;"", --($F$21:$F$27 = F290), 1) ) ) * $AF$21:$AF$27,1)    ), "-")</f>
        <v>-</v>
      </c>
      <c r="BB290"/>
      <c r="BE290" s="67"/>
    </row>
    <row r="291" spans="2:57" x14ac:dyDescent="0.25">
      <c r="B291" s="158" t="s">
        <v>519</v>
      </c>
      <c r="C291" s="158"/>
      <c r="D291" s="189" t="s">
        <v>958</v>
      </c>
      <c r="E291" s="160" t="s">
        <v>684</v>
      </c>
      <c r="F291" s="162"/>
      <c r="G291" s="163"/>
      <c r="H291" s="163"/>
      <c r="I291" s="158"/>
      <c r="J291" s="158"/>
      <c r="K291" s="167"/>
      <c r="L291" s="168"/>
      <c r="M291" s="167"/>
      <c r="N291" s="167"/>
      <c r="O291" s="210"/>
      <c r="P291" s="170"/>
      <c r="Q291" s="169"/>
      <c r="R291" s="158"/>
      <c r="S291" s="158"/>
      <c r="T291" s="162"/>
      <c r="U291" s="164"/>
      <c r="V291" s="165"/>
      <c r="W291" s="166"/>
      <c r="X291" s="172"/>
      <c r="Y291" s="174"/>
      <c r="Z291" s="176"/>
      <c r="AA291" s="178" t="str">
        <f t="shared" si="31"/>
        <v xml:space="preserve"> - </v>
      </c>
      <c r="AB291" s="180" t="str">
        <f t="shared" si="32"/>
        <v xml:space="preserve"> - </v>
      </c>
      <c r="AC291" s="180" t="str">
        <f t="shared" si="29"/>
        <v xml:space="preserve"> - </v>
      </c>
      <c r="AD291" s="182" t="str">
        <f t="shared" si="28"/>
        <v xml:space="preserve"> - </v>
      </c>
      <c r="AE291" s="184">
        <f t="shared" si="30"/>
        <v>0</v>
      </c>
      <c r="AF291" s="186">
        <f t="shared" si="27"/>
        <v>0</v>
      </c>
      <c r="AG291" s="188" t="str">
        <f t="array" ref="AG291" xml:space="preserve"> IFERROR( IF( D291="", "-", _xlfn.AGGREGATE(15,6, ( ( ($D$21:$D$27 = D291) * IF($D$19&lt;&gt;"", --($E$21:$E$27 = E291), 1) * IF($H$19&lt;&gt;"", --($F$21:$F$27 = F291), 1)  ) / ( ( $D$21:$D$27 = D291) * IF($D$19&lt;&gt;"", --($E$21:$E$27 = E291), 1)  * IF($H$19&lt;&gt;"", --($F$21:$F$27 = F291), 1) ) ) * $AF$21:$AF$27,1)    ), "-")</f>
        <v>-</v>
      </c>
      <c r="BB291"/>
      <c r="BE291" s="67"/>
    </row>
    <row r="292" spans="2:57" x14ac:dyDescent="0.25">
      <c r="B292" s="158" t="s">
        <v>520</v>
      </c>
      <c r="C292" s="158"/>
      <c r="D292" s="189" t="s">
        <v>962</v>
      </c>
      <c r="E292" s="160" t="s">
        <v>167</v>
      </c>
      <c r="F292" s="162"/>
      <c r="G292" s="163"/>
      <c r="H292" s="163"/>
      <c r="I292" s="158"/>
      <c r="J292" s="158"/>
      <c r="K292" s="167"/>
      <c r="L292" s="168"/>
      <c r="M292" s="167"/>
      <c r="N292" s="167"/>
      <c r="O292" s="210"/>
      <c r="P292" s="170"/>
      <c r="Q292" s="169"/>
      <c r="R292" s="158"/>
      <c r="S292" s="158"/>
      <c r="T292" s="162"/>
      <c r="U292" s="164"/>
      <c r="V292" s="165"/>
      <c r="W292" s="166"/>
      <c r="X292" s="172"/>
      <c r="Y292" s="174"/>
      <c r="Z292" s="176"/>
      <c r="AA292" s="178" t="str">
        <f t="shared" si="31"/>
        <v xml:space="preserve"> - </v>
      </c>
      <c r="AB292" s="180" t="str">
        <f t="shared" si="32"/>
        <v xml:space="preserve"> - </v>
      </c>
      <c r="AC292" s="180" t="str">
        <f t="shared" si="29"/>
        <v xml:space="preserve"> - </v>
      </c>
      <c r="AD292" s="182" t="str">
        <f t="shared" si="28"/>
        <v xml:space="preserve"> - </v>
      </c>
      <c r="AE292" s="184">
        <f t="shared" si="30"/>
        <v>0</v>
      </c>
      <c r="AF292" s="186">
        <f t="shared" si="27"/>
        <v>0</v>
      </c>
      <c r="AG292" s="188" t="str">
        <f t="array" ref="AG292" xml:space="preserve"> IFERROR( IF( D292="", "-", _xlfn.AGGREGATE(15,6, ( ( ($D$21:$D$27 = D292) * IF($D$19&lt;&gt;"", --($E$21:$E$27 = E292), 1) * IF($H$19&lt;&gt;"", --($F$21:$F$27 = F292), 1)  ) / ( ( $D$21:$D$27 = D292) * IF($D$19&lt;&gt;"", --($E$21:$E$27 = E292), 1)  * IF($H$19&lt;&gt;"", --($F$21:$F$27 = F292), 1) ) ) * $AF$21:$AF$27,1)    ), "-")</f>
        <v>-</v>
      </c>
      <c r="BB292"/>
      <c r="BE292" s="67"/>
    </row>
    <row r="293" spans="2:57" x14ac:dyDescent="0.25">
      <c r="B293" s="158" t="s">
        <v>521</v>
      </c>
      <c r="C293" s="158"/>
      <c r="D293" s="189" t="s">
        <v>962</v>
      </c>
      <c r="E293" s="160" t="s">
        <v>960</v>
      </c>
      <c r="F293" s="162"/>
      <c r="G293" s="163"/>
      <c r="H293" s="163"/>
      <c r="I293" s="158"/>
      <c r="J293" s="158"/>
      <c r="K293" s="167"/>
      <c r="L293" s="168"/>
      <c r="M293" s="167"/>
      <c r="N293" s="167"/>
      <c r="O293" s="210"/>
      <c r="P293" s="170"/>
      <c r="Q293" s="169"/>
      <c r="R293" s="158"/>
      <c r="S293" s="158"/>
      <c r="T293" s="162"/>
      <c r="U293" s="164"/>
      <c r="V293" s="165"/>
      <c r="W293" s="166"/>
      <c r="X293" s="172"/>
      <c r="Y293" s="174"/>
      <c r="Z293" s="176"/>
      <c r="AA293" s="178" t="str">
        <f t="shared" si="31"/>
        <v xml:space="preserve"> - </v>
      </c>
      <c r="AB293" s="180" t="str">
        <f t="shared" si="32"/>
        <v xml:space="preserve"> - </v>
      </c>
      <c r="AC293" s="180" t="str">
        <f t="shared" si="29"/>
        <v xml:space="preserve"> - </v>
      </c>
      <c r="AD293" s="182" t="str">
        <f t="shared" si="28"/>
        <v xml:space="preserve"> - </v>
      </c>
      <c r="AE293" s="184">
        <f t="shared" si="30"/>
        <v>0</v>
      </c>
      <c r="AF293" s="186">
        <f t="shared" si="27"/>
        <v>0</v>
      </c>
      <c r="AG293" s="188" t="str">
        <f t="array" ref="AG293" xml:space="preserve"> IFERROR( IF( D293="", "-", _xlfn.AGGREGATE(15,6, ( ( ($D$21:$D$27 = D293) * IF($D$19&lt;&gt;"", --($E$21:$E$27 = E293), 1) * IF($H$19&lt;&gt;"", --($F$21:$F$27 = F293), 1)  ) / ( ( $D$21:$D$27 = D293) * IF($D$19&lt;&gt;"", --($E$21:$E$27 = E293), 1)  * IF($H$19&lt;&gt;"", --($F$21:$F$27 = F293), 1) ) ) * $AF$21:$AF$27,1)    ), "-")</f>
        <v>-</v>
      </c>
      <c r="BB293"/>
      <c r="BE293" s="67"/>
    </row>
    <row r="294" spans="2:57" x14ac:dyDescent="0.25">
      <c r="B294" s="158" t="s">
        <v>522</v>
      </c>
      <c r="C294" s="158"/>
      <c r="D294" s="189" t="s">
        <v>962</v>
      </c>
      <c r="E294" s="160" t="s">
        <v>961</v>
      </c>
      <c r="F294" s="162"/>
      <c r="G294" s="163"/>
      <c r="H294" s="163"/>
      <c r="I294" s="158"/>
      <c r="J294" s="158"/>
      <c r="K294" s="167"/>
      <c r="L294" s="168"/>
      <c r="M294" s="167"/>
      <c r="N294" s="167"/>
      <c r="O294" s="210"/>
      <c r="P294" s="170"/>
      <c r="Q294" s="169"/>
      <c r="R294" s="158"/>
      <c r="S294" s="158"/>
      <c r="T294" s="162"/>
      <c r="U294" s="164"/>
      <c r="V294" s="165"/>
      <c r="W294" s="166"/>
      <c r="X294" s="172"/>
      <c r="Y294" s="174"/>
      <c r="Z294" s="176"/>
      <c r="AA294" s="178" t="str">
        <f t="shared" si="31"/>
        <v xml:space="preserve"> - </v>
      </c>
      <c r="AB294" s="180" t="str">
        <f t="shared" si="32"/>
        <v xml:space="preserve"> - </v>
      </c>
      <c r="AC294" s="180" t="str">
        <f t="shared" si="29"/>
        <v xml:space="preserve"> - </v>
      </c>
      <c r="AD294" s="182" t="str">
        <f t="shared" si="28"/>
        <v xml:space="preserve"> - </v>
      </c>
      <c r="AE294" s="184">
        <f t="shared" si="30"/>
        <v>0</v>
      </c>
      <c r="AF294" s="186">
        <f t="shared" si="27"/>
        <v>0</v>
      </c>
      <c r="AG294" s="188" t="str">
        <f t="array" ref="AG294" xml:space="preserve"> IFERROR( IF( D294="", "-", _xlfn.AGGREGATE(15,6, ( ( ($D$21:$D$27 = D294) * IF($D$19&lt;&gt;"", --($E$21:$E$27 = E294), 1) * IF($H$19&lt;&gt;"", --($F$21:$F$27 = F294), 1)  ) / ( ( $D$21:$D$27 = D294) * IF($D$19&lt;&gt;"", --($E$21:$E$27 = E294), 1)  * IF($H$19&lt;&gt;"", --($F$21:$F$27 = F294), 1) ) ) * $AF$21:$AF$27,1)    ), "-")</f>
        <v>-</v>
      </c>
      <c r="BB294"/>
      <c r="BE294" s="67"/>
    </row>
    <row r="295" spans="2:57" x14ac:dyDescent="0.25">
      <c r="B295" s="158" t="s">
        <v>523</v>
      </c>
      <c r="C295" s="158"/>
      <c r="D295" s="189" t="s">
        <v>962</v>
      </c>
      <c r="E295" s="160" t="s">
        <v>638</v>
      </c>
      <c r="F295" s="162"/>
      <c r="G295" s="163"/>
      <c r="H295" s="163"/>
      <c r="I295" s="158"/>
      <c r="J295" s="158"/>
      <c r="K295" s="167"/>
      <c r="L295" s="168"/>
      <c r="M295" s="167"/>
      <c r="N295" s="167"/>
      <c r="O295" s="210"/>
      <c r="P295" s="170"/>
      <c r="Q295" s="169"/>
      <c r="R295" s="158"/>
      <c r="S295" s="158"/>
      <c r="T295" s="162"/>
      <c r="U295" s="164"/>
      <c r="V295" s="165"/>
      <c r="W295" s="166"/>
      <c r="X295" s="172"/>
      <c r="Y295" s="174"/>
      <c r="Z295" s="176"/>
      <c r="AA295" s="178" t="str">
        <f t="shared" si="31"/>
        <v xml:space="preserve"> - </v>
      </c>
      <c r="AB295" s="180" t="str">
        <f t="shared" si="32"/>
        <v xml:space="preserve"> - </v>
      </c>
      <c r="AC295" s="180" t="str">
        <f t="shared" si="29"/>
        <v xml:space="preserve"> - </v>
      </c>
      <c r="AD295" s="182" t="str">
        <f t="shared" si="28"/>
        <v xml:space="preserve"> - </v>
      </c>
      <c r="AE295" s="184">
        <f t="shared" si="30"/>
        <v>0</v>
      </c>
      <c r="AF295" s="186">
        <f t="shared" si="27"/>
        <v>0</v>
      </c>
      <c r="AG295" s="188" t="str">
        <f t="array" ref="AG295" xml:space="preserve"> IFERROR( IF( D295="", "-", _xlfn.AGGREGATE(15,6, ( ( ($D$21:$D$27 = D295) * IF($D$19&lt;&gt;"", --($E$21:$E$27 = E295), 1) * IF($H$19&lt;&gt;"", --($F$21:$F$27 = F295), 1)  ) / ( ( $D$21:$D$27 = D295) * IF($D$19&lt;&gt;"", --($E$21:$E$27 = E295), 1)  * IF($H$19&lt;&gt;"", --($F$21:$F$27 = F295), 1) ) ) * $AF$21:$AF$27,1)    ), "-")</f>
        <v>-</v>
      </c>
      <c r="BB295"/>
      <c r="BE295" s="67"/>
    </row>
    <row r="296" spans="2:57" x14ac:dyDescent="0.25">
      <c r="B296" s="158" t="s">
        <v>524</v>
      </c>
      <c r="C296" s="158"/>
      <c r="D296" s="189" t="s">
        <v>962</v>
      </c>
      <c r="E296" s="160" t="s">
        <v>684</v>
      </c>
      <c r="F296" s="162"/>
      <c r="G296" s="163"/>
      <c r="H296" s="163"/>
      <c r="I296" s="158"/>
      <c r="J296" s="158"/>
      <c r="K296" s="167"/>
      <c r="L296" s="168"/>
      <c r="M296" s="167"/>
      <c r="N296" s="167"/>
      <c r="O296" s="210"/>
      <c r="P296" s="170"/>
      <c r="Q296" s="169"/>
      <c r="R296" s="158"/>
      <c r="S296" s="158"/>
      <c r="T296" s="162"/>
      <c r="U296" s="164"/>
      <c r="V296" s="165"/>
      <c r="W296" s="166"/>
      <c r="X296" s="172"/>
      <c r="Y296" s="174"/>
      <c r="Z296" s="176"/>
      <c r="AA296" s="178" t="str">
        <f t="shared" si="31"/>
        <v xml:space="preserve"> - </v>
      </c>
      <c r="AB296" s="180" t="str">
        <f t="shared" si="32"/>
        <v xml:space="preserve"> - </v>
      </c>
      <c r="AC296" s="180" t="str">
        <f t="shared" si="29"/>
        <v xml:space="preserve"> - </v>
      </c>
      <c r="AD296" s="182" t="str">
        <f t="shared" si="28"/>
        <v xml:space="preserve"> - </v>
      </c>
      <c r="AE296" s="184">
        <f t="shared" si="30"/>
        <v>0</v>
      </c>
      <c r="AF296" s="186">
        <f t="shared" si="27"/>
        <v>0</v>
      </c>
      <c r="AG296" s="188" t="str">
        <f t="array" ref="AG296" xml:space="preserve"> IFERROR( IF( D296="", "-", _xlfn.AGGREGATE(15,6, ( ( ($D$21:$D$27 = D296) * IF($D$19&lt;&gt;"", --($E$21:$E$27 = E296), 1) * IF($H$19&lt;&gt;"", --($F$21:$F$27 = F296), 1)  ) / ( ( $D$21:$D$27 = D296) * IF($D$19&lt;&gt;"", --($E$21:$E$27 = E296), 1)  * IF($H$19&lt;&gt;"", --($F$21:$F$27 = F296), 1) ) ) * $AF$21:$AF$27,1)    ), "-")</f>
        <v>-</v>
      </c>
      <c r="BB296"/>
      <c r="BE296" s="67"/>
    </row>
    <row r="297" spans="2:57" x14ac:dyDescent="0.25">
      <c r="B297" s="158" t="s">
        <v>525</v>
      </c>
      <c r="C297" s="158"/>
      <c r="D297" s="162" t="s">
        <v>525</v>
      </c>
      <c r="E297" s="160"/>
      <c r="F297" s="162"/>
      <c r="G297" s="163"/>
      <c r="H297" s="163"/>
      <c r="I297" s="158"/>
      <c r="J297" s="158"/>
      <c r="K297" s="167"/>
      <c r="L297" s="168"/>
      <c r="M297" s="167"/>
      <c r="N297" s="167"/>
      <c r="O297" s="210"/>
      <c r="P297" s="170"/>
      <c r="Q297" s="169"/>
      <c r="R297" s="158"/>
      <c r="S297" s="158"/>
      <c r="T297" s="162"/>
      <c r="U297" s="164"/>
      <c r="V297" s="165"/>
      <c r="W297" s="166"/>
      <c r="X297" s="172"/>
      <c r="Y297" s="174"/>
      <c r="Z297" s="176"/>
      <c r="AA297" s="178" t="str">
        <f t="shared" si="31"/>
        <v xml:space="preserve"> - </v>
      </c>
      <c r="AB297" s="180" t="str">
        <f t="shared" si="32"/>
        <v xml:space="preserve"> - </v>
      </c>
      <c r="AC297" s="180" t="str">
        <f t="shared" si="29"/>
        <v xml:space="preserve"> - </v>
      </c>
      <c r="AD297" s="182" t="str">
        <f t="shared" si="28"/>
        <v xml:space="preserve"> - </v>
      </c>
      <c r="AE297" s="184">
        <f t="shared" si="30"/>
        <v>0</v>
      </c>
      <c r="AF297" s="186">
        <f t="shared" si="27"/>
        <v>0</v>
      </c>
      <c r="AG297" s="188" t="str">
        <f t="array" ref="AG297" xml:space="preserve"> IFERROR( IF( D297="", "-", _xlfn.AGGREGATE(15,6, ( ( ($D$21:$D$27 = D297) * IF($D$19&lt;&gt;"", --($E$21:$E$27 = E297), 1) * IF($H$19&lt;&gt;"", --($F$21:$F$27 = F297), 1)  ) / ( ( $D$21:$D$27 = D297) * IF($D$19&lt;&gt;"", --($E$21:$E$27 = E297), 1)  * IF($H$19&lt;&gt;"", --($F$21:$F$27 = F297), 1) ) ) * $AF$21:$AF$27,1)    ), "-")</f>
        <v>-</v>
      </c>
      <c r="BB297"/>
      <c r="BE297" s="67"/>
    </row>
    <row r="298" spans="2:57" x14ac:dyDescent="0.25">
      <c r="B298" s="158" t="s">
        <v>526</v>
      </c>
      <c r="C298" s="158"/>
      <c r="D298" s="162" t="s">
        <v>526</v>
      </c>
      <c r="E298" s="160"/>
      <c r="F298" s="162"/>
      <c r="G298" s="163"/>
      <c r="H298" s="163"/>
      <c r="I298" s="158"/>
      <c r="J298" s="158"/>
      <c r="K298" s="167"/>
      <c r="L298" s="168"/>
      <c r="M298" s="167"/>
      <c r="N298" s="167"/>
      <c r="O298" s="210"/>
      <c r="P298" s="170"/>
      <c r="Q298" s="169"/>
      <c r="R298" s="158"/>
      <c r="S298" s="158"/>
      <c r="T298" s="162"/>
      <c r="U298" s="164"/>
      <c r="V298" s="165"/>
      <c r="W298" s="166"/>
      <c r="X298" s="172"/>
      <c r="Y298" s="174"/>
      <c r="Z298" s="176"/>
      <c r="AA298" s="178" t="str">
        <f t="shared" si="31"/>
        <v xml:space="preserve"> - </v>
      </c>
      <c r="AB298" s="180" t="str">
        <f t="shared" si="32"/>
        <v xml:space="preserve"> - </v>
      </c>
      <c r="AC298" s="180" t="str">
        <f t="shared" si="29"/>
        <v xml:space="preserve"> - </v>
      </c>
      <c r="AD298" s="182" t="str">
        <f t="shared" si="28"/>
        <v xml:space="preserve"> - </v>
      </c>
      <c r="AE298" s="184">
        <f t="shared" si="30"/>
        <v>0</v>
      </c>
      <c r="AF298" s="186">
        <f t="shared" si="27"/>
        <v>0</v>
      </c>
      <c r="AG298" s="188" t="str">
        <f t="array" ref="AG298" xml:space="preserve"> IFERROR( IF( D298="", "-", _xlfn.AGGREGATE(15,6, ( ( ($D$21:$D$27 = D298) * IF($D$19&lt;&gt;"", --($E$21:$E$27 = E298), 1) * IF($H$19&lt;&gt;"", --($F$21:$F$27 = F298), 1)  ) / ( ( $D$21:$D$27 = D298) * IF($D$19&lt;&gt;"", --($E$21:$E$27 = E298), 1)  * IF($H$19&lt;&gt;"", --($F$21:$F$27 = F298), 1) ) ) * $AF$21:$AF$27,1)    ), "-")</f>
        <v>-</v>
      </c>
      <c r="BB298"/>
      <c r="BE298" s="67"/>
    </row>
    <row r="299" spans="2:57" x14ac:dyDescent="0.25">
      <c r="B299" s="158" t="s">
        <v>527</v>
      </c>
      <c r="C299" s="158"/>
      <c r="D299" s="162" t="s">
        <v>527</v>
      </c>
      <c r="E299" s="160"/>
      <c r="F299" s="162"/>
      <c r="G299" s="163"/>
      <c r="H299" s="163"/>
      <c r="I299" s="158"/>
      <c r="J299" s="158"/>
      <c r="K299" s="167"/>
      <c r="L299" s="168"/>
      <c r="M299" s="167"/>
      <c r="N299" s="167"/>
      <c r="O299" s="210"/>
      <c r="P299" s="170"/>
      <c r="Q299" s="169"/>
      <c r="R299" s="158"/>
      <c r="S299" s="158"/>
      <c r="T299" s="162"/>
      <c r="U299" s="164"/>
      <c r="V299" s="165"/>
      <c r="W299" s="166"/>
      <c r="X299" s="172"/>
      <c r="Y299" s="174"/>
      <c r="Z299" s="176"/>
      <c r="AA299" s="178" t="str">
        <f t="shared" si="31"/>
        <v xml:space="preserve"> - </v>
      </c>
      <c r="AB299" s="180" t="str">
        <f t="shared" si="32"/>
        <v xml:space="preserve"> - </v>
      </c>
      <c r="AC299" s="180" t="str">
        <f t="shared" si="29"/>
        <v xml:space="preserve"> - </v>
      </c>
      <c r="AD299" s="182" t="str">
        <f t="shared" si="28"/>
        <v xml:space="preserve"> - </v>
      </c>
      <c r="AE299" s="184">
        <f t="shared" si="30"/>
        <v>0</v>
      </c>
      <c r="AF299" s="186">
        <f t="shared" si="27"/>
        <v>0</v>
      </c>
      <c r="AG299" s="188" t="str">
        <f t="array" ref="AG299" xml:space="preserve"> IFERROR( IF( D299="", "-", _xlfn.AGGREGATE(15,6, ( ( ($D$21:$D$27 = D299) * IF($D$19&lt;&gt;"", --($E$21:$E$27 = E299), 1) * IF($H$19&lt;&gt;"", --($F$21:$F$27 = F299), 1)  ) / ( ( $D$21:$D$27 = D299) * IF($D$19&lt;&gt;"", --($E$21:$E$27 = E299), 1)  * IF($H$19&lt;&gt;"", --($F$21:$F$27 = F299), 1) ) ) * $AF$21:$AF$27,1)    ), "-")</f>
        <v>-</v>
      </c>
      <c r="BB299"/>
      <c r="BE299" s="67"/>
    </row>
    <row r="300" spans="2:57" x14ac:dyDescent="0.25">
      <c r="B300" s="158" t="s">
        <v>528</v>
      </c>
      <c r="C300" s="158"/>
      <c r="D300" s="162" t="s">
        <v>528</v>
      </c>
      <c r="E300" s="160"/>
      <c r="F300" s="162"/>
      <c r="G300" s="163"/>
      <c r="H300" s="163"/>
      <c r="I300" s="158"/>
      <c r="J300" s="158"/>
      <c r="K300" s="167"/>
      <c r="L300" s="168"/>
      <c r="M300" s="167"/>
      <c r="N300" s="167"/>
      <c r="O300" s="210"/>
      <c r="P300" s="170"/>
      <c r="Q300" s="169"/>
      <c r="R300" s="158"/>
      <c r="S300" s="158"/>
      <c r="T300" s="162"/>
      <c r="U300" s="164"/>
      <c r="V300" s="165"/>
      <c r="W300" s="166"/>
      <c r="X300" s="172"/>
      <c r="Y300" s="174"/>
      <c r="Z300" s="176"/>
      <c r="AA300" s="178" t="str">
        <f t="shared" si="31"/>
        <v xml:space="preserve"> - </v>
      </c>
      <c r="AB300" s="180" t="str">
        <f t="shared" si="32"/>
        <v xml:space="preserve"> - </v>
      </c>
      <c r="AC300" s="180" t="str">
        <f t="shared" si="29"/>
        <v xml:space="preserve"> - </v>
      </c>
      <c r="AD300" s="182" t="str">
        <f t="shared" si="28"/>
        <v xml:space="preserve"> - </v>
      </c>
      <c r="AE300" s="184">
        <f t="shared" si="30"/>
        <v>0</v>
      </c>
      <c r="AF300" s="186">
        <f t="shared" si="27"/>
        <v>0</v>
      </c>
      <c r="AG300" s="188" t="str">
        <f t="array" ref="AG300" xml:space="preserve"> IFERROR( IF( D300="", "-", _xlfn.AGGREGATE(15,6, ( ( ($D$21:$D$27 = D300) * IF($D$19&lt;&gt;"", --($E$21:$E$27 = E300), 1) * IF($H$19&lt;&gt;"", --($F$21:$F$27 = F300), 1)  ) / ( ( $D$21:$D$27 = D300) * IF($D$19&lt;&gt;"", --($E$21:$E$27 = E300), 1)  * IF($H$19&lt;&gt;"", --($F$21:$F$27 = F300), 1) ) ) * $AF$21:$AF$27,1)    ), "-")</f>
        <v>-</v>
      </c>
      <c r="BB300"/>
      <c r="BE300" s="67"/>
    </row>
    <row r="301" spans="2:57" x14ac:dyDescent="0.25">
      <c r="B301" s="158" t="s">
        <v>529</v>
      </c>
      <c r="C301" s="158"/>
      <c r="D301" s="162" t="s">
        <v>529</v>
      </c>
      <c r="E301" s="160"/>
      <c r="F301" s="162"/>
      <c r="G301" s="163"/>
      <c r="H301" s="163"/>
      <c r="I301" s="158"/>
      <c r="J301" s="158"/>
      <c r="K301" s="167"/>
      <c r="L301" s="168"/>
      <c r="M301" s="167"/>
      <c r="N301" s="167"/>
      <c r="O301" s="210"/>
      <c r="P301" s="170"/>
      <c r="Q301" s="169"/>
      <c r="R301" s="158"/>
      <c r="S301" s="158"/>
      <c r="T301" s="162"/>
      <c r="U301" s="164"/>
      <c r="V301" s="165"/>
      <c r="W301" s="166"/>
      <c r="X301" s="172"/>
      <c r="Y301" s="174"/>
      <c r="Z301" s="176"/>
      <c r="AA301" s="178" t="str">
        <f t="shared" si="31"/>
        <v xml:space="preserve"> - </v>
      </c>
      <c r="AB301" s="180" t="str">
        <f t="shared" si="32"/>
        <v xml:space="preserve"> - </v>
      </c>
      <c r="AC301" s="180" t="str">
        <f t="shared" si="29"/>
        <v xml:space="preserve"> - </v>
      </c>
      <c r="AD301" s="182" t="str">
        <f t="shared" si="28"/>
        <v xml:space="preserve"> - </v>
      </c>
      <c r="AE301" s="184">
        <f t="shared" si="30"/>
        <v>0</v>
      </c>
      <c r="AF301" s="186">
        <f t="shared" si="27"/>
        <v>0</v>
      </c>
      <c r="AG301" s="188" t="str">
        <f t="array" ref="AG301" xml:space="preserve"> IFERROR( IF( D301="", "-", _xlfn.AGGREGATE(15,6, ( ( ($D$21:$D$27 = D301) * IF($D$19&lt;&gt;"", --($E$21:$E$27 = E301), 1) * IF($H$19&lt;&gt;"", --($F$21:$F$27 = F301), 1)  ) / ( ( $D$21:$D$27 = D301) * IF($D$19&lt;&gt;"", --($E$21:$E$27 = E301), 1)  * IF($H$19&lt;&gt;"", --($F$21:$F$27 = F301), 1) ) ) * $AF$21:$AF$27,1)    ), "-")</f>
        <v>-</v>
      </c>
      <c r="BB301"/>
      <c r="BE301" s="67"/>
    </row>
    <row r="302" spans="2:57" x14ac:dyDescent="0.25">
      <c r="B302" s="158" t="s">
        <v>530</v>
      </c>
      <c r="C302" s="158"/>
      <c r="D302" s="162" t="s">
        <v>530</v>
      </c>
      <c r="E302" s="160"/>
      <c r="F302" s="162"/>
      <c r="G302" s="163"/>
      <c r="H302" s="163"/>
      <c r="I302" s="158"/>
      <c r="J302" s="158"/>
      <c r="K302" s="167"/>
      <c r="L302" s="168"/>
      <c r="M302" s="167"/>
      <c r="N302" s="167"/>
      <c r="O302" s="210"/>
      <c r="P302" s="170"/>
      <c r="Q302" s="169"/>
      <c r="R302" s="158"/>
      <c r="S302" s="158"/>
      <c r="T302" s="162"/>
      <c r="U302" s="164"/>
      <c r="V302" s="165"/>
      <c r="W302" s="166"/>
      <c r="X302" s="172"/>
      <c r="Y302" s="174"/>
      <c r="Z302" s="176"/>
      <c r="AA302" s="178" t="str">
        <f t="shared" si="31"/>
        <v xml:space="preserve"> - </v>
      </c>
      <c r="AB302" s="180" t="str">
        <f t="shared" si="32"/>
        <v xml:space="preserve"> - </v>
      </c>
      <c r="AC302" s="180" t="str">
        <f t="shared" si="29"/>
        <v xml:space="preserve"> - </v>
      </c>
      <c r="AD302" s="182" t="str">
        <f t="shared" si="28"/>
        <v xml:space="preserve"> - </v>
      </c>
      <c r="AE302" s="184">
        <f t="shared" si="30"/>
        <v>0</v>
      </c>
      <c r="AF302" s="186">
        <f t="shared" si="27"/>
        <v>0</v>
      </c>
      <c r="AG302" s="188" t="str">
        <f t="array" ref="AG302" xml:space="preserve"> IFERROR( IF( D302="", "-", _xlfn.AGGREGATE(15,6, ( ( ($D$21:$D$27 = D302) * IF($D$19&lt;&gt;"", --($E$21:$E$27 = E302), 1) * IF($H$19&lt;&gt;"", --($F$21:$F$27 = F302), 1)  ) / ( ( $D$21:$D$27 = D302) * IF($D$19&lt;&gt;"", --($E$21:$E$27 = E302), 1)  * IF($H$19&lt;&gt;"", --($F$21:$F$27 = F302), 1) ) ) * $AF$21:$AF$27,1)    ), "-")</f>
        <v>-</v>
      </c>
      <c r="BB302"/>
      <c r="BE302" s="67"/>
    </row>
    <row r="303" spans="2:57" x14ac:dyDescent="0.25">
      <c r="B303" s="158" t="s">
        <v>531</v>
      </c>
      <c r="C303" s="158"/>
      <c r="D303" s="162" t="s">
        <v>531</v>
      </c>
      <c r="E303" s="160"/>
      <c r="F303" s="162"/>
      <c r="G303" s="163"/>
      <c r="H303" s="163"/>
      <c r="I303" s="158"/>
      <c r="J303" s="158"/>
      <c r="K303" s="167"/>
      <c r="L303" s="168"/>
      <c r="M303" s="167"/>
      <c r="N303" s="167"/>
      <c r="O303" s="210"/>
      <c r="P303" s="170"/>
      <c r="Q303" s="169"/>
      <c r="R303" s="158"/>
      <c r="S303" s="158"/>
      <c r="T303" s="162"/>
      <c r="U303" s="164"/>
      <c r="V303" s="165"/>
      <c r="W303" s="166"/>
      <c r="X303" s="172"/>
      <c r="Y303" s="174"/>
      <c r="Z303" s="176"/>
      <c r="AA303" s="178" t="str">
        <f t="shared" si="31"/>
        <v xml:space="preserve"> - </v>
      </c>
      <c r="AB303" s="180" t="str">
        <f t="shared" si="32"/>
        <v xml:space="preserve"> - </v>
      </c>
      <c r="AC303" s="180" t="str">
        <f t="shared" si="29"/>
        <v xml:space="preserve"> - </v>
      </c>
      <c r="AD303" s="182" t="str">
        <f t="shared" si="28"/>
        <v xml:space="preserve"> - </v>
      </c>
      <c r="AE303" s="184">
        <f t="shared" si="30"/>
        <v>0</v>
      </c>
      <c r="AF303" s="186">
        <f t="shared" si="27"/>
        <v>0</v>
      </c>
      <c r="AG303" s="188" t="str">
        <f t="array" ref="AG303" xml:space="preserve"> IFERROR( IF( D303="", "-", _xlfn.AGGREGATE(15,6, ( ( ($D$21:$D$27 = D303) * IF($D$19&lt;&gt;"", --($E$21:$E$27 = E303), 1) * IF($H$19&lt;&gt;"", --($F$21:$F$27 = F303), 1)  ) / ( ( $D$21:$D$27 = D303) * IF($D$19&lt;&gt;"", --($E$21:$E$27 = E303), 1)  * IF($H$19&lt;&gt;"", --($F$21:$F$27 = F303), 1) ) ) * $AF$21:$AF$27,1)    ), "-")</f>
        <v>-</v>
      </c>
      <c r="BB303"/>
      <c r="BE303" s="67"/>
    </row>
    <row r="304" spans="2:57" x14ac:dyDescent="0.25">
      <c r="B304" s="158" t="s">
        <v>532</v>
      </c>
      <c r="C304" s="158"/>
      <c r="D304" s="162" t="s">
        <v>532</v>
      </c>
      <c r="E304" s="160"/>
      <c r="F304" s="162"/>
      <c r="G304" s="163"/>
      <c r="H304" s="163"/>
      <c r="I304" s="158"/>
      <c r="J304" s="158"/>
      <c r="K304" s="167" t="s">
        <v>70</v>
      </c>
      <c r="L304" s="168">
        <v>6</v>
      </c>
      <c r="M304" s="167" t="s">
        <v>921</v>
      </c>
      <c r="N304" s="167" t="s">
        <v>921</v>
      </c>
      <c r="O304" s="210">
        <v>1</v>
      </c>
      <c r="P304" s="201" t="s">
        <v>912</v>
      </c>
      <c r="Q304" s="169">
        <v>1</v>
      </c>
      <c r="R304" s="158"/>
      <c r="S304" s="158"/>
      <c r="T304" s="162"/>
      <c r="U304" s="164"/>
      <c r="V304" s="165"/>
      <c r="W304" s="166"/>
      <c r="X304" s="172"/>
      <c r="Y304" s="174"/>
      <c r="Z304" s="176"/>
      <c r="AA304" s="178" t="str">
        <f t="shared" si="31"/>
        <v xml:space="preserve"> - </v>
      </c>
      <c r="AB304" s="180" t="str">
        <f t="shared" si="32"/>
        <v xml:space="preserve"> - </v>
      </c>
      <c r="AC304" s="180" t="e">
        <f t="shared" si="29"/>
        <v>#VALUE!</v>
      </c>
      <c r="AD304" s="182" t="e">
        <f t="shared" si="28"/>
        <v>#VALUE!</v>
      </c>
      <c r="AE304" s="184">
        <f t="shared" si="30"/>
        <v>0</v>
      </c>
      <c r="AF304" s="186">
        <f t="shared" si="27"/>
        <v>0</v>
      </c>
      <c r="AG304" s="188" t="str">
        <f t="array" ref="AG304" xml:space="preserve"> IFERROR( IF( D304="", "-", _xlfn.AGGREGATE(15,6, ( ( ($D$21:$D$27 = D304) * IF($D$19&lt;&gt;"", --($E$21:$E$27 = E304), 1) * IF($H$19&lt;&gt;"", --($F$21:$F$27 = F304), 1)  ) / ( ( $D$21:$D$27 = D304) * IF($D$19&lt;&gt;"", --($E$21:$E$27 = E304), 1)  * IF($H$19&lt;&gt;"", --($F$21:$F$27 = F304), 1) ) ) * $AF$21:$AF$27,1)    ), "-")</f>
        <v>-</v>
      </c>
      <c r="BB304"/>
      <c r="BE304" s="67"/>
    </row>
    <row r="305" spans="2:57" ht="15" customHeight="1" x14ac:dyDescent="0.25">
      <c r="B305" s="158"/>
      <c r="C305" s="158"/>
      <c r="D305" s="162"/>
      <c r="E305" s="160"/>
      <c r="F305" s="162"/>
      <c r="G305" s="163"/>
      <c r="H305" s="163"/>
      <c r="I305" s="158"/>
      <c r="J305" s="158"/>
      <c r="K305" s="167"/>
      <c r="L305" s="168"/>
      <c r="M305" s="167"/>
      <c r="N305" s="167"/>
      <c r="O305" s="210"/>
      <c r="P305" s="170"/>
      <c r="Q305" s="169"/>
      <c r="R305" s="158"/>
      <c r="S305" s="158"/>
      <c r="T305" s="162"/>
      <c r="U305" s="164"/>
      <c r="V305" s="165"/>
      <c r="W305" s="166"/>
      <c r="X305" s="172"/>
      <c r="Y305" s="174"/>
      <c r="Z305" s="176"/>
      <c r="AA305" s="178" t="str">
        <f>IF( ISNUMBER($U305), $U305, IF( ISNUMBER($T305), $T305 * IF( $V305="", 1,  $V305),            IF( ISNUMBER($V305), $V305 * IF( $W305="", 1,  $W305), " - ")           ) )</f>
        <v xml:space="preserve"> - </v>
      </c>
      <c r="AB305" s="180" t="str">
        <f>IF( ISNUMBER($V305), $V305, IF( ISNUMBER($U305), $U305 / IF( $W305 &lt;&gt;"",  $W305, 1), " - ") )</f>
        <v xml:space="preserve"> - </v>
      </c>
      <c r="AC305" s="180" t="str">
        <f t="shared" si="29"/>
        <v xml:space="preserve"> - </v>
      </c>
      <c r="AD305" s="182" t="str">
        <f t="shared" si="28"/>
        <v xml:space="preserve"> - </v>
      </c>
      <c r="AE305" s="184">
        <f t="shared" si="30"/>
        <v>0</v>
      </c>
      <c r="AF305" s="186">
        <f t="shared" si="27"/>
        <v>0</v>
      </c>
      <c r="AG305" s="188" t="str">
        <f t="array" ref="AG305" xml:space="preserve"> IFERROR( IF( D305="", "-", _xlfn.AGGREGATE(15,6, ( ( ($D$21:$D$27 = D305) * IF($D$19&lt;&gt;"", --($E$21:$E$27 = E305), 1) * IF($H$19&lt;&gt;"", --($F$21:$F$27 = F305), 1)  ) / ( ( $D$21:$D$27 = D305) * IF($D$19&lt;&gt;"", --($E$21:$E$27 = E305), 1)  * IF($H$19&lt;&gt;"", --($F$21:$F$27 = F305), 1) ) ) * $AF$21:$AF$27,1)    ), "-")</f>
        <v>-</v>
      </c>
      <c r="BB305"/>
      <c r="BE305" s="67"/>
    </row>
    <row r="306" spans="2:57" ht="15" customHeight="1" x14ac:dyDescent="0.25">
      <c r="B306" s="158" t="s">
        <v>464</v>
      </c>
      <c r="C306" s="158"/>
      <c r="D306" s="162" t="s">
        <v>752</v>
      </c>
      <c r="E306" s="160" t="s">
        <v>175</v>
      </c>
      <c r="F306" s="162" t="s">
        <v>687</v>
      </c>
      <c r="G306" s="163" t="s">
        <v>745</v>
      </c>
      <c r="H306" s="163"/>
      <c r="I306" s="158"/>
      <c r="J306" s="158"/>
      <c r="K306" s="167" t="s">
        <v>688</v>
      </c>
      <c r="L306" s="168">
        <v>250</v>
      </c>
      <c r="M306" s="167" t="s">
        <v>900</v>
      </c>
      <c r="N306" s="167" t="s">
        <v>900</v>
      </c>
      <c r="O306" s="210">
        <v>250</v>
      </c>
      <c r="P306" s="201" t="s">
        <v>900</v>
      </c>
      <c r="Q306" s="169">
        <v>1</v>
      </c>
      <c r="R306" s="158"/>
      <c r="S306" s="158"/>
      <c r="T306" s="162"/>
      <c r="U306" s="164"/>
      <c r="V306" s="165"/>
      <c r="W306" s="166"/>
      <c r="X306" s="172"/>
      <c r="Y306" s="174"/>
      <c r="Z306" s="176"/>
      <c r="AA306" s="178" t="str">
        <f t="shared" si="31"/>
        <v xml:space="preserve"> - </v>
      </c>
      <c r="AB306" s="180" t="str">
        <f t="shared" si="32"/>
        <v xml:space="preserve"> - </v>
      </c>
      <c r="AC306" s="180" t="e">
        <f t="shared" si="29"/>
        <v>#VALUE!</v>
      </c>
      <c r="AD306" s="182" t="e">
        <f t="shared" si="28"/>
        <v>#VALUE!</v>
      </c>
      <c r="AE306" s="184">
        <f t="shared" si="30"/>
        <v>0</v>
      </c>
      <c r="AF306" s="186">
        <f t="shared" si="27"/>
        <v>0</v>
      </c>
      <c r="AG306" s="188" t="str">
        <f t="array" ref="AG306" xml:space="preserve"> IFERROR( IF( D306="", "-", _xlfn.AGGREGATE(15,6, ( ( ($D$21:$D$27 = D306) * IF($D$19&lt;&gt;"", --($E$21:$E$27 = E306), 1) * IF($H$19&lt;&gt;"", --($F$21:$F$27 = F306), 1)  ) / ( ( $D$21:$D$27 = D306) * IF($D$19&lt;&gt;"", --($E$21:$E$27 = E306), 1)  * IF($H$19&lt;&gt;"", --($F$21:$F$27 = F306), 1) ) ) * $AF$21:$AF$27,1)    ), "-")</f>
        <v>-</v>
      </c>
      <c r="BB306"/>
      <c r="BE306" s="67"/>
    </row>
    <row r="307" spans="2:57" ht="15" customHeight="1" x14ac:dyDescent="0.25">
      <c r="B307" s="195" t="s">
        <v>1233</v>
      </c>
      <c r="C307" s="158"/>
      <c r="D307" s="162" t="s">
        <v>752</v>
      </c>
      <c r="E307" s="160" t="s">
        <v>175</v>
      </c>
      <c r="F307" s="162" t="s">
        <v>687</v>
      </c>
      <c r="G307" s="163" t="s">
        <v>745</v>
      </c>
      <c r="H307" s="163"/>
      <c r="I307" s="158"/>
      <c r="J307" s="158"/>
      <c r="K307" s="167" t="s">
        <v>688</v>
      </c>
      <c r="L307" s="168">
        <v>100</v>
      </c>
      <c r="M307" s="167" t="s">
        <v>900</v>
      </c>
      <c r="N307" s="167" t="s">
        <v>900</v>
      </c>
      <c r="O307" s="210">
        <v>100</v>
      </c>
      <c r="P307" s="201" t="s">
        <v>900</v>
      </c>
      <c r="Q307" s="169">
        <v>1</v>
      </c>
      <c r="R307" s="158"/>
      <c r="S307" s="158"/>
      <c r="T307" s="162"/>
      <c r="U307" s="164"/>
      <c r="V307" s="165"/>
      <c r="W307" s="166"/>
      <c r="X307" s="172"/>
      <c r="Y307" s="174"/>
      <c r="Z307" s="176"/>
      <c r="AA307" s="178" t="str">
        <f>IF( ISNUMBER($U307), $U307, IF( ISNUMBER($T307), $T307 * IF( $V307="", 1,  $V307),            IF( ISNUMBER($V307), $V307 * IF( $W307="", 1,  $W307), " - ")           ) )</f>
        <v xml:space="preserve"> - </v>
      </c>
      <c r="AB307" s="180" t="str">
        <f>IF( ISNUMBER($V307), $V307, IF( ISNUMBER($U307), $U307 / IF( $W307 &lt;&gt;"",  $W307, 1), " - ") )</f>
        <v xml:space="preserve"> - </v>
      </c>
      <c r="AC307" s="180" t="e">
        <f t="shared" si="29"/>
        <v>#VALUE!</v>
      </c>
      <c r="AD307" s="182" t="e">
        <f t="shared" si="28"/>
        <v>#VALUE!</v>
      </c>
      <c r="AE307" s="184">
        <f t="shared" si="30"/>
        <v>0</v>
      </c>
      <c r="AF307" s="186">
        <f t="shared" si="27"/>
        <v>0</v>
      </c>
      <c r="AG307" s="188" t="str">
        <f t="array" ref="AG307" xml:space="preserve"> IFERROR( IF( D307="", "-", _xlfn.AGGREGATE(15,6, ( ( ($D$21:$D$27 = D307) * IF($D$19&lt;&gt;"", --($E$21:$E$27 = E307), 1) * IF($H$19&lt;&gt;"", --($F$21:$F$27 = F307), 1)  ) / ( ( $D$21:$D$27 = D307) * IF($D$19&lt;&gt;"", --($E$21:$E$27 = E307), 1)  * IF($H$19&lt;&gt;"", --($F$21:$F$27 = F307), 1) ) ) * $AF$21:$AF$27,1)    ), "-")</f>
        <v>-</v>
      </c>
      <c r="BB307"/>
      <c r="BE307" s="67"/>
    </row>
    <row r="308" spans="2:57" ht="15" customHeight="1" x14ac:dyDescent="0.25">
      <c r="B308" s="158" t="s">
        <v>1232</v>
      </c>
      <c r="C308" s="158"/>
      <c r="D308" s="162"/>
      <c r="E308" s="160"/>
      <c r="F308" s="162"/>
      <c r="G308" s="163"/>
      <c r="H308" s="163"/>
      <c r="I308" s="158"/>
      <c r="J308" s="158"/>
      <c r="K308" s="167" t="s">
        <v>70</v>
      </c>
      <c r="L308" s="168">
        <v>1</v>
      </c>
      <c r="M308" s="167" t="s">
        <v>74</v>
      </c>
      <c r="N308" s="167" t="s">
        <v>74</v>
      </c>
      <c r="O308" s="210">
        <v>1</v>
      </c>
      <c r="P308" s="201" t="s">
        <v>86</v>
      </c>
      <c r="Q308" s="169">
        <v>100</v>
      </c>
      <c r="R308" s="158"/>
      <c r="S308" s="158"/>
      <c r="T308" s="162"/>
      <c r="U308" s="164"/>
      <c r="V308" s="165"/>
      <c r="W308" s="166"/>
      <c r="X308" s="172"/>
      <c r="Y308" s="174"/>
      <c r="Z308" s="176"/>
      <c r="AA308" s="178" t="str">
        <f t="shared" si="31"/>
        <v xml:space="preserve"> - </v>
      </c>
      <c r="AB308" s="180" t="str">
        <f t="shared" si="32"/>
        <v xml:space="preserve"> - </v>
      </c>
      <c r="AC308" s="180" t="e">
        <f t="shared" si="29"/>
        <v>#VALUE!</v>
      </c>
      <c r="AD308" s="182" t="e">
        <f t="shared" si="28"/>
        <v>#VALUE!</v>
      </c>
      <c r="AE308" s="184">
        <f t="shared" si="30"/>
        <v>0</v>
      </c>
      <c r="AF308" s="186">
        <f t="shared" si="27"/>
        <v>0</v>
      </c>
      <c r="AG308" s="188" t="str">
        <f t="array" ref="AG308" xml:space="preserve"> IFERROR( IF( D308="", "-", _xlfn.AGGREGATE(15,6, ( ( ($D$21:$D$27 = D308) * IF($D$19&lt;&gt;"", --($E$21:$E$27 = E308), 1) * IF($H$19&lt;&gt;"", --($F$21:$F$27 = F308), 1)  ) / ( ( $D$21:$D$27 = D308) * IF($D$19&lt;&gt;"", --($E$21:$E$27 = E308), 1)  * IF($H$19&lt;&gt;"", --($F$21:$F$27 = F308), 1) ) ) * $AF$21:$AF$27,1)    ), "-")</f>
        <v>-</v>
      </c>
      <c r="BB308"/>
      <c r="BE308" s="67"/>
    </row>
    <row r="309" spans="2:57" ht="15" customHeight="1" x14ac:dyDescent="0.25">
      <c r="B309" s="158"/>
      <c r="C309" s="158"/>
      <c r="D309" s="162"/>
      <c r="E309" s="160"/>
      <c r="F309" s="162"/>
      <c r="G309" s="163"/>
      <c r="H309" s="163"/>
      <c r="I309" s="158"/>
      <c r="J309" s="158"/>
      <c r="K309" s="167" t="s">
        <v>688</v>
      </c>
      <c r="L309" s="168">
        <v>20</v>
      </c>
      <c r="M309" s="167" t="s">
        <v>74</v>
      </c>
      <c r="N309" s="167" t="s">
        <v>74</v>
      </c>
      <c r="O309" s="210">
        <v>1</v>
      </c>
      <c r="P309" s="201" t="s">
        <v>86</v>
      </c>
      <c r="Q309" s="169">
        <v>30</v>
      </c>
      <c r="R309" s="158"/>
      <c r="S309" s="158"/>
      <c r="T309" s="162"/>
      <c r="U309" s="164"/>
      <c r="V309" s="165"/>
      <c r="W309" s="166"/>
      <c r="X309" s="172"/>
      <c r="Y309" s="174"/>
      <c r="Z309" s="176"/>
      <c r="AA309" s="178" t="str">
        <f>IF( ISNUMBER($U309), $U309, IF( ISNUMBER($T309), $T309 * IF( $V309="", 1,  $V309),            IF( ISNUMBER($V309), $V309 * IF( $W309="", 1,  $W309), " - ")           ) )</f>
        <v xml:space="preserve"> - </v>
      </c>
      <c r="AB309" s="180" t="str">
        <f>IF( ISNUMBER($V309), $V309, IF( ISNUMBER($U309), $U309 / IF( $W309 &lt;&gt;"",  $W309, 1), " - ") )</f>
        <v xml:space="preserve"> - </v>
      </c>
      <c r="AC309" s="180" t="e">
        <f t="shared" si="29"/>
        <v>#VALUE!</v>
      </c>
      <c r="AD309" s="182" t="e">
        <f t="shared" si="28"/>
        <v>#VALUE!</v>
      </c>
      <c r="AE309" s="184">
        <f t="shared" si="30"/>
        <v>0</v>
      </c>
      <c r="AF309" s="186">
        <f t="shared" si="27"/>
        <v>0</v>
      </c>
      <c r="AG309" s="188" t="str">
        <f t="array" ref="AG309" xml:space="preserve"> IFERROR( IF( D309="", "-", _xlfn.AGGREGATE(15,6, ( ( ($D$21:$D$27 = D309) * IF($D$19&lt;&gt;"", --($E$21:$E$27 = E309), 1) * IF($H$19&lt;&gt;"", --($F$21:$F$27 = F309), 1)  ) / ( ( $D$21:$D$27 = D309) * IF($D$19&lt;&gt;"", --($E$21:$E$27 = E309), 1)  * IF($H$19&lt;&gt;"", --($F$21:$F$27 = F309), 1) ) ) * $AF$21:$AF$27,1)    ), "-")</f>
        <v>-</v>
      </c>
      <c r="BB309"/>
      <c r="BE309" s="67"/>
    </row>
    <row r="310" spans="2:57" x14ac:dyDescent="0.25">
      <c r="B310" s="158" t="s">
        <v>533</v>
      </c>
      <c r="C310" s="158"/>
      <c r="D310" s="189" t="s">
        <v>965</v>
      </c>
      <c r="E310" s="160" t="s">
        <v>963</v>
      </c>
      <c r="F310" s="162"/>
      <c r="G310" s="163"/>
      <c r="H310" s="163"/>
      <c r="I310" s="158"/>
      <c r="J310" s="158"/>
      <c r="K310" s="167"/>
      <c r="L310" s="168"/>
      <c r="M310" s="167"/>
      <c r="N310" s="167"/>
      <c r="O310" s="210"/>
      <c r="P310" s="170"/>
      <c r="Q310" s="169"/>
      <c r="R310" s="158"/>
      <c r="S310" s="158"/>
      <c r="T310" s="162"/>
      <c r="U310" s="164"/>
      <c r="V310" s="165"/>
      <c r="W310" s="166"/>
      <c r="X310" s="172"/>
      <c r="Y310" s="174"/>
      <c r="Z310" s="176"/>
      <c r="AA310" s="178" t="str">
        <f t="shared" si="31"/>
        <v xml:space="preserve"> - </v>
      </c>
      <c r="AB310" s="180" t="str">
        <f t="shared" si="32"/>
        <v xml:space="preserve"> - </v>
      </c>
      <c r="AC310" s="180" t="str">
        <f t="shared" si="29"/>
        <v xml:space="preserve"> - </v>
      </c>
      <c r="AD310" s="182" t="str">
        <f t="shared" si="28"/>
        <v xml:space="preserve"> - </v>
      </c>
      <c r="AE310" s="184">
        <f t="shared" si="30"/>
        <v>0</v>
      </c>
      <c r="AF310" s="186">
        <f t="shared" si="27"/>
        <v>0</v>
      </c>
      <c r="AG310" s="188" t="str">
        <f t="array" ref="AG310" xml:space="preserve"> IFERROR( IF( D310="", "-", _xlfn.AGGREGATE(15,6, ( ( ($D$21:$D$27 = D310) * IF($D$19&lt;&gt;"", --($E$21:$E$27 = E310), 1) * IF($H$19&lt;&gt;"", --($F$21:$F$27 = F310), 1)  ) / ( ( $D$21:$D$27 = D310) * IF($D$19&lt;&gt;"", --($E$21:$E$27 = E310), 1)  * IF($H$19&lt;&gt;"", --($F$21:$F$27 = F310), 1) ) ) * $AF$21:$AF$27,1)    ), "-")</f>
        <v>-</v>
      </c>
      <c r="BB310"/>
      <c r="BE310" s="67"/>
    </row>
    <row r="311" spans="2:57" x14ac:dyDescent="0.25">
      <c r="B311" s="158" t="s">
        <v>534</v>
      </c>
      <c r="C311" s="158"/>
      <c r="D311" s="189" t="s">
        <v>965</v>
      </c>
      <c r="E311" s="160" t="s">
        <v>964</v>
      </c>
      <c r="F311" s="162"/>
      <c r="G311" s="163"/>
      <c r="H311" s="163"/>
      <c r="I311" s="158"/>
      <c r="J311" s="158"/>
      <c r="K311" s="167"/>
      <c r="L311" s="168"/>
      <c r="M311" s="167"/>
      <c r="N311" s="167"/>
      <c r="O311" s="210"/>
      <c r="P311" s="170"/>
      <c r="Q311" s="169"/>
      <c r="R311" s="158"/>
      <c r="S311" s="158"/>
      <c r="T311" s="162"/>
      <c r="U311" s="164"/>
      <c r="V311" s="165"/>
      <c r="W311" s="166"/>
      <c r="X311" s="172"/>
      <c r="Y311" s="174"/>
      <c r="Z311" s="176"/>
      <c r="AA311" s="178" t="str">
        <f t="shared" si="31"/>
        <v xml:space="preserve"> - </v>
      </c>
      <c r="AB311" s="180" t="str">
        <f t="shared" si="32"/>
        <v xml:space="preserve"> - </v>
      </c>
      <c r="AC311" s="180" t="str">
        <f t="shared" si="29"/>
        <v xml:space="preserve"> - </v>
      </c>
      <c r="AD311" s="182" t="str">
        <f t="shared" si="28"/>
        <v xml:space="preserve"> - </v>
      </c>
      <c r="AE311" s="184">
        <f t="shared" si="30"/>
        <v>0</v>
      </c>
      <c r="AF311" s="186">
        <f t="shared" si="27"/>
        <v>0</v>
      </c>
      <c r="AG311" s="188" t="str">
        <f t="array" ref="AG311" xml:space="preserve"> IFERROR( IF( D311="", "-", _xlfn.AGGREGATE(15,6, ( ( ($D$21:$D$27 = D311) * IF($D$19&lt;&gt;"", --($E$21:$E$27 = E311), 1) * IF($H$19&lt;&gt;"", --($F$21:$F$27 = F311), 1)  ) / ( ( $D$21:$D$27 = D311) * IF($D$19&lt;&gt;"", --($E$21:$E$27 = E311), 1)  * IF($H$19&lt;&gt;"", --($F$21:$F$27 = F311), 1) ) ) * $AF$21:$AF$27,1)    ), "-")</f>
        <v>-</v>
      </c>
      <c r="BB311"/>
      <c r="BE311" s="67"/>
    </row>
    <row r="312" spans="2:57" x14ac:dyDescent="0.25">
      <c r="B312" s="158" t="s">
        <v>535</v>
      </c>
      <c r="C312" s="158"/>
      <c r="D312" s="162" t="s">
        <v>535</v>
      </c>
      <c r="E312" s="160"/>
      <c r="F312" s="162"/>
      <c r="G312" s="163"/>
      <c r="H312" s="163"/>
      <c r="I312" s="158"/>
      <c r="J312" s="158"/>
      <c r="K312" s="167"/>
      <c r="L312" s="168"/>
      <c r="M312" s="167"/>
      <c r="N312" s="167"/>
      <c r="O312" s="210"/>
      <c r="P312" s="170"/>
      <c r="Q312" s="169"/>
      <c r="R312" s="158"/>
      <c r="S312" s="158"/>
      <c r="T312" s="162"/>
      <c r="U312" s="164"/>
      <c r="V312" s="165"/>
      <c r="W312" s="166"/>
      <c r="X312" s="172"/>
      <c r="Y312" s="174"/>
      <c r="Z312" s="176"/>
      <c r="AA312" s="178" t="str">
        <f t="shared" si="31"/>
        <v xml:space="preserve"> - </v>
      </c>
      <c r="AB312" s="180" t="str">
        <f t="shared" si="32"/>
        <v xml:space="preserve"> - </v>
      </c>
      <c r="AC312" s="180" t="str">
        <f t="shared" si="29"/>
        <v xml:space="preserve"> - </v>
      </c>
      <c r="AD312" s="182" t="str">
        <f t="shared" si="28"/>
        <v xml:space="preserve"> - </v>
      </c>
      <c r="AE312" s="184">
        <f t="shared" si="30"/>
        <v>0</v>
      </c>
      <c r="AF312" s="186">
        <f t="shared" si="27"/>
        <v>0</v>
      </c>
      <c r="AG312" s="188" t="str">
        <f t="array" ref="AG312" xml:space="preserve"> IFERROR( IF( D312="", "-", _xlfn.AGGREGATE(15,6, ( ( ($D$21:$D$27 = D312) * IF($D$19&lt;&gt;"", --($E$21:$E$27 = E312), 1) * IF($H$19&lt;&gt;"", --($F$21:$F$27 = F312), 1)  ) / ( ( $D$21:$D$27 = D312) * IF($D$19&lt;&gt;"", --($E$21:$E$27 = E312), 1)  * IF($H$19&lt;&gt;"", --($F$21:$F$27 = F312), 1) ) ) * $AF$21:$AF$27,1)    ), "-")</f>
        <v>-</v>
      </c>
      <c r="BB312"/>
      <c r="BE312" s="67"/>
    </row>
    <row r="313" spans="2:57" x14ac:dyDescent="0.25">
      <c r="B313" s="158" t="s">
        <v>536</v>
      </c>
      <c r="C313" s="158"/>
      <c r="D313" s="162" t="s">
        <v>536</v>
      </c>
      <c r="E313" s="160"/>
      <c r="F313" s="162"/>
      <c r="G313" s="163"/>
      <c r="H313" s="163"/>
      <c r="I313" s="158"/>
      <c r="J313" s="158"/>
      <c r="K313" s="167"/>
      <c r="L313" s="168"/>
      <c r="M313" s="167"/>
      <c r="N313" s="167"/>
      <c r="O313" s="210"/>
      <c r="P313" s="170"/>
      <c r="Q313" s="169"/>
      <c r="R313" s="158"/>
      <c r="S313" s="158"/>
      <c r="T313" s="162"/>
      <c r="U313" s="164"/>
      <c r="V313" s="165"/>
      <c r="W313" s="166"/>
      <c r="X313" s="172"/>
      <c r="Y313" s="174"/>
      <c r="Z313" s="176"/>
      <c r="AA313" s="178" t="str">
        <f t="shared" si="31"/>
        <v xml:space="preserve"> - </v>
      </c>
      <c r="AB313" s="180" t="str">
        <f t="shared" si="32"/>
        <v xml:space="preserve"> - </v>
      </c>
      <c r="AC313" s="180" t="str">
        <f t="shared" si="29"/>
        <v xml:space="preserve"> - </v>
      </c>
      <c r="AD313" s="182" t="str">
        <f t="shared" si="28"/>
        <v xml:space="preserve"> - </v>
      </c>
      <c r="AE313" s="184">
        <f t="shared" si="30"/>
        <v>0</v>
      </c>
      <c r="AF313" s="186">
        <f t="shared" si="27"/>
        <v>0</v>
      </c>
      <c r="AG313" s="188" t="str">
        <f t="array" ref="AG313" xml:space="preserve"> IFERROR( IF( D313="", "-", _xlfn.AGGREGATE(15,6, ( ( ($D$21:$D$27 = D313) * IF($D$19&lt;&gt;"", --($E$21:$E$27 = E313), 1) * IF($H$19&lt;&gt;"", --($F$21:$F$27 = F313), 1)  ) / ( ( $D$21:$D$27 = D313) * IF($D$19&lt;&gt;"", --($E$21:$E$27 = E313), 1)  * IF($H$19&lt;&gt;"", --($F$21:$F$27 = F313), 1) ) ) * $AF$21:$AF$27,1)    ), "-")</f>
        <v>-</v>
      </c>
      <c r="BB313"/>
      <c r="BE313" s="67"/>
    </row>
    <row r="314" spans="2:57" x14ac:dyDescent="0.25">
      <c r="B314" s="158" t="s">
        <v>537</v>
      </c>
      <c r="C314" s="158"/>
      <c r="D314" s="162" t="s">
        <v>815</v>
      </c>
      <c r="E314" s="160"/>
      <c r="F314" s="162"/>
      <c r="G314" s="163"/>
      <c r="H314" s="163"/>
      <c r="I314" s="158"/>
      <c r="J314" s="158"/>
      <c r="K314" s="167"/>
      <c r="L314" s="168"/>
      <c r="M314" s="167"/>
      <c r="N314" s="167"/>
      <c r="O314" s="210"/>
      <c r="P314" s="170"/>
      <c r="Q314" s="169"/>
      <c r="R314" s="158"/>
      <c r="S314" s="158"/>
      <c r="T314" s="162"/>
      <c r="U314" s="164"/>
      <c r="V314" s="165"/>
      <c r="W314" s="166"/>
      <c r="X314" s="172"/>
      <c r="Y314" s="174"/>
      <c r="Z314" s="176"/>
      <c r="AA314" s="178" t="str">
        <f t="shared" si="31"/>
        <v xml:space="preserve"> - </v>
      </c>
      <c r="AB314" s="180" t="str">
        <f t="shared" si="32"/>
        <v xml:space="preserve"> - </v>
      </c>
      <c r="AC314" s="180" t="str">
        <f t="shared" si="29"/>
        <v xml:space="preserve"> - </v>
      </c>
      <c r="AD314" s="182" t="str">
        <f t="shared" si="28"/>
        <v xml:space="preserve"> - </v>
      </c>
      <c r="AE314" s="184">
        <f t="shared" si="30"/>
        <v>0</v>
      </c>
      <c r="AF314" s="186">
        <f t="shared" si="27"/>
        <v>0</v>
      </c>
      <c r="AG314" s="188" t="str">
        <f t="array" ref="AG314" xml:space="preserve"> IFERROR( IF( D314="", "-", _xlfn.AGGREGATE(15,6, ( ( ($D$21:$D$27 = D314) * IF($D$19&lt;&gt;"", --($E$21:$E$27 = E314), 1) * IF($H$19&lt;&gt;"", --($F$21:$F$27 = F314), 1)  ) / ( ( $D$21:$D$27 = D314) * IF($D$19&lt;&gt;"", --($E$21:$E$27 = E314), 1)  * IF($H$19&lt;&gt;"", --($F$21:$F$27 = F314), 1) ) ) * $AF$21:$AF$27,1)    ), "-")</f>
        <v>-</v>
      </c>
      <c r="BB314"/>
      <c r="BE314" s="67"/>
    </row>
    <row r="315" spans="2:57" x14ac:dyDescent="0.25">
      <c r="B315" s="158" t="s">
        <v>538</v>
      </c>
      <c r="C315" s="158"/>
      <c r="D315" s="162" t="s">
        <v>538</v>
      </c>
      <c r="E315" s="160"/>
      <c r="F315" s="162"/>
      <c r="G315" s="163"/>
      <c r="H315" s="163"/>
      <c r="I315" s="158"/>
      <c r="J315" s="158"/>
      <c r="K315" s="167"/>
      <c r="L315" s="168"/>
      <c r="M315" s="167"/>
      <c r="N315" s="167"/>
      <c r="O315" s="210"/>
      <c r="P315" s="170"/>
      <c r="Q315" s="169"/>
      <c r="R315" s="158"/>
      <c r="S315" s="158"/>
      <c r="T315" s="162"/>
      <c r="U315" s="164"/>
      <c r="V315" s="165"/>
      <c r="W315" s="166"/>
      <c r="X315" s="172"/>
      <c r="Y315" s="174"/>
      <c r="Z315" s="176"/>
      <c r="AA315" s="178" t="str">
        <f t="shared" si="31"/>
        <v xml:space="preserve"> - </v>
      </c>
      <c r="AB315" s="180" t="str">
        <f t="shared" si="32"/>
        <v xml:space="preserve"> - </v>
      </c>
      <c r="AC315" s="180" t="str">
        <f t="shared" si="29"/>
        <v xml:space="preserve"> - </v>
      </c>
      <c r="AD315" s="182" t="str">
        <f t="shared" si="28"/>
        <v xml:space="preserve"> - </v>
      </c>
      <c r="AE315" s="184">
        <f t="shared" si="30"/>
        <v>0</v>
      </c>
      <c r="AF315" s="186">
        <f t="shared" si="27"/>
        <v>0</v>
      </c>
      <c r="AG315" s="188" t="str">
        <f t="array" ref="AG315" xml:space="preserve"> IFERROR( IF( D315="", "-", _xlfn.AGGREGATE(15,6, ( ( ($D$21:$D$27 = D315) * IF($D$19&lt;&gt;"", --($E$21:$E$27 = E315), 1) * IF($H$19&lt;&gt;"", --($F$21:$F$27 = F315), 1)  ) / ( ( $D$21:$D$27 = D315) * IF($D$19&lt;&gt;"", --($E$21:$E$27 = E315), 1)  * IF($H$19&lt;&gt;"", --($F$21:$F$27 = F315), 1) ) ) * $AF$21:$AF$27,1)    ), "-")</f>
        <v>-</v>
      </c>
      <c r="BB315"/>
      <c r="BE315" s="67"/>
    </row>
    <row r="316" spans="2:57" x14ac:dyDescent="0.25">
      <c r="B316" s="158" t="s">
        <v>539</v>
      </c>
      <c r="C316" s="158"/>
      <c r="D316" s="189" t="s">
        <v>966</v>
      </c>
      <c r="E316" s="194" t="s">
        <v>967</v>
      </c>
      <c r="F316" s="193" t="s">
        <v>683</v>
      </c>
      <c r="G316" s="163"/>
      <c r="H316" s="163"/>
      <c r="I316" s="158"/>
      <c r="J316" s="158"/>
      <c r="K316" s="167"/>
      <c r="L316" s="168"/>
      <c r="M316" s="167"/>
      <c r="N316" s="167"/>
      <c r="O316" s="210"/>
      <c r="P316" s="170"/>
      <c r="Q316" s="169"/>
      <c r="R316" s="158"/>
      <c r="S316" s="158"/>
      <c r="T316" s="162"/>
      <c r="U316" s="164"/>
      <c r="V316" s="165"/>
      <c r="W316" s="166"/>
      <c r="X316" s="172"/>
      <c r="Y316" s="174"/>
      <c r="Z316" s="176"/>
      <c r="AA316" s="178" t="str">
        <f t="shared" si="31"/>
        <v xml:space="preserve"> - </v>
      </c>
      <c r="AB316" s="180" t="str">
        <f t="shared" si="32"/>
        <v xml:space="preserve"> - </v>
      </c>
      <c r="AC316" s="180" t="str">
        <f t="shared" si="29"/>
        <v xml:space="preserve"> - </v>
      </c>
      <c r="AD316" s="182" t="str">
        <f t="shared" si="28"/>
        <v xml:space="preserve"> - </v>
      </c>
      <c r="AE316" s="184">
        <f t="shared" si="30"/>
        <v>0</v>
      </c>
      <c r="AF316" s="186">
        <f t="shared" si="27"/>
        <v>0</v>
      </c>
      <c r="AG316" s="188" t="str">
        <f t="array" ref="AG316" xml:space="preserve"> IFERROR( IF( D316="", "-", _xlfn.AGGREGATE(15,6, ( ( ($D$21:$D$27 = D316) * IF($D$19&lt;&gt;"", --($E$21:$E$27 = E316), 1) * IF($H$19&lt;&gt;"", --($F$21:$F$27 = F316), 1)  ) / ( ( $D$21:$D$27 = D316) * IF($D$19&lt;&gt;"", --($E$21:$E$27 = E316), 1)  * IF($H$19&lt;&gt;"", --($F$21:$F$27 = F316), 1) ) ) * $AF$21:$AF$27,1)    ), "-")</f>
        <v>-</v>
      </c>
      <c r="BB316"/>
      <c r="BE316" s="67"/>
    </row>
    <row r="317" spans="2:57" x14ac:dyDescent="0.25">
      <c r="B317" s="158" t="s">
        <v>540</v>
      </c>
      <c r="C317" s="158"/>
      <c r="D317" s="189" t="s">
        <v>966</v>
      </c>
      <c r="E317" s="194" t="s">
        <v>968</v>
      </c>
      <c r="F317" s="193" t="s">
        <v>683</v>
      </c>
      <c r="G317" s="163"/>
      <c r="H317" s="163"/>
      <c r="I317" s="158"/>
      <c r="J317" s="158"/>
      <c r="K317" s="167"/>
      <c r="L317" s="168"/>
      <c r="M317" s="167"/>
      <c r="N317" s="167"/>
      <c r="O317" s="210"/>
      <c r="P317" s="170"/>
      <c r="Q317" s="169"/>
      <c r="R317" s="158"/>
      <c r="S317" s="158"/>
      <c r="T317" s="162"/>
      <c r="U317" s="164"/>
      <c r="V317" s="165"/>
      <c r="W317" s="166"/>
      <c r="X317" s="172"/>
      <c r="Y317" s="174"/>
      <c r="Z317" s="176"/>
      <c r="AA317" s="178" t="str">
        <f t="shared" si="31"/>
        <v xml:space="preserve"> - </v>
      </c>
      <c r="AB317" s="180" t="str">
        <f t="shared" si="32"/>
        <v xml:space="preserve"> - </v>
      </c>
      <c r="AC317" s="180" t="str">
        <f t="shared" si="29"/>
        <v xml:space="preserve"> - </v>
      </c>
      <c r="AD317" s="182" t="str">
        <f t="shared" si="28"/>
        <v xml:space="preserve"> - </v>
      </c>
      <c r="AE317" s="184">
        <f t="shared" si="30"/>
        <v>0</v>
      </c>
      <c r="AF317" s="186">
        <f t="shared" si="27"/>
        <v>0</v>
      </c>
      <c r="AG317" s="188" t="str">
        <f t="array" ref="AG317" xml:space="preserve"> IFERROR( IF( D317="", "-", _xlfn.AGGREGATE(15,6, ( ( ($D$21:$D$27 = D317) * IF($D$19&lt;&gt;"", --($E$21:$E$27 = E317), 1) * IF($H$19&lt;&gt;"", --($F$21:$F$27 = F317), 1)  ) / ( ( $D$21:$D$27 = D317) * IF($D$19&lt;&gt;"", --($E$21:$E$27 = E317), 1)  * IF($H$19&lt;&gt;"", --($F$21:$F$27 = F317), 1) ) ) * $AF$21:$AF$27,1)    ), "-")</f>
        <v>-</v>
      </c>
      <c r="BB317"/>
      <c r="BE317" s="67"/>
    </row>
    <row r="318" spans="2:57" x14ac:dyDescent="0.25">
      <c r="B318" s="158" t="s">
        <v>541</v>
      </c>
      <c r="C318" s="158"/>
      <c r="D318" s="189" t="s">
        <v>966</v>
      </c>
      <c r="E318" s="160" t="s">
        <v>969</v>
      </c>
      <c r="F318" s="193" t="s">
        <v>683</v>
      </c>
      <c r="G318" s="163"/>
      <c r="H318" s="163"/>
      <c r="I318" s="158"/>
      <c r="J318" s="158"/>
      <c r="K318" s="167"/>
      <c r="L318" s="168"/>
      <c r="M318" s="167"/>
      <c r="N318" s="167"/>
      <c r="O318" s="210"/>
      <c r="P318" s="170"/>
      <c r="Q318" s="169"/>
      <c r="R318" s="158"/>
      <c r="S318" s="158"/>
      <c r="T318" s="162"/>
      <c r="U318" s="164"/>
      <c r="V318" s="165"/>
      <c r="W318" s="166"/>
      <c r="X318" s="172"/>
      <c r="Y318" s="174"/>
      <c r="Z318" s="176"/>
      <c r="AA318" s="178" t="str">
        <f t="shared" si="31"/>
        <v xml:space="preserve"> - </v>
      </c>
      <c r="AB318" s="180" t="str">
        <f t="shared" si="32"/>
        <v xml:space="preserve"> - </v>
      </c>
      <c r="AC318" s="180" t="str">
        <f t="shared" si="29"/>
        <v xml:space="preserve"> - </v>
      </c>
      <c r="AD318" s="182" t="str">
        <f t="shared" si="28"/>
        <v xml:space="preserve"> - </v>
      </c>
      <c r="AE318" s="184">
        <f t="shared" si="30"/>
        <v>0</v>
      </c>
      <c r="AF318" s="186">
        <f t="shared" si="27"/>
        <v>0</v>
      </c>
      <c r="AG318" s="188" t="str">
        <f t="array" ref="AG318" xml:space="preserve"> IFERROR( IF( D318="", "-", _xlfn.AGGREGATE(15,6, ( ( ($D$21:$D$27 = D318) * IF($D$19&lt;&gt;"", --($E$21:$E$27 = E318), 1) * IF($H$19&lt;&gt;"", --($F$21:$F$27 = F318), 1)  ) / ( ( $D$21:$D$27 = D318) * IF($D$19&lt;&gt;"", --($E$21:$E$27 = E318), 1)  * IF($H$19&lt;&gt;"", --($F$21:$F$27 = F318), 1) ) ) * $AF$21:$AF$27,1)    ), "-")</f>
        <v>-</v>
      </c>
      <c r="BB318"/>
      <c r="BE318" s="67"/>
    </row>
    <row r="319" spans="2:57" x14ac:dyDescent="0.25">
      <c r="B319" s="158" t="s">
        <v>542</v>
      </c>
      <c r="C319" s="158"/>
      <c r="D319" s="189" t="s">
        <v>971</v>
      </c>
      <c r="E319" s="193" t="s">
        <v>970</v>
      </c>
      <c r="F319" s="160" t="s">
        <v>41</v>
      </c>
      <c r="G319" s="163"/>
      <c r="H319" s="163"/>
      <c r="I319" s="158"/>
      <c r="J319" s="158"/>
      <c r="K319" s="167"/>
      <c r="L319" s="168"/>
      <c r="M319" s="167"/>
      <c r="N319" s="167"/>
      <c r="O319" s="210"/>
      <c r="P319" s="170"/>
      <c r="Q319" s="169"/>
      <c r="R319" s="158"/>
      <c r="S319" s="158"/>
      <c r="T319" s="162"/>
      <c r="U319" s="164"/>
      <c r="V319" s="165"/>
      <c r="W319" s="166"/>
      <c r="X319" s="172"/>
      <c r="Y319" s="174"/>
      <c r="Z319" s="176"/>
      <c r="AA319" s="178" t="str">
        <f t="shared" si="31"/>
        <v xml:space="preserve"> - </v>
      </c>
      <c r="AB319" s="180" t="str">
        <f t="shared" si="32"/>
        <v xml:space="preserve"> - </v>
      </c>
      <c r="AC319" s="180" t="str">
        <f t="shared" si="29"/>
        <v xml:space="preserve"> - </v>
      </c>
      <c r="AD319" s="182" t="str">
        <f t="shared" si="28"/>
        <v xml:space="preserve"> - </v>
      </c>
      <c r="AE319" s="184">
        <f t="shared" si="30"/>
        <v>0</v>
      </c>
      <c r="AF319" s="186">
        <f t="shared" si="27"/>
        <v>0</v>
      </c>
      <c r="AG319" s="188" t="str">
        <f t="array" ref="AG319" xml:space="preserve"> IFERROR( IF( D319="", "-", _xlfn.AGGREGATE(15,6, ( ( ($D$21:$D$27 = D319) * IF($D$19&lt;&gt;"", --($E$21:$E$27 = E319), 1) * IF($H$19&lt;&gt;"", --($F$21:$F$27 = F319), 1)  ) / ( ( $D$21:$D$27 = D319) * IF($D$19&lt;&gt;"", --($E$21:$E$27 = E319), 1)  * IF($H$19&lt;&gt;"", --($F$21:$F$27 = F319), 1) ) ) * $AF$21:$AF$27,1)    ), "-")</f>
        <v>-</v>
      </c>
      <c r="BB319"/>
      <c r="BE319" s="67"/>
    </row>
    <row r="320" spans="2:57" x14ac:dyDescent="0.25">
      <c r="B320" s="158" t="s">
        <v>543</v>
      </c>
      <c r="C320" s="158"/>
      <c r="D320" s="189" t="s">
        <v>972</v>
      </c>
      <c r="E320" s="193" t="s">
        <v>970</v>
      </c>
      <c r="F320" s="160" t="s">
        <v>167</v>
      </c>
      <c r="G320" s="163"/>
      <c r="H320" s="163"/>
      <c r="I320" s="158"/>
      <c r="J320" s="158"/>
      <c r="K320" s="167"/>
      <c r="L320" s="168"/>
      <c r="M320" s="167"/>
      <c r="N320" s="167"/>
      <c r="O320" s="210"/>
      <c r="P320" s="170"/>
      <c r="Q320" s="169"/>
      <c r="R320" s="158"/>
      <c r="S320" s="158"/>
      <c r="T320" s="162"/>
      <c r="U320" s="164"/>
      <c r="V320" s="165"/>
      <c r="W320" s="166"/>
      <c r="X320" s="172"/>
      <c r="Y320" s="174"/>
      <c r="Z320" s="176"/>
      <c r="AA320" s="178" t="str">
        <f t="shared" si="31"/>
        <v xml:space="preserve"> - </v>
      </c>
      <c r="AB320" s="180" t="str">
        <f t="shared" si="32"/>
        <v xml:space="preserve"> - </v>
      </c>
      <c r="AC320" s="180" t="str">
        <f t="shared" si="29"/>
        <v xml:space="preserve"> - </v>
      </c>
      <c r="AD320" s="182" t="str">
        <f t="shared" si="28"/>
        <v xml:space="preserve"> - </v>
      </c>
      <c r="AE320" s="184">
        <f t="shared" si="30"/>
        <v>0</v>
      </c>
      <c r="AF320" s="186">
        <f t="shared" si="27"/>
        <v>0</v>
      </c>
      <c r="AG320" s="188" t="str">
        <f t="array" ref="AG320" xml:space="preserve"> IFERROR( IF( D320="", "-", _xlfn.AGGREGATE(15,6, ( ( ($D$21:$D$27 = D320) * IF($D$19&lt;&gt;"", --($E$21:$E$27 = E320), 1) * IF($H$19&lt;&gt;"", --($F$21:$F$27 = F320), 1)  ) / ( ( $D$21:$D$27 = D320) * IF($D$19&lt;&gt;"", --($E$21:$E$27 = E320), 1)  * IF($H$19&lt;&gt;"", --($F$21:$F$27 = F320), 1) ) ) * $AF$21:$AF$27,1)    ), "-")</f>
        <v>-</v>
      </c>
      <c r="BB320"/>
      <c r="BE320" s="67"/>
    </row>
    <row r="321" spans="2:57" x14ac:dyDescent="0.25">
      <c r="B321" s="158" t="s">
        <v>544</v>
      </c>
      <c r="C321" s="158"/>
      <c r="D321" s="189" t="s">
        <v>973</v>
      </c>
      <c r="E321" s="160"/>
      <c r="F321" s="162"/>
      <c r="G321" s="163"/>
      <c r="H321" s="163"/>
      <c r="I321" s="158"/>
      <c r="J321" s="158"/>
      <c r="K321" s="167"/>
      <c r="L321" s="168"/>
      <c r="M321" s="167"/>
      <c r="N321" s="167"/>
      <c r="O321" s="210"/>
      <c r="P321" s="170"/>
      <c r="Q321" s="169"/>
      <c r="R321" s="158"/>
      <c r="S321" s="158"/>
      <c r="T321" s="162"/>
      <c r="U321" s="164"/>
      <c r="V321" s="165"/>
      <c r="W321" s="166"/>
      <c r="X321" s="172"/>
      <c r="Y321" s="174"/>
      <c r="Z321" s="176"/>
      <c r="AA321" s="178" t="str">
        <f t="shared" si="31"/>
        <v xml:space="preserve"> - </v>
      </c>
      <c r="AB321" s="180" t="str">
        <f t="shared" si="32"/>
        <v xml:space="preserve"> - </v>
      </c>
      <c r="AC321" s="180" t="str">
        <f t="shared" si="29"/>
        <v xml:space="preserve"> - </v>
      </c>
      <c r="AD321" s="182" t="str">
        <f t="shared" si="28"/>
        <v xml:space="preserve"> - </v>
      </c>
      <c r="AE321" s="184">
        <f t="shared" si="30"/>
        <v>0</v>
      </c>
      <c r="AF321" s="186">
        <f t="shared" ref="AF321:AF369" si="33">AE321 / IF( ISNUMBER($Q321),  $Q321, 1)</f>
        <v>0</v>
      </c>
      <c r="AG321" s="188" t="str">
        <f t="array" ref="AG321" xml:space="preserve"> IFERROR( IF( D321="", "-", _xlfn.AGGREGATE(15,6, ( ( ($D$21:$D$27 = D321) * IF($D$19&lt;&gt;"", --($E$21:$E$27 = E321), 1) * IF($H$19&lt;&gt;"", --($F$21:$F$27 = F321), 1)  ) / ( ( $D$21:$D$27 = D321) * IF($D$19&lt;&gt;"", --($E$21:$E$27 = E321), 1)  * IF($H$19&lt;&gt;"", --($F$21:$F$27 = F321), 1) ) ) * $AF$21:$AF$27,1)    ), "-")</f>
        <v>-</v>
      </c>
      <c r="BB321"/>
      <c r="BE321" s="67"/>
    </row>
    <row r="322" spans="2:57" x14ac:dyDescent="0.25">
      <c r="B322" s="158" t="s">
        <v>545</v>
      </c>
      <c r="C322" s="158"/>
      <c r="D322" s="189" t="s">
        <v>974</v>
      </c>
      <c r="E322" s="160"/>
      <c r="F322" s="162"/>
      <c r="G322" s="163"/>
      <c r="H322" s="163"/>
      <c r="I322" s="158"/>
      <c r="J322" s="158"/>
      <c r="K322" s="167"/>
      <c r="L322" s="168"/>
      <c r="M322" s="167"/>
      <c r="N322" s="167"/>
      <c r="O322" s="210"/>
      <c r="P322" s="170"/>
      <c r="Q322" s="169"/>
      <c r="R322" s="158"/>
      <c r="S322" s="158"/>
      <c r="T322" s="162"/>
      <c r="U322" s="164"/>
      <c r="V322" s="165"/>
      <c r="W322" s="166"/>
      <c r="X322" s="172"/>
      <c r="Y322" s="174"/>
      <c r="Z322" s="176"/>
      <c r="AA322" s="178" t="str">
        <f t="shared" si="31"/>
        <v xml:space="preserve"> - </v>
      </c>
      <c r="AB322" s="180" t="str">
        <f t="shared" si="32"/>
        <v xml:space="preserve"> - </v>
      </c>
      <c r="AC322" s="180" t="str">
        <f t="shared" si="29"/>
        <v xml:space="preserve"> - </v>
      </c>
      <c r="AD322" s="182" t="str">
        <f t="shared" si="28"/>
        <v xml:space="preserve"> - </v>
      </c>
      <c r="AE322" s="184">
        <f t="shared" si="30"/>
        <v>0</v>
      </c>
      <c r="AF322" s="186">
        <f t="shared" si="33"/>
        <v>0</v>
      </c>
      <c r="AG322" s="188" t="str">
        <f t="array" ref="AG322" xml:space="preserve"> IFERROR( IF( D322="", "-", _xlfn.AGGREGATE(15,6, ( ( ($D$21:$D$27 = D322) * IF($D$19&lt;&gt;"", --($E$21:$E$27 = E322), 1) * IF($H$19&lt;&gt;"", --($F$21:$F$27 = F322), 1)  ) / ( ( $D$21:$D$27 = D322) * IF($D$19&lt;&gt;"", --($E$21:$E$27 = E322), 1)  * IF($H$19&lt;&gt;"", --($F$21:$F$27 = F322), 1) ) ) * $AF$21:$AF$27,1)    ), "-")</f>
        <v>-</v>
      </c>
      <c r="BB322"/>
      <c r="BE322" s="67"/>
    </row>
    <row r="323" spans="2:57" x14ac:dyDescent="0.25">
      <c r="B323" s="158" t="s">
        <v>546</v>
      </c>
      <c r="C323" s="158"/>
      <c r="D323" s="189" t="s">
        <v>975</v>
      </c>
      <c r="E323" s="160" t="s">
        <v>976</v>
      </c>
      <c r="F323" s="162"/>
      <c r="G323" s="163"/>
      <c r="H323" s="163"/>
      <c r="I323" s="158"/>
      <c r="J323" s="158"/>
      <c r="K323" s="167"/>
      <c r="L323" s="168"/>
      <c r="M323" s="167"/>
      <c r="N323" s="167"/>
      <c r="O323" s="210"/>
      <c r="P323" s="170"/>
      <c r="Q323" s="169"/>
      <c r="R323" s="158"/>
      <c r="S323" s="158"/>
      <c r="T323" s="162"/>
      <c r="U323" s="164"/>
      <c r="V323" s="165"/>
      <c r="W323" s="166"/>
      <c r="X323" s="172"/>
      <c r="Y323" s="174"/>
      <c r="Z323" s="176"/>
      <c r="AA323" s="178" t="str">
        <f t="shared" si="31"/>
        <v xml:space="preserve"> - </v>
      </c>
      <c r="AB323" s="180" t="str">
        <f t="shared" si="32"/>
        <v xml:space="preserve"> - </v>
      </c>
      <c r="AC323" s="180" t="str">
        <f t="shared" si="29"/>
        <v xml:space="preserve"> - </v>
      </c>
      <c r="AD323" s="182" t="str">
        <f t="shared" si="28"/>
        <v xml:space="preserve"> - </v>
      </c>
      <c r="AE323" s="184">
        <f t="shared" si="30"/>
        <v>0</v>
      </c>
      <c r="AF323" s="186">
        <f t="shared" si="33"/>
        <v>0</v>
      </c>
      <c r="AG323" s="188" t="str">
        <f t="array" ref="AG323" xml:space="preserve"> IFERROR( IF( D323="", "-", _xlfn.AGGREGATE(15,6, ( ( ($D$21:$D$27 = D323) * IF($D$19&lt;&gt;"", --($E$21:$E$27 = E323), 1) * IF($H$19&lt;&gt;"", --($F$21:$F$27 = F323), 1)  ) / ( ( $D$21:$D$27 = D323) * IF($D$19&lt;&gt;"", --($E$21:$E$27 = E323), 1)  * IF($H$19&lt;&gt;"", --($F$21:$F$27 = F323), 1) ) ) * $AF$21:$AF$27,1)    ), "-")</f>
        <v>-</v>
      </c>
      <c r="BB323"/>
      <c r="BE323" s="67"/>
    </row>
    <row r="324" spans="2:57" x14ac:dyDescent="0.25">
      <c r="B324" s="158" t="s">
        <v>547</v>
      </c>
      <c r="C324" s="158"/>
      <c r="D324" s="189" t="s">
        <v>977</v>
      </c>
      <c r="E324" s="193" t="s">
        <v>978</v>
      </c>
      <c r="F324" s="162"/>
      <c r="G324" s="163"/>
      <c r="H324" s="163"/>
      <c r="I324" s="158"/>
      <c r="J324" s="158"/>
      <c r="K324" s="167"/>
      <c r="L324" s="168"/>
      <c r="M324" s="167"/>
      <c r="N324" s="167"/>
      <c r="O324" s="210"/>
      <c r="P324" s="170"/>
      <c r="Q324" s="169"/>
      <c r="R324" s="158"/>
      <c r="S324" s="158"/>
      <c r="T324" s="162"/>
      <c r="U324" s="164"/>
      <c r="V324" s="165"/>
      <c r="W324" s="166"/>
      <c r="X324" s="172"/>
      <c r="Y324" s="174"/>
      <c r="Z324" s="176"/>
      <c r="AA324" s="178" t="str">
        <f t="shared" si="31"/>
        <v xml:space="preserve"> - </v>
      </c>
      <c r="AB324" s="180" t="str">
        <f t="shared" si="32"/>
        <v xml:space="preserve"> - </v>
      </c>
      <c r="AC324" s="180" t="str">
        <f t="shared" si="29"/>
        <v xml:space="preserve"> - </v>
      </c>
      <c r="AD324" s="182" t="str">
        <f t="shared" si="28"/>
        <v xml:space="preserve"> - </v>
      </c>
      <c r="AE324" s="184">
        <f t="shared" si="30"/>
        <v>0</v>
      </c>
      <c r="AF324" s="186">
        <f t="shared" si="33"/>
        <v>0</v>
      </c>
      <c r="AG324" s="188" t="str">
        <f t="array" ref="AG324" xml:space="preserve"> IFERROR( IF( D324="", "-", _xlfn.AGGREGATE(15,6, ( ( ($D$21:$D$27 = D324) * IF($D$19&lt;&gt;"", --($E$21:$E$27 = E324), 1) * IF($H$19&lt;&gt;"", --($F$21:$F$27 = F324), 1)  ) / ( ( $D$21:$D$27 = D324) * IF($D$19&lt;&gt;"", --($E$21:$E$27 = E324), 1)  * IF($H$19&lt;&gt;"", --($F$21:$F$27 = F324), 1) ) ) * $AF$21:$AF$27,1)    ), "-")</f>
        <v>-</v>
      </c>
      <c r="BB324"/>
      <c r="BE324" s="67"/>
    </row>
    <row r="325" spans="2:57" x14ac:dyDescent="0.25">
      <c r="B325" s="158" t="s">
        <v>548</v>
      </c>
      <c r="C325" s="158"/>
      <c r="D325" s="189" t="s">
        <v>977</v>
      </c>
      <c r="E325" s="193" t="s">
        <v>979</v>
      </c>
      <c r="F325" s="162"/>
      <c r="G325" s="163"/>
      <c r="H325" s="163"/>
      <c r="I325" s="158"/>
      <c r="J325" s="158"/>
      <c r="K325" s="167"/>
      <c r="L325" s="168"/>
      <c r="M325" s="167"/>
      <c r="N325" s="167"/>
      <c r="O325" s="210"/>
      <c r="P325" s="170"/>
      <c r="Q325" s="169"/>
      <c r="R325" s="158"/>
      <c r="S325" s="158"/>
      <c r="T325" s="162"/>
      <c r="U325" s="164"/>
      <c r="V325" s="165"/>
      <c r="W325" s="166"/>
      <c r="X325" s="172"/>
      <c r="Y325" s="174"/>
      <c r="Z325" s="176"/>
      <c r="AA325" s="178" t="str">
        <f t="shared" si="31"/>
        <v xml:space="preserve"> - </v>
      </c>
      <c r="AB325" s="180" t="str">
        <f t="shared" si="32"/>
        <v xml:space="preserve"> - </v>
      </c>
      <c r="AC325" s="180" t="str">
        <f t="shared" si="29"/>
        <v xml:space="preserve"> - </v>
      </c>
      <c r="AD325" s="182" t="str">
        <f t="shared" si="28"/>
        <v xml:space="preserve"> - </v>
      </c>
      <c r="AE325" s="184">
        <f t="shared" si="30"/>
        <v>0</v>
      </c>
      <c r="AF325" s="186">
        <f t="shared" si="33"/>
        <v>0</v>
      </c>
      <c r="AG325" s="188" t="str">
        <f t="array" ref="AG325" xml:space="preserve"> IFERROR( IF( D325="", "-", _xlfn.AGGREGATE(15,6, ( ( ($D$21:$D$27 = D325) * IF($D$19&lt;&gt;"", --($E$21:$E$27 = E325), 1) * IF($H$19&lt;&gt;"", --($F$21:$F$27 = F325), 1)  ) / ( ( $D$21:$D$27 = D325) * IF($D$19&lt;&gt;"", --($E$21:$E$27 = E325), 1)  * IF($H$19&lt;&gt;"", --($F$21:$F$27 = F325), 1) ) ) * $AF$21:$AF$27,1)    ), "-")</f>
        <v>-</v>
      </c>
      <c r="BB325"/>
      <c r="BE325" s="67"/>
    </row>
    <row r="326" spans="2:57" x14ac:dyDescent="0.25">
      <c r="B326" s="158" t="s">
        <v>549</v>
      </c>
      <c r="C326" s="158"/>
      <c r="D326" s="189" t="s">
        <v>982</v>
      </c>
      <c r="E326" s="193" t="s">
        <v>602</v>
      </c>
      <c r="F326" s="162"/>
      <c r="G326" s="163"/>
      <c r="H326" s="163"/>
      <c r="I326" s="158"/>
      <c r="J326" s="158"/>
      <c r="K326" s="167"/>
      <c r="L326" s="168"/>
      <c r="M326" s="167"/>
      <c r="N326" s="167"/>
      <c r="O326" s="210"/>
      <c r="P326" s="170"/>
      <c r="Q326" s="169"/>
      <c r="R326" s="158"/>
      <c r="S326" s="158"/>
      <c r="T326" s="162"/>
      <c r="U326" s="164"/>
      <c r="V326" s="165"/>
      <c r="W326" s="166"/>
      <c r="X326" s="172"/>
      <c r="Y326" s="174"/>
      <c r="Z326" s="176"/>
      <c r="AA326" s="178" t="str">
        <f t="shared" si="31"/>
        <v xml:space="preserve"> - </v>
      </c>
      <c r="AB326" s="180" t="str">
        <f t="shared" si="32"/>
        <v xml:space="preserve"> - </v>
      </c>
      <c r="AC326" s="180" t="str">
        <f t="shared" si="29"/>
        <v xml:space="preserve"> - </v>
      </c>
      <c r="AD326" s="182" t="str">
        <f t="shared" si="28"/>
        <v xml:space="preserve"> - </v>
      </c>
      <c r="AE326" s="184">
        <f t="shared" si="30"/>
        <v>0</v>
      </c>
      <c r="AF326" s="186">
        <f t="shared" si="33"/>
        <v>0</v>
      </c>
      <c r="AG326" s="188" t="str">
        <f t="array" ref="AG326" xml:space="preserve"> IFERROR( IF( D326="", "-", _xlfn.AGGREGATE(15,6, ( ( ($D$21:$D$27 = D326) * IF($D$19&lt;&gt;"", --($E$21:$E$27 = E326), 1) * IF($H$19&lt;&gt;"", --($F$21:$F$27 = F326), 1)  ) / ( ( $D$21:$D$27 = D326) * IF($D$19&lt;&gt;"", --($E$21:$E$27 = E326), 1)  * IF($H$19&lt;&gt;"", --($F$21:$F$27 = F326), 1) ) ) * $AF$21:$AF$27,1)    ), "-")</f>
        <v>-</v>
      </c>
      <c r="BB326"/>
      <c r="BE326" s="67"/>
    </row>
    <row r="327" spans="2:57" x14ac:dyDescent="0.25">
      <c r="B327" s="158" t="s">
        <v>550</v>
      </c>
      <c r="C327" s="158"/>
      <c r="D327" s="189" t="s">
        <v>982</v>
      </c>
      <c r="E327" s="193" t="s">
        <v>980</v>
      </c>
      <c r="F327" s="162"/>
      <c r="G327" s="163"/>
      <c r="H327" s="163"/>
      <c r="I327" s="158"/>
      <c r="J327" s="158"/>
      <c r="K327" s="167"/>
      <c r="L327" s="168"/>
      <c r="M327" s="167"/>
      <c r="N327" s="167"/>
      <c r="O327" s="210"/>
      <c r="P327" s="170"/>
      <c r="Q327" s="169"/>
      <c r="R327" s="158"/>
      <c r="S327" s="158"/>
      <c r="T327" s="162"/>
      <c r="U327" s="164"/>
      <c r="V327" s="165"/>
      <c r="W327" s="166"/>
      <c r="X327" s="172"/>
      <c r="Y327" s="174"/>
      <c r="Z327" s="176"/>
      <c r="AA327" s="178" t="str">
        <f t="shared" si="31"/>
        <v xml:space="preserve"> - </v>
      </c>
      <c r="AB327" s="180" t="str">
        <f t="shared" si="32"/>
        <v xml:space="preserve"> - </v>
      </c>
      <c r="AC327" s="180" t="str">
        <f t="shared" si="29"/>
        <v xml:space="preserve"> - </v>
      </c>
      <c r="AD327" s="182" t="str">
        <f t="shared" si="28"/>
        <v xml:space="preserve"> - </v>
      </c>
      <c r="AE327" s="184">
        <f t="shared" si="30"/>
        <v>0</v>
      </c>
      <c r="AF327" s="186">
        <f t="shared" si="33"/>
        <v>0</v>
      </c>
      <c r="AG327" s="188" t="str">
        <f t="array" ref="AG327" xml:space="preserve"> IFERROR( IF( D327="", "-", _xlfn.AGGREGATE(15,6, ( ( ($D$21:$D$27 = D327) * IF($D$19&lt;&gt;"", --($E$21:$E$27 = E327), 1) * IF($H$19&lt;&gt;"", --($F$21:$F$27 = F327), 1)  ) / ( ( $D$21:$D$27 = D327) * IF($D$19&lt;&gt;"", --($E$21:$E$27 = E327), 1)  * IF($H$19&lt;&gt;"", --($F$21:$F$27 = F327), 1) ) ) * $AF$21:$AF$27,1)    ), "-")</f>
        <v>-</v>
      </c>
      <c r="BB327"/>
      <c r="BE327" s="67"/>
    </row>
    <row r="328" spans="2:57" x14ac:dyDescent="0.25">
      <c r="B328" s="158" t="s">
        <v>551</v>
      </c>
      <c r="C328" s="158"/>
      <c r="D328" s="189" t="s">
        <v>982</v>
      </c>
      <c r="E328" s="193" t="s">
        <v>981</v>
      </c>
      <c r="F328" s="162"/>
      <c r="G328" s="163"/>
      <c r="H328" s="163"/>
      <c r="I328" s="158"/>
      <c r="J328" s="158"/>
      <c r="K328" s="167"/>
      <c r="L328" s="168"/>
      <c r="M328" s="167"/>
      <c r="N328" s="167"/>
      <c r="O328" s="210"/>
      <c r="P328" s="170"/>
      <c r="Q328" s="169"/>
      <c r="R328" s="158"/>
      <c r="S328" s="158"/>
      <c r="T328" s="162"/>
      <c r="U328" s="164"/>
      <c r="V328" s="165"/>
      <c r="W328" s="166"/>
      <c r="X328" s="172"/>
      <c r="Y328" s="174"/>
      <c r="Z328" s="176"/>
      <c r="AA328" s="178" t="str">
        <f t="shared" si="31"/>
        <v xml:space="preserve"> - </v>
      </c>
      <c r="AB328" s="180" t="str">
        <f t="shared" si="32"/>
        <v xml:space="preserve"> - </v>
      </c>
      <c r="AC328" s="180" t="str">
        <f t="shared" si="29"/>
        <v xml:space="preserve"> - </v>
      </c>
      <c r="AD328" s="182" t="str">
        <f t="shared" si="28"/>
        <v xml:space="preserve"> - </v>
      </c>
      <c r="AE328" s="184">
        <f t="shared" si="30"/>
        <v>0</v>
      </c>
      <c r="AF328" s="186">
        <f t="shared" si="33"/>
        <v>0</v>
      </c>
      <c r="AG328" s="188" t="str">
        <f t="array" ref="AG328" xml:space="preserve"> IFERROR( IF( D328="", "-", _xlfn.AGGREGATE(15,6, ( ( ($D$21:$D$27 = D328) * IF($D$19&lt;&gt;"", --($E$21:$E$27 = E328), 1) * IF($H$19&lt;&gt;"", --($F$21:$F$27 = F328), 1)  ) / ( ( $D$21:$D$27 = D328) * IF($D$19&lt;&gt;"", --($E$21:$E$27 = E328), 1)  * IF($H$19&lt;&gt;"", --($F$21:$F$27 = F328), 1) ) ) * $AF$21:$AF$27,1)    ), "-")</f>
        <v>-</v>
      </c>
      <c r="BB328"/>
      <c r="BE328" s="67"/>
    </row>
    <row r="329" spans="2:57" x14ac:dyDescent="0.25">
      <c r="B329" s="158" t="s">
        <v>552</v>
      </c>
      <c r="C329" s="158"/>
      <c r="D329" s="189" t="s">
        <v>984</v>
      </c>
      <c r="E329" s="193" t="s">
        <v>983</v>
      </c>
      <c r="F329" s="162"/>
      <c r="G329" s="163"/>
      <c r="H329" s="163"/>
      <c r="I329" s="158"/>
      <c r="J329" s="158"/>
      <c r="K329" s="167"/>
      <c r="L329" s="168"/>
      <c r="M329" s="167"/>
      <c r="N329" s="167"/>
      <c r="O329" s="210"/>
      <c r="P329" s="170"/>
      <c r="Q329" s="169"/>
      <c r="R329" s="158"/>
      <c r="S329" s="158"/>
      <c r="T329" s="162"/>
      <c r="U329" s="164"/>
      <c r="V329" s="165"/>
      <c r="W329" s="166"/>
      <c r="X329" s="172"/>
      <c r="Y329" s="174"/>
      <c r="Z329" s="176"/>
      <c r="AA329" s="178" t="str">
        <f t="shared" si="31"/>
        <v xml:space="preserve"> - </v>
      </c>
      <c r="AB329" s="180" t="str">
        <f t="shared" si="32"/>
        <v xml:space="preserve"> - </v>
      </c>
      <c r="AC329" s="180" t="str">
        <f t="shared" si="29"/>
        <v xml:space="preserve"> - </v>
      </c>
      <c r="AD329" s="182" t="str">
        <f t="shared" si="28"/>
        <v xml:space="preserve"> - </v>
      </c>
      <c r="AE329" s="184">
        <f t="shared" si="30"/>
        <v>0</v>
      </c>
      <c r="AF329" s="186">
        <f t="shared" si="33"/>
        <v>0</v>
      </c>
      <c r="AG329" s="188" t="str">
        <f t="array" ref="AG329" xml:space="preserve"> IFERROR( IF( D329="", "-", _xlfn.AGGREGATE(15,6, ( ( ($D$21:$D$27 = D329) * IF($D$19&lt;&gt;"", --($E$21:$E$27 = E329), 1) * IF($H$19&lt;&gt;"", --($F$21:$F$27 = F329), 1)  ) / ( ( $D$21:$D$27 = D329) * IF($D$19&lt;&gt;"", --($E$21:$E$27 = E329), 1)  * IF($H$19&lt;&gt;"", --($F$21:$F$27 = F329), 1) ) ) * $AF$21:$AF$27,1)    ), "-")</f>
        <v>-</v>
      </c>
      <c r="BB329"/>
      <c r="BE329" s="67"/>
    </row>
    <row r="330" spans="2:57" x14ac:dyDescent="0.25">
      <c r="B330" s="158" t="s">
        <v>553</v>
      </c>
      <c r="C330" s="158"/>
      <c r="D330" s="189" t="s">
        <v>985</v>
      </c>
      <c r="E330" s="160" t="s">
        <v>986</v>
      </c>
      <c r="F330" s="162"/>
      <c r="G330" s="163"/>
      <c r="H330" s="163"/>
      <c r="I330" s="158"/>
      <c r="J330" s="158"/>
      <c r="K330" s="167"/>
      <c r="L330" s="168"/>
      <c r="M330" s="167"/>
      <c r="N330" s="167"/>
      <c r="O330" s="210"/>
      <c r="P330" s="170"/>
      <c r="Q330" s="169"/>
      <c r="R330" s="158"/>
      <c r="S330" s="158"/>
      <c r="T330" s="162"/>
      <c r="U330" s="164"/>
      <c r="V330" s="165"/>
      <c r="W330" s="166"/>
      <c r="X330" s="172"/>
      <c r="Y330" s="174"/>
      <c r="Z330" s="176"/>
      <c r="AA330" s="178" t="str">
        <f t="shared" si="31"/>
        <v xml:space="preserve"> - </v>
      </c>
      <c r="AB330" s="180" t="str">
        <f t="shared" si="32"/>
        <v xml:space="preserve"> - </v>
      </c>
      <c r="AC330" s="180" t="str">
        <f t="shared" si="29"/>
        <v xml:space="preserve"> - </v>
      </c>
      <c r="AD330" s="182" t="str">
        <f t="shared" si="28"/>
        <v xml:space="preserve"> - </v>
      </c>
      <c r="AE330" s="184">
        <f t="shared" si="30"/>
        <v>0</v>
      </c>
      <c r="AF330" s="186">
        <f t="shared" si="33"/>
        <v>0</v>
      </c>
      <c r="AG330" s="188" t="str">
        <f t="array" ref="AG330" xml:space="preserve"> IFERROR( IF( D330="", "-", _xlfn.AGGREGATE(15,6, ( ( ($D$21:$D$27 = D330) * IF($D$19&lt;&gt;"", --($E$21:$E$27 = E330), 1) * IF($H$19&lt;&gt;"", --($F$21:$F$27 = F330), 1)  ) / ( ( $D$21:$D$27 = D330) * IF($D$19&lt;&gt;"", --($E$21:$E$27 = E330), 1)  * IF($H$19&lt;&gt;"", --($F$21:$F$27 = F330), 1) ) ) * $AF$21:$AF$27,1)    ), "-")</f>
        <v>-</v>
      </c>
      <c r="BB330"/>
      <c r="BE330" s="67"/>
    </row>
    <row r="331" spans="2:57" x14ac:dyDescent="0.25">
      <c r="B331" s="158" t="s">
        <v>554</v>
      </c>
      <c r="C331" s="158"/>
      <c r="D331" s="189" t="s">
        <v>990</v>
      </c>
      <c r="E331" s="160" t="s">
        <v>987</v>
      </c>
      <c r="F331" s="162"/>
      <c r="G331" s="163"/>
      <c r="H331" s="163"/>
      <c r="I331" s="158"/>
      <c r="J331" s="158"/>
      <c r="K331" s="167"/>
      <c r="L331" s="168"/>
      <c r="M331" s="167"/>
      <c r="N331" s="167"/>
      <c r="O331" s="210"/>
      <c r="P331" s="170"/>
      <c r="Q331" s="169"/>
      <c r="R331" s="158"/>
      <c r="S331" s="158"/>
      <c r="T331" s="162"/>
      <c r="U331" s="164"/>
      <c r="V331" s="165"/>
      <c r="W331" s="166"/>
      <c r="X331" s="172"/>
      <c r="Y331" s="174"/>
      <c r="Z331" s="176"/>
      <c r="AA331" s="178" t="str">
        <f t="shared" si="31"/>
        <v xml:space="preserve"> - </v>
      </c>
      <c r="AB331" s="180" t="str">
        <f t="shared" si="32"/>
        <v xml:space="preserve"> - </v>
      </c>
      <c r="AC331" s="180" t="str">
        <f t="shared" si="29"/>
        <v xml:space="preserve"> - </v>
      </c>
      <c r="AD331" s="182" t="str">
        <f t="shared" si="28"/>
        <v xml:space="preserve"> - </v>
      </c>
      <c r="AE331" s="184">
        <f t="shared" si="30"/>
        <v>0</v>
      </c>
      <c r="AF331" s="186">
        <f t="shared" si="33"/>
        <v>0</v>
      </c>
      <c r="AG331" s="188" t="str">
        <f t="array" ref="AG331" xml:space="preserve"> IFERROR( IF( D331="", "-", _xlfn.AGGREGATE(15,6, ( ( ($D$21:$D$27 = D331) * IF($D$19&lt;&gt;"", --($E$21:$E$27 = E331), 1) * IF($H$19&lt;&gt;"", --($F$21:$F$27 = F331), 1)  ) / ( ( $D$21:$D$27 = D331) * IF($D$19&lt;&gt;"", --($E$21:$E$27 = E331), 1)  * IF($H$19&lt;&gt;"", --($F$21:$F$27 = F331), 1) ) ) * $AF$21:$AF$27,1)    ), "-")</f>
        <v>-</v>
      </c>
      <c r="BB331"/>
      <c r="BE331" s="67"/>
    </row>
    <row r="332" spans="2:57" x14ac:dyDescent="0.25">
      <c r="B332" s="158" t="s">
        <v>555</v>
      </c>
      <c r="C332" s="158"/>
      <c r="D332" s="189" t="s">
        <v>990</v>
      </c>
      <c r="E332" s="160" t="s">
        <v>988</v>
      </c>
      <c r="F332" s="162"/>
      <c r="G332" s="163"/>
      <c r="H332" s="163"/>
      <c r="I332" s="158"/>
      <c r="J332" s="158"/>
      <c r="K332" s="167"/>
      <c r="L332" s="168"/>
      <c r="M332" s="167"/>
      <c r="N332" s="167"/>
      <c r="O332" s="210"/>
      <c r="P332" s="170"/>
      <c r="Q332" s="169"/>
      <c r="R332" s="158"/>
      <c r="S332" s="158"/>
      <c r="T332" s="162"/>
      <c r="U332" s="164"/>
      <c r="V332" s="165"/>
      <c r="W332" s="166"/>
      <c r="X332" s="172"/>
      <c r="Y332" s="174"/>
      <c r="Z332" s="176"/>
      <c r="AA332" s="178" t="str">
        <f t="shared" si="31"/>
        <v xml:space="preserve"> - </v>
      </c>
      <c r="AB332" s="180" t="str">
        <f t="shared" si="32"/>
        <v xml:space="preserve"> - </v>
      </c>
      <c r="AC332" s="180" t="str">
        <f t="shared" si="29"/>
        <v xml:space="preserve"> - </v>
      </c>
      <c r="AD332" s="182" t="str">
        <f t="shared" si="28"/>
        <v xml:space="preserve"> - </v>
      </c>
      <c r="AE332" s="184">
        <f t="shared" si="30"/>
        <v>0</v>
      </c>
      <c r="AF332" s="186">
        <f t="shared" si="33"/>
        <v>0</v>
      </c>
      <c r="AG332" s="188" t="str">
        <f t="array" ref="AG332" xml:space="preserve"> IFERROR( IF( D332="", "-", _xlfn.AGGREGATE(15,6, ( ( ($D$21:$D$27 = D332) * IF($D$19&lt;&gt;"", --($E$21:$E$27 = E332), 1) * IF($H$19&lt;&gt;"", --($F$21:$F$27 = F332), 1)  ) / ( ( $D$21:$D$27 = D332) * IF($D$19&lt;&gt;"", --($E$21:$E$27 = E332), 1)  * IF($H$19&lt;&gt;"", --($F$21:$F$27 = F332), 1) ) ) * $AF$21:$AF$27,1)    ), "-")</f>
        <v>-</v>
      </c>
      <c r="BB332"/>
      <c r="BE332" s="67"/>
    </row>
    <row r="333" spans="2:57" x14ac:dyDescent="0.25">
      <c r="B333" s="158" t="s">
        <v>556</v>
      </c>
      <c r="C333" s="158"/>
      <c r="D333" s="189" t="s">
        <v>989</v>
      </c>
      <c r="E333" s="160"/>
      <c r="F333" s="162"/>
      <c r="G333" s="163"/>
      <c r="H333" s="163"/>
      <c r="I333" s="158"/>
      <c r="J333" s="158"/>
      <c r="K333" s="167"/>
      <c r="L333" s="168"/>
      <c r="M333" s="167"/>
      <c r="N333" s="167"/>
      <c r="O333" s="210"/>
      <c r="P333" s="170"/>
      <c r="Q333" s="169"/>
      <c r="R333" s="158"/>
      <c r="S333" s="158"/>
      <c r="T333" s="162"/>
      <c r="U333" s="164"/>
      <c r="V333" s="165"/>
      <c r="W333" s="166"/>
      <c r="X333" s="172"/>
      <c r="Y333" s="174"/>
      <c r="Z333" s="176"/>
      <c r="AA333" s="178" t="str">
        <f t="shared" si="31"/>
        <v xml:space="preserve"> - </v>
      </c>
      <c r="AB333" s="180" t="str">
        <f t="shared" si="32"/>
        <v xml:space="preserve"> - </v>
      </c>
      <c r="AC333" s="180" t="str">
        <f t="shared" si="29"/>
        <v xml:space="preserve"> - </v>
      </c>
      <c r="AD333" s="182" t="str">
        <f t="shared" si="28"/>
        <v xml:space="preserve"> - </v>
      </c>
      <c r="AE333" s="184">
        <f t="shared" si="30"/>
        <v>0</v>
      </c>
      <c r="AF333" s="186">
        <f t="shared" si="33"/>
        <v>0</v>
      </c>
      <c r="AG333" s="188" t="str">
        <f t="array" ref="AG333" xml:space="preserve"> IFERROR( IF( D333="", "-", _xlfn.AGGREGATE(15,6, ( ( ($D$21:$D$27 = D333) * IF($D$19&lt;&gt;"", --($E$21:$E$27 = E333), 1) * IF($H$19&lt;&gt;"", --($F$21:$F$27 = F333), 1)  ) / ( ( $D$21:$D$27 = D333) * IF($D$19&lt;&gt;"", --($E$21:$E$27 = E333), 1)  * IF($H$19&lt;&gt;"", --($F$21:$F$27 = F333), 1) ) ) * $AF$21:$AF$27,1)    ), "-")</f>
        <v>-</v>
      </c>
      <c r="BB333"/>
      <c r="BE333" s="67"/>
    </row>
    <row r="334" spans="2:57" x14ac:dyDescent="0.25">
      <c r="B334" s="158" t="s">
        <v>557</v>
      </c>
      <c r="C334" s="158"/>
      <c r="D334" s="189" t="s">
        <v>991</v>
      </c>
      <c r="E334" s="160" t="s">
        <v>718</v>
      </c>
      <c r="F334" s="162"/>
      <c r="G334" s="163"/>
      <c r="H334" s="163"/>
      <c r="I334" s="158"/>
      <c r="J334" s="158"/>
      <c r="K334" s="167"/>
      <c r="L334" s="168"/>
      <c r="M334" s="167"/>
      <c r="N334" s="167"/>
      <c r="O334" s="210"/>
      <c r="P334" s="170"/>
      <c r="Q334" s="169"/>
      <c r="R334" s="158"/>
      <c r="S334" s="158"/>
      <c r="T334" s="162"/>
      <c r="U334" s="164"/>
      <c r="V334" s="165"/>
      <c r="W334" s="166"/>
      <c r="X334" s="172"/>
      <c r="Y334" s="174"/>
      <c r="Z334" s="176"/>
      <c r="AA334" s="178" t="str">
        <f t="shared" si="31"/>
        <v xml:space="preserve"> - </v>
      </c>
      <c r="AB334" s="180" t="str">
        <f t="shared" si="32"/>
        <v xml:space="preserve"> - </v>
      </c>
      <c r="AC334" s="180" t="str">
        <f t="shared" si="29"/>
        <v xml:space="preserve"> - </v>
      </c>
      <c r="AD334" s="182" t="str">
        <f t="shared" si="28"/>
        <v xml:space="preserve"> - </v>
      </c>
      <c r="AE334" s="184">
        <f t="shared" si="30"/>
        <v>0</v>
      </c>
      <c r="AF334" s="186">
        <f t="shared" si="33"/>
        <v>0</v>
      </c>
      <c r="AG334" s="188" t="str">
        <f t="array" ref="AG334" xml:space="preserve"> IFERROR( IF( D334="", "-", _xlfn.AGGREGATE(15,6, ( ( ($D$21:$D$27 = D334) * IF($D$19&lt;&gt;"", --($E$21:$E$27 = E334), 1) * IF($H$19&lt;&gt;"", --($F$21:$F$27 = F334), 1)  ) / ( ( $D$21:$D$27 = D334) * IF($D$19&lt;&gt;"", --($E$21:$E$27 = E334), 1)  * IF($H$19&lt;&gt;"", --($F$21:$F$27 = F334), 1) ) ) * $AF$21:$AF$27,1)    ), "-")</f>
        <v>-</v>
      </c>
      <c r="BB334"/>
      <c r="BE334" s="67"/>
    </row>
    <row r="335" spans="2:57" x14ac:dyDescent="0.25">
      <c r="B335" s="158" t="s">
        <v>558</v>
      </c>
      <c r="C335" s="158"/>
      <c r="D335" s="189" t="s">
        <v>992</v>
      </c>
      <c r="E335" s="160"/>
      <c r="F335" s="162"/>
      <c r="G335" s="163"/>
      <c r="H335" s="163"/>
      <c r="I335" s="158"/>
      <c r="J335" s="158"/>
      <c r="K335" s="167"/>
      <c r="L335" s="168"/>
      <c r="M335" s="167"/>
      <c r="N335" s="167"/>
      <c r="O335" s="210"/>
      <c r="P335" s="170"/>
      <c r="Q335" s="169"/>
      <c r="R335" s="158"/>
      <c r="S335" s="158"/>
      <c r="T335" s="162"/>
      <c r="U335" s="164"/>
      <c r="V335" s="165"/>
      <c r="W335" s="166"/>
      <c r="X335" s="172"/>
      <c r="Y335" s="174"/>
      <c r="Z335" s="176"/>
      <c r="AA335" s="178" t="str">
        <f t="shared" si="31"/>
        <v xml:space="preserve"> - </v>
      </c>
      <c r="AB335" s="180" t="str">
        <f t="shared" si="32"/>
        <v xml:space="preserve"> - </v>
      </c>
      <c r="AC335" s="180" t="str">
        <f t="shared" si="29"/>
        <v xml:space="preserve"> - </v>
      </c>
      <c r="AD335" s="182" t="str">
        <f t="shared" si="28"/>
        <v xml:space="preserve"> - </v>
      </c>
      <c r="AE335" s="184">
        <f t="shared" si="30"/>
        <v>0</v>
      </c>
      <c r="AF335" s="186">
        <f t="shared" si="33"/>
        <v>0</v>
      </c>
      <c r="AG335" s="188" t="str">
        <f t="array" ref="AG335" xml:space="preserve"> IFERROR( IF( D335="", "-", _xlfn.AGGREGATE(15,6, ( ( ($D$21:$D$27 = D335) * IF($D$19&lt;&gt;"", --($E$21:$E$27 = E335), 1) * IF($H$19&lt;&gt;"", --($F$21:$F$27 = F335), 1)  ) / ( ( $D$21:$D$27 = D335) * IF($D$19&lt;&gt;"", --($E$21:$E$27 = E335), 1)  * IF($H$19&lt;&gt;"", --($F$21:$F$27 = F335), 1) ) ) * $AF$21:$AF$27,1)    ), "-")</f>
        <v>-</v>
      </c>
      <c r="BB335"/>
      <c r="BE335" s="67"/>
    </row>
    <row r="336" spans="2:57" x14ac:dyDescent="0.25">
      <c r="B336" s="158" t="s">
        <v>559</v>
      </c>
      <c r="C336" s="158"/>
      <c r="D336" s="189" t="s">
        <v>993</v>
      </c>
      <c r="E336" s="193" t="s">
        <v>1009</v>
      </c>
      <c r="F336" s="162"/>
      <c r="G336" s="163" t="s">
        <v>747</v>
      </c>
      <c r="H336" s="163"/>
      <c r="I336" s="158"/>
      <c r="J336" s="158"/>
      <c r="K336" s="167"/>
      <c r="L336" s="168"/>
      <c r="M336" s="167"/>
      <c r="N336" s="167"/>
      <c r="O336" s="210"/>
      <c r="P336" s="170"/>
      <c r="Q336" s="169"/>
      <c r="R336" s="158"/>
      <c r="S336" s="158"/>
      <c r="T336" s="162"/>
      <c r="U336" s="164"/>
      <c r="V336" s="165"/>
      <c r="W336" s="166"/>
      <c r="X336" s="172"/>
      <c r="Y336" s="174"/>
      <c r="Z336" s="176"/>
      <c r="AA336" s="178" t="str">
        <f t="shared" si="31"/>
        <v xml:space="preserve"> - </v>
      </c>
      <c r="AB336" s="180" t="str">
        <f t="shared" si="32"/>
        <v xml:space="preserve"> - </v>
      </c>
      <c r="AC336" s="180" t="str">
        <f t="shared" si="29"/>
        <v xml:space="preserve"> - </v>
      </c>
      <c r="AD336" s="182" t="str">
        <f t="shared" si="28"/>
        <v xml:space="preserve"> - </v>
      </c>
      <c r="AE336" s="184">
        <f t="shared" si="30"/>
        <v>0</v>
      </c>
      <c r="AF336" s="186">
        <f t="shared" si="33"/>
        <v>0</v>
      </c>
      <c r="AG336" s="188" t="str">
        <f t="array" ref="AG336" xml:space="preserve"> IFERROR( IF( D336="", "-", _xlfn.AGGREGATE(15,6, ( ( ($D$21:$D$27 = D336) * IF($D$19&lt;&gt;"", --($E$21:$E$27 = E336), 1) * IF($H$19&lt;&gt;"", --($F$21:$F$27 = F336), 1)  ) / ( ( $D$21:$D$27 = D336) * IF($D$19&lt;&gt;"", --($E$21:$E$27 = E336), 1)  * IF($H$19&lt;&gt;"", --($F$21:$F$27 = F336), 1) ) ) * $AF$21:$AF$27,1)    ), "-")</f>
        <v>-</v>
      </c>
      <c r="BB336"/>
      <c r="BE336" s="67"/>
    </row>
    <row r="337" spans="2:57" x14ac:dyDescent="0.25">
      <c r="B337" s="158" t="s">
        <v>560</v>
      </c>
      <c r="C337" s="158"/>
      <c r="D337" s="189" t="s">
        <v>994</v>
      </c>
      <c r="E337" s="160"/>
      <c r="F337" s="162"/>
      <c r="G337" s="163"/>
      <c r="H337" s="163"/>
      <c r="I337" s="158"/>
      <c r="J337" s="158"/>
      <c r="K337" s="167"/>
      <c r="L337" s="168"/>
      <c r="M337" s="166" t="s">
        <v>719</v>
      </c>
      <c r="N337" s="166"/>
      <c r="O337" s="211"/>
      <c r="P337" s="170"/>
      <c r="Q337" s="169"/>
      <c r="R337" s="158"/>
      <c r="S337" s="158"/>
      <c r="T337" s="162"/>
      <c r="U337" s="164"/>
      <c r="V337" s="165"/>
      <c r="W337" s="142"/>
      <c r="X337" s="172"/>
      <c r="Y337" s="174"/>
      <c r="Z337" s="176"/>
      <c r="AA337" s="178" t="str">
        <f>IF( ISNUMBER($U337), $U337, IF( ISNUMBER($T337), $T337 * IF( $V337="", 1,  $V337),            IF( ISNUMBER($V337), $V337 * IF( $M337="", 1,  $M337), " - ")           ) )</f>
        <v xml:space="preserve"> - </v>
      </c>
      <c r="AB337" s="180" t="str">
        <f>IF( ISNUMBER($V337), $V337, IF( ISNUMBER($U337), $U337 / IF( $M337 &lt;&gt;"",  $M337, 1), " - ") )</f>
        <v xml:space="preserve"> - </v>
      </c>
      <c r="AC337" s="180" t="str">
        <f t="shared" si="29"/>
        <v xml:space="preserve"> - </v>
      </c>
      <c r="AD337" s="182" t="str">
        <f t="shared" si="28"/>
        <v xml:space="preserve"> - </v>
      </c>
      <c r="AE337" s="184">
        <f>IFERROR(   (IF(ISNUMBER( $U337 ), $U337, IF( ISNUMBER( $V337 ),$V337, 0 ) ) + $X337 ) /  (  IF(ISNUMBER( $M337), $M337, 1) * IF(ISNUMBER( $L337), $L337, 1) ), "-")</f>
        <v>0</v>
      </c>
      <c r="AF337" s="186">
        <f t="shared" si="33"/>
        <v>0</v>
      </c>
      <c r="AG337" s="188" t="str">
        <f t="array" ref="AG337" xml:space="preserve"> IFERROR( IF( D337="", "-", _xlfn.AGGREGATE(15,6, ( ( ($D$21:$D$27 = D337) * IF($D$19&lt;&gt;"", --($E$21:$E$27 = E337), 1) * IF($H$19&lt;&gt;"", --($F$21:$F$27 = F337), 1)  ) / ( ( $D$21:$D$27 = D337) * IF($D$19&lt;&gt;"", --($E$21:$E$27 = E337), 1)  * IF($H$19&lt;&gt;"", --($F$21:$F$27 = F337), 1) ) ) * $AF$21:$AF$27,1)    ), "-")</f>
        <v>-</v>
      </c>
      <c r="BB337"/>
      <c r="BE337" s="67"/>
    </row>
    <row r="338" spans="2:57" x14ac:dyDescent="0.25">
      <c r="B338" s="158" t="s">
        <v>561</v>
      </c>
      <c r="C338" s="158"/>
      <c r="D338" s="189" t="s">
        <v>995</v>
      </c>
      <c r="E338" s="193" t="s">
        <v>996</v>
      </c>
      <c r="F338" s="162"/>
      <c r="G338" s="163"/>
      <c r="H338" s="163"/>
      <c r="I338" s="158"/>
      <c r="J338" s="158"/>
      <c r="K338" s="167"/>
      <c r="L338" s="168"/>
      <c r="M338" s="167"/>
      <c r="N338" s="167"/>
      <c r="O338" s="210"/>
      <c r="P338" s="170"/>
      <c r="Q338" s="169"/>
      <c r="R338" s="158"/>
      <c r="S338" s="158"/>
      <c r="T338" s="162"/>
      <c r="U338" s="164"/>
      <c r="V338" s="165"/>
      <c r="W338" s="166"/>
      <c r="X338" s="172"/>
      <c r="Y338" s="174"/>
      <c r="Z338" s="176"/>
      <c r="AA338" s="178" t="str">
        <f t="shared" si="31"/>
        <v xml:space="preserve"> - </v>
      </c>
      <c r="AB338" s="180" t="str">
        <f t="shared" si="32"/>
        <v xml:space="preserve"> - </v>
      </c>
      <c r="AC338" s="180" t="str">
        <f t="shared" si="29"/>
        <v xml:space="preserve"> - </v>
      </c>
      <c r="AD338" s="182" t="str">
        <f t="shared" si="28"/>
        <v xml:space="preserve"> - </v>
      </c>
      <c r="AE338" s="184">
        <f t="shared" ref="AE338:AE369" si="34">IFERROR(   (IF(ISNUMBER( $U338 ), $U338, IF( ISNUMBER( $V338 ),$V338, 0 ) ) + $X338 ) /  (  IF(ISNUMBER( $W338), $W338, 1) * IF(ISNUMBER( $L338), $L338, 1) ), "-")</f>
        <v>0</v>
      </c>
      <c r="AF338" s="186">
        <f t="shared" si="33"/>
        <v>0</v>
      </c>
      <c r="AG338" s="188" t="str">
        <f t="array" ref="AG338" xml:space="preserve"> IFERROR( IF( D338="", "-", _xlfn.AGGREGATE(15,6, ( ( ($D$21:$D$27 = D338) * IF($D$19&lt;&gt;"", --($E$21:$E$27 = E338), 1) * IF($H$19&lt;&gt;"", --($F$21:$F$27 = F338), 1)  ) / ( ( $D$21:$D$27 = D338) * IF($D$19&lt;&gt;"", --($E$21:$E$27 = E338), 1)  * IF($H$19&lt;&gt;"", --($F$21:$F$27 = F338), 1) ) ) * $AF$21:$AF$27,1)    ), "-")</f>
        <v>-</v>
      </c>
      <c r="BB338"/>
      <c r="BE338" s="67"/>
    </row>
    <row r="339" spans="2:57" x14ac:dyDescent="0.25">
      <c r="B339" s="158" t="s">
        <v>562</v>
      </c>
      <c r="C339" s="158"/>
      <c r="D339" s="162" t="s">
        <v>753</v>
      </c>
      <c r="E339" s="193" t="s">
        <v>997</v>
      </c>
      <c r="F339" s="162"/>
      <c r="G339" s="163"/>
      <c r="H339" s="163"/>
      <c r="I339" s="158"/>
      <c r="J339" s="158"/>
      <c r="K339" s="167"/>
      <c r="L339" s="168"/>
      <c r="M339" s="167"/>
      <c r="N339" s="167"/>
      <c r="O339" s="210"/>
      <c r="P339" s="170"/>
      <c r="Q339" s="169"/>
      <c r="R339" s="158"/>
      <c r="S339" s="158"/>
      <c r="T339" s="162"/>
      <c r="U339" s="164"/>
      <c r="V339" s="165"/>
      <c r="W339" s="166"/>
      <c r="X339" s="172"/>
      <c r="Y339" s="174"/>
      <c r="Z339" s="176"/>
      <c r="AA339" s="178" t="str">
        <f t="shared" si="31"/>
        <v xml:space="preserve"> - </v>
      </c>
      <c r="AB339" s="180" t="str">
        <f t="shared" si="32"/>
        <v xml:space="preserve"> - </v>
      </c>
      <c r="AC339" s="180" t="str">
        <f t="shared" si="29"/>
        <v xml:space="preserve"> - </v>
      </c>
      <c r="AD339" s="182" t="str">
        <f t="shared" si="28"/>
        <v xml:space="preserve"> - </v>
      </c>
      <c r="AE339" s="184">
        <f t="shared" si="34"/>
        <v>0</v>
      </c>
      <c r="AF339" s="186">
        <f t="shared" si="33"/>
        <v>0</v>
      </c>
      <c r="AG339" s="188" t="str">
        <f t="array" ref="AG339" xml:space="preserve"> IFERROR( IF( D339="", "-", _xlfn.AGGREGATE(15,6, ( ( ($D$21:$D$27 = D339) * IF($D$19&lt;&gt;"", --($E$21:$E$27 = E339), 1) * IF($H$19&lt;&gt;"", --($F$21:$F$27 = F339), 1)  ) / ( ( $D$21:$D$27 = D339) * IF($D$19&lt;&gt;"", --($E$21:$E$27 = E339), 1)  * IF($H$19&lt;&gt;"", --($F$21:$F$27 = F339), 1) ) ) * $AF$21:$AF$27,1)    ), "-")</f>
        <v>-</v>
      </c>
      <c r="BB339"/>
      <c r="BE339" s="67"/>
    </row>
    <row r="340" spans="2:57" x14ac:dyDescent="0.25">
      <c r="B340" s="158" t="s">
        <v>563</v>
      </c>
      <c r="C340" s="158"/>
      <c r="D340" s="162" t="s">
        <v>753</v>
      </c>
      <c r="E340" s="193" t="s">
        <v>998</v>
      </c>
      <c r="F340" s="162"/>
      <c r="G340" s="163"/>
      <c r="H340" s="163"/>
      <c r="I340" s="158"/>
      <c r="J340" s="158"/>
      <c r="K340" s="167"/>
      <c r="L340" s="168"/>
      <c r="M340" s="167"/>
      <c r="N340" s="167"/>
      <c r="O340" s="210"/>
      <c r="P340" s="170"/>
      <c r="Q340" s="169"/>
      <c r="R340" s="158"/>
      <c r="S340" s="158"/>
      <c r="T340" s="162"/>
      <c r="U340" s="164"/>
      <c r="V340" s="165"/>
      <c r="W340" s="166"/>
      <c r="X340" s="172"/>
      <c r="Y340" s="174"/>
      <c r="Z340" s="176"/>
      <c r="AA340" s="178" t="str">
        <f t="shared" si="31"/>
        <v xml:space="preserve"> - </v>
      </c>
      <c r="AB340" s="180" t="str">
        <f t="shared" si="32"/>
        <v xml:space="preserve"> - </v>
      </c>
      <c r="AC340" s="180" t="str">
        <f t="shared" si="29"/>
        <v xml:space="preserve"> - </v>
      </c>
      <c r="AD340" s="182" t="str">
        <f t="shared" si="28"/>
        <v xml:space="preserve"> - </v>
      </c>
      <c r="AE340" s="184">
        <f t="shared" si="34"/>
        <v>0</v>
      </c>
      <c r="AF340" s="186">
        <f t="shared" si="33"/>
        <v>0</v>
      </c>
      <c r="AG340" s="188" t="str">
        <f t="array" ref="AG340" xml:space="preserve"> IFERROR( IF( D340="", "-", _xlfn.AGGREGATE(15,6, ( ( ($D$21:$D$27 = D340) * IF($D$19&lt;&gt;"", --($E$21:$E$27 = E340), 1) * IF($H$19&lt;&gt;"", --($F$21:$F$27 = F340), 1)  ) / ( ( $D$21:$D$27 = D340) * IF($D$19&lt;&gt;"", --($E$21:$E$27 = E340), 1)  * IF($H$19&lt;&gt;"", --($F$21:$F$27 = F340), 1) ) ) * $AF$21:$AF$27,1)    ), "-")</f>
        <v>-</v>
      </c>
      <c r="BB340"/>
      <c r="BE340" s="67"/>
    </row>
    <row r="341" spans="2:57" x14ac:dyDescent="0.25">
      <c r="B341" s="158" t="s">
        <v>564</v>
      </c>
      <c r="C341" s="158"/>
      <c r="D341" s="189" t="s">
        <v>999</v>
      </c>
      <c r="E341" s="160"/>
      <c r="F341" s="162"/>
      <c r="G341" s="163"/>
      <c r="H341" s="163"/>
      <c r="I341" s="158"/>
      <c r="J341" s="158"/>
      <c r="K341" s="167"/>
      <c r="L341" s="168"/>
      <c r="M341" s="167"/>
      <c r="N341" s="167"/>
      <c r="O341" s="210"/>
      <c r="P341" s="170"/>
      <c r="Q341" s="169"/>
      <c r="R341" s="158"/>
      <c r="S341" s="158"/>
      <c r="T341" s="162"/>
      <c r="U341" s="164"/>
      <c r="V341" s="165"/>
      <c r="W341" s="166"/>
      <c r="X341" s="172"/>
      <c r="Y341" s="174"/>
      <c r="Z341" s="176"/>
      <c r="AA341" s="178" t="str">
        <f t="shared" si="31"/>
        <v xml:space="preserve"> - </v>
      </c>
      <c r="AB341" s="180" t="str">
        <f t="shared" si="32"/>
        <v xml:space="preserve"> - </v>
      </c>
      <c r="AC341" s="180" t="str">
        <f t="shared" si="29"/>
        <v xml:space="preserve"> - </v>
      </c>
      <c r="AD341" s="182" t="str">
        <f t="shared" ref="AD341:AD369" si="35">IF($Q341&gt;0,$AC341/$Q341, " - " )</f>
        <v xml:space="preserve"> - </v>
      </c>
      <c r="AE341" s="184">
        <f t="shared" si="34"/>
        <v>0</v>
      </c>
      <c r="AF341" s="186">
        <f t="shared" si="33"/>
        <v>0</v>
      </c>
      <c r="AG341" s="188" t="str">
        <f t="array" ref="AG341" xml:space="preserve"> IFERROR( IF( D341="", "-", _xlfn.AGGREGATE(15,6, ( ( ($D$21:$D$27 = D341) * IF($D$19&lt;&gt;"", --($E$21:$E$27 = E341), 1) * IF($H$19&lt;&gt;"", --($F$21:$F$27 = F341), 1)  ) / ( ( $D$21:$D$27 = D341) * IF($D$19&lt;&gt;"", --($E$21:$E$27 = E341), 1)  * IF($H$19&lt;&gt;"", --($F$21:$F$27 = F341), 1) ) ) * $AF$21:$AF$27,1)    ), "-")</f>
        <v>-</v>
      </c>
      <c r="BB341"/>
      <c r="BE341" s="67"/>
    </row>
    <row r="342" spans="2:57" x14ac:dyDescent="0.25">
      <c r="B342" s="158" t="s">
        <v>565</v>
      </c>
      <c r="C342" s="158"/>
      <c r="D342" s="189" t="s">
        <v>1000</v>
      </c>
      <c r="E342" s="160"/>
      <c r="F342" s="162"/>
      <c r="G342" s="163"/>
      <c r="H342" s="163"/>
      <c r="I342" s="158"/>
      <c r="J342" s="158"/>
      <c r="K342" s="167"/>
      <c r="L342" s="168"/>
      <c r="M342" s="167"/>
      <c r="N342" s="167"/>
      <c r="O342" s="210"/>
      <c r="P342" s="170"/>
      <c r="Q342" s="169"/>
      <c r="R342" s="158"/>
      <c r="S342" s="158"/>
      <c r="T342" s="162"/>
      <c r="U342" s="164"/>
      <c r="V342" s="165"/>
      <c r="W342" s="166"/>
      <c r="X342" s="172"/>
      <c r="Y342" s="174"/>
      <c r="Z342" s="176"/>
      <c r="AA342" s="178" t="str">
        <f t="shared" si="31"/>
        <v xml:space="preserve"> - </v>
      </c>
      <c r="AB342" s="180" t="str">
        <f t="shared" si="32"/>
        <v xml:space="preserve"> - </v>
      </c>
      <c r="AC342" s="180" t="str">
        <f t="shared" si="29"/>
        <v xml:space="preserve"> - </v>
      </c>
      <c r="AD342" s="182" t="str">
        <f t="shared" si="35"/>
        <v xml:space="preserve"> - </v>
      </c>
      <c r="AE342" s="184">
        <f t="shared" si="34"/>
        <v>0</v>
      </c>
      <c r="AF342" s="186">
        <f t="shared" si="33"/>
        <v>0</v>
      </c>
      <c r="AG342" s="188" t="str">
        <f t="array" ref="AG342" xml:space="preserve"> IFERROR( IF( D342="", "-", _xlfn.AGGREGATE(15,6, ( ( ($D$21:$D$27 = D342) * IF($D$19&lt;&gt;"", --($E$21:$E$27 = E342), 1) * IF($H$19&lt;&gt;"", --($F$21:$F$27 = F342), 1)  ) / ( ( $D$21:$D$27 = D342) * IF($D$19&lt;&gt;"", --($E$21:$E$27 = E342), 1)  * IF($H$19&lt;&gt;"", --($F$21:$F$27 = F342), 1) ) ) * $AF$21:$AF$27,1)    ), "-")</f>
        <v>-</v>
      </c>
      <c r="BB342"/>
      <c r="BE342" s="67"/>
    </row>
    <row r="343" spans="2:57" x14ac:dyDescent="0.25">
      <c r="B343" s="158" t="s">
        <v>566</v>
      </c>
      <c r="C343" s="158"/>
      <c r="D343" s="189" t="s">
        <v>1001</v>
      </c>
      <c r="E343" s="160"/>
      <c r="F343" s="162"/>
      <c r="G343" s="163"/>
      <c r="H343" s="163" t="s">
        <v>1002</v>
      </c>
      <c r="I343" s="158"/>
      <c r="J343" s="158"/>
      <c r="K343" s="167"/>
      <c r="L343" s="168"/>
      <c r="M343" s="167"/>
      <c r="N343" s="167"/>
      <c r="O343" s="210"/>
      <c r="P343" s="170"/>
      <c r="Q343" s="169"/>
      <c r="R343" s="158"/>
      <c r="S343" s="158"/>
      <c r="T343" s="162"/>
      <c r="U343" s="164"/>
      <c r="V343" s="165"/>
      <c r="W343" s="166"/>
      <c r="X343" s="172"/>
      <c r="Y343" s="174"/>
      <c r="Z343" s="176"/>
      <c r="AA343" s="178" t="str">
        <f t="shared" si="31"/>
        <v xml:space="preserve"> - </v>
      </c>
      <c r="AB343" s="180" t="str">
        <f t="shared" si="32"/>
        <v xml:space="preserve"> - </v>
      </c>
      <c r="AC343" s="180" t="str">
        <f t="shared" si="29"/>
        <v xml:space="preserve"> - </v>
      </c>
      <c r="AD343" s="182" t="str">
        <f t="shared" si="35"/>
        <v xml:space="preserve"> - </v>
      </c>
      <c r="AE343" s="184">
        <f t="shared" si="34"/>
        <v>0</v>
      </c>
      <c r="AF343" s="186">
        <f t="shared" si="33"/>
        <v>0</v>
      </c>
      <c r="AG343" s="188" t="str">
        <f t="array" ref="AG343" xml:space="preserve"> IFERROR( IF( D343="", "-", _xlfn.AGGREGATE(15,6, ( ( ($D$21:$D$27 = D343) * IF($D$19&lt;&gt;"", --($E$21:$E$27 = E343), 1) * IF($H$19&lt;&gt;"", --($F$21:$F$27 = F343), 1)  ) / ( ( $D$21:$D$27 = D343) * IF($D$19&lt;&gt;"", --($E$21:$E$27 = E343), 1)  * IF($H$19&lt;&gt;"", --($F$21:$F$27 = F343), 1) ) ) * $AF$21:$AF$27,1)    ), "-")</f>
        <v>-</v>
      </c>
      <c r="BB343"/>
      <c r="BE343" s="67"/>
    </row>
    <row r="344" spans="2:57" x14ac:dyDescent="0.25">
      <c r="B344" s="158" t="s">
        <v>567</v>
      </c>
      <c r="C344" s="158"/>
      <c r="D344" s="189" t="s">
        <v>1003</v>
      </c>
      <c r="E344" s="160"/>
      <c r="F344" s="162"/>
      <c r="G344" s="163"/>
      <c r="H344" s="163"/>
      <c r="I344" s="158"/>
      <c r="J344" s="158"/>
      <c r="K344" s="167"/>
      <c r="L344" s="168"/>
      <c r="M344" s="167"/>
      <c r="N344" s="167"/>
      <c r="O344" s="210"/>
      <c r="P344" s="170"/>
      <c r="Q344" s="169"/>
      <c r="R344" s="158"/>
      <c r="S344" s="158"/>
      <c r="T344" s="162"/>
      <c r="U344" s="164"/>
      <c r="V344" s="165"/>
      <c r="W344" s="166"/>
      <c r="X344" s="172"/>
      <c r="Y344" s="174"/>
      <c r="Z344" s="176"/>
      <c r="AA344" s="178" t="str">
        <f t="shared" si="31"/>
        <v xml:space="preserve"> - </v>
      </c>
      <c r="AB344" s="180" t="str">
        <f t="shared" si="32"/>
        <v xml:space="preserve"> - </v>
      </c>
      <c r="AC344" s="180" t="str">
        <f t="shared" si="29"/>
        <v xml:space="preserve"> - </v>
      </c>
      <c r="AD344" s="182" t="str">
        <f t="shared" si="35"/>
        <v xml:space="preserve"> - </v>
      </c>
      <c r="AE344" s="184">
        <f t="shared" si="34"/>
        <v>0</v>
      </c>
      <c r="AF344" s="186">
        <f t="shared" si="33"/>
        <v>0</v>
      </c>
      <c r="AG344" s="188" t="str">
        <f t="array" ref="AG344" xml:space="preserve"> IFERROR( IF( D344="", "-", _xlfn.AGGREGATE(15,6, ( ( ($D$21:$D$27 = D344) * IF($D$19&lt;&gt;"", --($E$21:$E$27 = E344), 1) * IF($H$19&lt;&gt;"", --($F$21:$F$27 = F344), 1)  ) / ( ( $D$21:$D$27 = D344) * IF($D$19&lt;&gt;"", --($E$21:$E$27 = E344), 1)  * IF($H$19&lt;&gt;"", --($F$21:$F$27 = F344), 1) ) ) * $AF$21:$AF$27,1)    ), "-")</f>
        <v>-</v>
      </c>
      <c r="BB344"/>
      <c r="BE344" s="67"/>
    </row>
    <row r="345" spans="2:57" x14ac:dyDescent="0.25">
      <c r="B345" s="158" t="s">
        <v>568</v>
      </c>
      <c r="C345" s="158"/>
      <c r="D345" s="189" t="s">
        <v>1004</v>
      </c>
      <c r="E345" s="160"/>
      <c r="F345" s="162" t="s">
        <v>41</v>
      </c>
      <c r="G345" s="163"/>
      <c r="H345" s="163"/>
      <c r="I345" s="158"/>
      <c r="J345" s="158"/>
      <c r="K345" s="167"/>
      <c r="L345" s="168"/>
      <c r="M345" s="167"/>
      <c r="N345" s="167"/>
      <c r="O345" s="210"/>
      <c r="P345" s="170"/>
      <c r="Q345" s="169"/>
      <c r="R345" s="158"/>
      <c r="S345" s="158"/>
      <c r="T345" s="162"/>
      <c r="U345" s="164"/>
      <c r="V345" s="165"/>
      <c r="W345" s="166"/>
      <c r="X345" s="172"/>
      <c r="Y345" s="174"/>
      <c r="Z345" s="176"/>
      <c r="AA345" s="178" t="str">
        <f t="shared" si="31"/>
        <v xml:space="preserve"> - </v>
      </c>
      <c r="AB345" s="180" t="str">
        <f t="shared" si="32"/>
        <v xml:space="preserve"> - </v>
      </c>
      <c r="AC345" s="180" t="str">
        <f t="shared" si="29"/>
        <v xml:space="preserve"> - </v>
      </c>
      <c r="AD345" s="182" t="str">
        <f t="shared" si="35"/>
        <v xml:space="preserve"> - </v>
      </c>
      <c r="AE345" s="184">
        <f t="shared" si="34"/>
        <v>0</v>
      </c>
      <c r="AF345" s="186">
        <f t="shared" si="33"/>
        <v>0</v>
      </c>
      <c r="AG345" s="188" t="str">
        <f t="array" ref="AG345" xml:space="preserve"> IFERROR( IF( D345="", "-", _xlfn.AGGREGATE(15,6, ( ( ($D$21:$D$27 = D345) * IF($D$19&lt;&gt;"", --($E$21:$E$27 = E345), 1) * IF($H$19&lt;&gt;"", --($F$21:$F$27 = F345), 1)  ) / ( ( $D$21:$D$27 = D345) * IF($D$19&lt;&gt;"", --($E$21:$E$27 = E345), 1)  * IF($H$19&lt;&gt;"", --($F$21:$F$27 = F345), 1) ) ) * $AF$21:$AF$27,1)    ), "-")</f>
        <v>-</v>
      </c>
      <c r="BB345"/>
      <c r="BE345" s="67"/>
    </row>
    <row r="346" spans="2:57" x14ac:dyDescent="0.25">
      <c r="B346" s="158" t="s">
        <v>569</v>
      </c>
      <c r="C346" s="158"/>
      <c r="D346" s="189" t="s">
        <v>1004</v>
      </c>
      <c r="E346" s="160"/>
      <c r="F346" s="162" t="s">
        <v>614</v>
      </c>
      <c r="G346" s="163"/>
      <c r="H346" s="163"/>
      <c r="I346" s="158"/>
      <c r="J346" s="158"/>
      <c r="K346" s="167"/>
      <c r="L346" s="168"/>
      <c r="M346" s="167"/>
      <c r="N346" s="167"/>
      <c r="O346" s="210"/>
      <c r="P346" s="170"/>
      <c r="Q346" s="169"/>
      <c r="R346" s="158"/>
      <c r="S346" s="158"/>
      <c r="T346" s="162"/>
      <c r="U346" s="164"/>
      <c r="V346" s="165"/>
      <c r="W346" s="166"/>
      <c r="X346" s="172"/>
      <c r="Y346" s="174"/>
      <c r="Z346" s="176"/>
      <c r="AA346" s="178" t="str">
        <f t="shared" si="31"/>
        <v xml:space="preserve"> - </v>
      </c>
      <c r="AB346" s="180" t="str">
        <f t="shared" si="32"/>
        <v xml:space="preserve"> - </v>
      </c>
      <c r="AC346" s="180" t="str">
        <f t="shared" ref="AC346:AC369" si="36">IF($L346&gt;0,$AB346/$L346, " - " )</f>
        <v xml:space="preserve"> - </v>
      </c>
      <c r="AD346" s="182" t="str">
        <f t="shared" si="35"/>
        <v xml:space="preserve"> - </v>
      </c>
      <c r="AE346" s="184">
        <f t="shared" si="34"/>
        <v>0</v>
      </c>
      <c r="AF346" s="186">
        <f t="shared" si="33"/>
        <v>0</v>
      </c>
      <c r="AG346" s="188" t="str">
        <f t="array" ref="AG346" xml:space="preserve"> IFERROR( IF( D346="", "-", _xlfn.AGGREGATE(15,6, ( ( ($D$21:$D$27 = D346) * IF($D$19&lt;&gt;"", --($E$21:$E$27 = E346), 1) * IF($H$19&lt;&gt;"", --($F$21:$F$27 = F346), 1)  ) / ( ( $D$21:$D$27 = D346) * IF($D$19&lt;&gt;"", --($E$21:$E$27 = E346), 1)  * IF($H$19&lt;&gt;"", --($F$21:$F$27 = F346), 1) ) ) * $AF$21:$AF$27,1)    ), "-")</f>
        <v>-</v>
      </c>
      <c r="BB346"/>
      <c r="BE346" s="67"/>
    </row>
    <row r="347" spans="2:57" x14ac:dyDescent="0.25">
      <c r="B347" s="158" t="s">
        <v>570</v>
      </c>
      <c r="C347" s="158"/>
      <c r="D347" s="189" t="s">
        <v>1004</v>
      </c>
      <c r="E347" s="160"/>
      <c r="F347" s="162" t="s">
        <v>638</v>
      </c>
      <c r="G347" s="163"/>
      <c r="H347" s="163"/>
      <c r="I347" s="158"/>
      <c r="J347" s="158"/>
      <c r="K347" s="167"/>
      <c r="L347" s="168"/>
      <c r="M347" s="167"/>
      <c r="N347" s="167"/>
      <c r="O347" s="210"/>
      <c r="P347" s="170"/>
      <c r="Q347" s="169"/>
      <c r="R347" s="158"/>
      <c r="S347" s="158"/>
      <c r="T347" s="162"/>
      <c r="U347" s="164"/>
      <c r="V347" s="165"/>
      <c r="W347" s="166"/>
      <c r="X347" s="172"/>
      <c r="Y347" s="174"/>
      <c r="Z347" s="176"/>
      <c r="AA347" s="178" t="str">
        <f t="shared" si="31"/>
        <v xml:space="preserve"> - </v>
      </c>
      <c r="AB347" s="180" t="str">
        <f t="shared" si="32"/>
        <v xml:space="preserve"> - </v>
      </c>
      <c r="AC347" s="180" t="str">
        <f t="shared" si="36"/>
        <v xml:space="preserve"> - </v>
      </c>
      <c r="AD347" s="182" t="str">
        <f t="shared" si="35"/>
        <v xml:space="preserve"> - </v>
      </c>
      <c r="AE347" s="184">
        <f t="shared" si="34"/>
        <v>0</v>
      </c>
      <c r="AF347" s="186">
        <f t="shared" si="33"/>
        <v>0</v>
      </c>
      <c r="AG347" s="188" t="str">
        <f t="array" ref="AG347" xml:space="preserve"> IFERROR( IF( D347="", "-", _xlfn.AGGREGATE(15,6, ( ( ($D$21:$D$27 = D347) * IF($D$19&lt;&gt;"", --($E$21:$E$27 = E347), 1) * IF($H$19&lt;&gt;"", --($F$21:$F$27 = F347), 1)  ) / ( ( $D$21:$D$27 = D347) * IF($D$19&lt;&gt;"", --($E$21:$E$27 = E347), 1)  * IF($H$19&lt;&gt;"", --($F$21:$F$27 = F347), 1) ) ) * $AF$21:$AF$27,1)    ), "-")</f>
        <v>-</v>
      </c>
      <c r="BB347"/>
      <c r="BE347" s="67"/>
    </row>
    <row r="348" spans="2:57" x14ac:dyDescent="0.25">
      <c r="B348" s="158" t="s">
        <v>571</v>
      </c>
      <c r="C348" s="158"/>
      <c r="D348" s="189" t="s">
        <v>1004</v>
      </c>
      <c r="E348" s="160"/>
      <c r="F348" s="162" t="s">
        <v>46</v>
      </c>
      <c r="G348" s="163"/>
      <c r="H348" s="163"/>
      <c r="I348" s="158"/>
      <c r="J348" s="158"/>
      <c r="K348" s="167"/>
      <c r="L348" s="168"/>
      <c r="M348" s="167"/>
      <c r="N348" s="167"/>
      <c r="O348" s="210"/>
      <c r="P348" s="170"/>
      <c r="Q348" s="169"/>
      <c r="R348" s="158"/>
      <c r="S348" s="158"/>
      <c r="T348" s="162"/>
      <c r="U348" s="164"/>
      <c r="V348" s="165"/>
      <c r="W348" s="166"/>
      <c r="X348" s="172"/>
      <c r="Y348" s="174"/>
      <c r="Z348" s="176"/>
      <c r="AA348" s="178" t="str">
        <f t="shared" si="31"/>
        <v xml:space="preserve"> - </v>
      </c>
      <c r="AB348" s="180" t="str">
        <f t="shared" si="32"/>
        <v xml:space="preserve"> - </v>
      </c>
      <c r="AC348" s="180" t="str">
        <f t="shared" si="36"/>
        <v xml:space="preserve"> - </v>
      </c>
      <c r="AD348" s="182" t="str">
        <f t="shared" si="35"/>
        <v xml:space="preserve"> - </v>
      </c>
      <c r="AE348" s="184">
        <f t="shared" si="34"/>
        <v>0</v>
      </c>
      <c r="AF348" s="186">
        <f t="shared" si="33"/>
        <v>0</v>
      </c>
      <c r="AG348" s="188" t="str">
        <f t="array" ref="AG348" xml:space="preserve"> IFERROR( IF( D348="", "-", _xlfn.AGGREGATE(15,6, ( ( ($D$21:$D$27 = D348) * IF($D$19&lt;&gt;"", --($E$21:$E$27 = E348), 1) * IF($H$19&lt;&gt;"", --($F$21:$F$27 = F348), 1)  ) / ( ( $D$21:$D$27 = D348) * IF($D$19&lt;&gt;"", --($E$21:$E$27 = E348), 1)  * IF($H$19&lt;&gt;"", --($F$21:$F$27 = F348), 1) ) ) * $AF$21:$AF$27,1)    ), "-")</f>
        <v>-</v>
      </c>
      <c r="BB348"/>
      <c r="BE348" s="67"/>
    </row>
    <row r="349" spans="2:57" x14ac:dyDescent="0.25">
      <c r="B349" s="158" t="s">
        <v>572</v>
      </c>
      <c r="C349" s="158"/>
      <c r="D349" s="162" t="s">
        <v>754</v>
      </c>
      <c r="E349" s="193" t="s">
        <v>1008</v>
      </c>
      <c r="F349" s="189" t="s">
        <v>1007</v>
      </c>
      <c r="G349" s="163"/>
      <c r="H349" s="163"/>
      <c r="I349" s="158"/>
      <c r="J349" s="158"/>
      <c r="K349" s="167"/>
      <c r="L349" s="168"/>
      <c r="M349" s="167"/>
      <c r="N349" s="167"/>
      <c r="O349" s="210"/>
      <c r="P349" s="170"/>
      <c r="Q349" s="169"/>
      <c r="R349" s="158"/>
      <c r="S349" s="158"/>
      <c r="T349" s="162"/>
      <c r="U349" s="164"/>
      <c r="V349" s="165"/>
      <c r="W349" s="166"/>
      <c r="X349" s="172"/>
      <c r="Y349" s="174"/>
      <c r="Z349" s="176"/>
      <c r="AA349" s="178" t="str">
        <f t="shared" si="31"/>
        <v xml:space="preserve"> - </v>
      </c>
      <c r="AB349" s="180" t="str">
        <f t="shared" si="32"/>
        <v xml:space="preserve"> - </v>
      </c>
      <c r="AC349" s="180" t="str">
        <f t="shared" si="36"/>
        <v xml:space="preserve"> - </v>
      </c>
      <c r="AD349" s="182" t="str">
        <f t="shared" si="35"/>
        <v xml:space="preserve"> - </v>
      </c>
      <c r="AE349" s="184">
        <f t="shared" si="34"/>
        <v>0</v>
      </c>
      <c r="AF349" s="186">
        <f t="shared" si="33"/>
        <v>0</v>
      </c>
      <c r="AG349" s="188" t="str">
        <f t="array" ref="AG349" xml:space="preserve"> IFERROR( IF( D349="", "-", _xlfn.AGGREGATE(15,6, ( ( ($D$21:$D$27 = D349) * IF($D$19&lt;&gt;"", --($E$21:$E$27 = E349), 1) * IF($H$19&lt;&gt;"", --($F$21:$F$27 = F349), 1)  ) / ( ( $D$21:$D$27 = D349) * IF($D$19&lt;&gt;"", --($E$21:$E$27 = E349), 1)  * IF($H$19&lt;&gt;"", --($F$21:$F$27 = F349), 1) ) ) * $AF$21:$AF$27,1)    ), "-")</f>
        <v>-</v>
      </c>
      <c r="BB349"/>
      <c r="BE349" s="67"/>
    </row>
    <row r="350" spans="2:57" x14ac:dyDescent="0.25">
      <c r="B350" s="158" t="s">
        <v>573</v>
      </c>
      <c r="C350" s="158"/>
      <c r="D350" s="162" t="s">
        <v>727</v>
      </c>
      <c r="E350" s="189"/>
      <c r="F350" s="162" t="s">
        <v>720</v>
      </c>
      <c r="G350" s="163"/>
      <c r="H350" s="163"/>
      <c r="I350" s="158"/>
      <c r="J350" s="158"/>
      <c r="K350" s="167"/>
      <c r="L350" s="168"/>
      <c r="M350" s="167"/>
      <c r="N350" s="167"/>
      <c r="O350" s="210"/>
      <c r="P350" s="170"/>
      <c r="Q350" s="169"/>
      <c r="R350" s="158"/>
      <c r="S350" s="158"/>
      <c r="T350" s="162"/>
      <c r="U350" s="164"/>
      <c r="V350" s="165"/>
      <c r="W350" s="166"/>
      <c r="X350" s="172"/>
      <c r="Y350" s="174"/>
      <c r="Z350" s="176"/>
      <c r="AA350" s="178" t="str">
        <f t="shared" si="31"/>
        <v xml:space="preserve"> - </v>
      </c>
      <c r="AB350" s="180" t="str">
        <f t="shared" si="32"/>
        <v xml:space="preserve"> - </v>
      </c>
      <c r="AC350" s="180" t="str">
        <f t="shared" si="36"/>
        <v xml:space="preserve"> - </v>
      </c>
      <c r="AD350" s="182" t="str">
        <f t="shared" si="35"/>
        <v xml:space="preserve"> - </v>
      </c>
      <c r="AE350" s="184">
        <f t="shared" si="34"/>
        <v>0</v>
      </c>
      <c r="AF350" s="186">
        <f t="shared" si="33"/>
        <v>0</v>
      </c>
      <c r="AG350" s="188" t="str">
        <f t="array" ref="AG350" xml:space="preserve"> IFERROR( IF( D350="", "-", _xlfn.AGGREGATE(15,6, ( ( ($D$21:$D$27 = D350) * IF($D$19&lt;&gt;"", --($E$21:$E$27 = E350), 1) * IF($H$19&lt;&gt;"", --($F$21:$F$27 = F350), 1)  ) / ( ( $D$21:$D$27 = D350) * IF($D$19&lt;&gt;"", --($E$21:$E$27 = E350), 1)  * IF($H$19&lt;&gt;"", --($F$21:$F$27 = F350), 1) ) ) * $AF$21:$AF$27,1)    ), "-")</f>
        <v>-</v>
      </c>
      <c r="BB350"/>
      <c r="BE350" s="67"/>
    </row>
    <row r="351" spans="2:57" x14ac:dyDescent="0.25">
      <c r="B351" s="158" t="s">
        <v>574</v>
      </c>
      <c r="C351" s="158"/>
      <c r="D351" s="162" t="s">
        <v>727</v>
      </c>
      <c r="E351" s="160"/>
      <c r="F351" s="162" t="s">
        <v>726</v>
      </c>
      <c r="G351" s="163"/>
      <c r="H351" s="163"/>
      <c r="I351" s="158"/>
      <c r="J351" s="158"/>
      <c r="K351" s="167"/>
      <c r="L351" s="168"/>
      <c r="M351" s="167"/>
      <c r="N351" s="167"/>
      <c r="O351" s="210"/>
      <c r="P351" s="170"/>
      <c r="Q351" s="169"/>
      <c r="R351" s="158"/>
      <c r="S351" s="158"/>
      <c r="T351" s="162"/>
      <c r="U351" s="164"/>
      <c r="V351" s="165"/>
      <c r="W351" s="166"/>
      <c r="X351" s="172"/>
      <c r="Y351" s="174"/>
      <c r="Z351" s="176"/>
      <c r="AA351" s="178" t="str">
        <f t="shared" si="31"/>
        <v xml:space="preserve"> - </v>
      </c>
      <c r="AB351" s="180" t="str">
        <f t="shared" si="32"/>
        <v xml:space="preserve"> - </v>
      </c>
      <c r="AC351" s="180" t="str">
        <f t="shared" si="36"/>
        <v xml:space="preserve"> - </v>
      </c>
      <c r="AD351" s="182" t="str">
        <f t="shared" si="35"/>
        <v xml:space="preserve"> - </v>
      </c>
      <c r="AE351" s="184">
        <f t="shared" si="34"/>
        <v>0</v>
      </c>
      <c r="AF351" s="186">
        <f t="shared" si="33"/>
        <v>0</v>
      </c>
      <c r="AG351" s="188" t="str">
        <f t="array" ref="AG351" xml:space="preserve"> IFERROR( IF( D351="", "-", _xlfn.AGGREGATE(15,6, ( ( ($D$21:$D$27 = D351) * IF($D$19&lt;&gt;"", --($E$21:$E$27 = E351), 1) * IF($H$19&lt;&gt;"", --($F$21:$F$27 = F351), 1)  ) / ( ( $D$21:$D$27 = D351) * IF($D$19&lt;&gt;"", --($E$21:$E$27 = E351), 1)  * IF($H$19&lt;&gt;"", --($F$21:$F$27 = F351), 1) ) ) * $AF$21:$AF$27,1)    ), "-")</f>
        <v>-</v>
      </c>
      <c r="BB351"/>
      <c r="BE351" s="67"/>
    </row>
    <row r="352" spans="2:57" x14ac:dyDescent="0.25">
      <c r="B352" s="158" t="s">
        <v>575</v>
      </c>
      <c r="C352" s="158"/>
      <c r="D352" s="162" t="s">
        <v>727</v>
      </c>
      <c r="E352" s="160"/>
      <c r="F352" s="162" t="s">
        <v>611</v>
      </c>
      <c r="G352" s="163"/>
      <c r="H352" s="163"/>
      <c r="I352" s="158"/>
      <c r="J352" s="158"/>
      <c r="K352" s="167"/>
      <c r="L352" s="168"/>
      <c r="M352" s="167"/>
      <c r="N352" s="167"/>
      <c r="O352" s="210"/>
      <c r="P352" s="170"/>
      <c r="Q352" s="169"/>
      <c r="R352" s="158"/>
      <c r="S352" s="158"/>
      <c r="T352" s="162"/>
      <c r="U352" s="164"/>
      <c r="V352" s="165"/>
      <c r="W352" s="166"/>
      <c r="X352" s="172"/>
      <c r="Y352" s="174"/>
      <c r="Z352" s="176"/>
      <c r="AA352" s="178" t="str">
        <f t="shared" si="31"/>
        <v xml:space="preserve"> - </v>
      </c>
      <c r="AB352" s="180" t="str">
        <f t="shared" si="32"/>
        <v xml:space="preserve"> - </v>
      </c>
      <c r="AC352" s="180" t="str">
        <f t="shared" si="36"/>
        <v xml:space="preserve"> - </v>
      </c>
      <c r="AD352" s="182" t="str">
        <f t="shared" si="35"/>
        <v xml:space="preserve"> - </v>
      </c>
      <c r="AE352" s="184">
        <f t="shared" si="34"/>
        <v>0</v>
      </c>
      <c r="AF352" s="186">
        <f t="shared" si="33"/>
        <v>0</v>
      </c>
      <c r="AG352" s="188" t="str">
        <f t="array" ref="AG352" xml:space="preserve"> IFERROR( IF( D352="", "-", _xlfn.AGGREGATE(15,6, ( ( ($D$21:$D$27 = D352) * IF($D$19&lt;&gt;"", --($E$21:$E$27 = E352), 1) * IF($H$19&lt;&gt;"", --($F$21:$F$27 = F352), 1)  ) / ( ( $D$21:$D$27 = D352) * IF($D$19&lt;&gt;"", --($E$21:$E$27 = E352), 1)  * IF($H$19&lt;&gt;"", --($F$21:$F$27 = F352), 1) ) ) * $AF$21:$AF$27,1)    ), "-")</f>
        <v>-</v>
      </c>
      <c r="BB352"/>
      <c r="BE352" s="67"/>
    </row>
    <row r="353" spans="2:57" x14ac:dyDescent="0.25">
      <c r="B353" s="158" t="s">
        <v>576</v>
      </c>
      <c r="C353" s="158"/>
      <c r="D353" s="162" t="s">
        <v>727</v>
      </c>
      <c r="E353" s="160"/>
      <c r="F353" s="162" t="s">
        <v>728</v>
      </c>
      <c r="G353" s="163"/>
      <c r="H353" s="163"/>
      <c r="I353" s="158"/>
      <c r="J353" s="158"/>
      <c r="K353" s="167"/>
      <c r="L353" s="168"/>
      <c r="M353" s="167"/>
      <c r="N353" s="167"/>
      <c r="O353" s="210"/>
      <c r="P353" s="170"/>
      <c r="Q353" s="169"/>
      <c r="R353" s="158"/>
      <c r="S353" s="158"/>
      <c r="T353" s="162"/>
      <c r="U353" s="164"/>
      <c r="V353" s="165"/>
      <c r="W353" s="166"/>
      <c r="X353" s="172"/>
      <c r="Y353" s="174"/>
      <c r="Z353" s="176"/>
      <c r="AA353" s="178" t="str">
        <f t="shared" si="31"/>
        <v xml:space="preserve"> - </v>
      </c>
      <c r="AB353" s="180" t="str">
        <f t="shared" si="32"/>
        <v xml:space="preserve"> - </v>
      </c>
      <c r="AC353" s="180" t="str">
        <f t="shared" si="36"/>
        <v xml:space="preserve"> - </v>
      </c>
      <c r="AD353" s="182" t="str">
        <f t="shared" si="35"/>
        <v xml:space="preserve"> - </v>
      </c>
      <c r="AE353" s="184">
        <f t="shared" si="34"/>
        <v>0</v>
      </c>
      <c r="AF353" s="186">
        <f t="shared" si="33"/>
        <v>0</v>
      </c>
      <c r="AG353" s="188" t="str">
        <f t="array" ref="AG353" xml:space="preserve"> IFERROR( IF( D353="", "-", _xlfn.AGGREGATE(15,6, ( ( ($D$21:$D$27 = D353) * IF($D$19&lt;&gt;"", --($E$21:$E$27 = E353), 1) * IF($H$19&lt;&gt;"", --($F$21:$F$27 = F353), 1)  ) / ( ( $D$21:$D$27 = D353) * IF($D$19&lt;&gt;"", --($E$21:$E$27 = E353), 1)  * IF($H$19&lt;&gt;"", --($F$21:$F$27 = F353), 1) ) ) * $AF$21:$AF$27,1)    ), "-")</f>
        <v>-</v>
      </c>
      <c r="BB353"/>
      <c r="BE353" s="67"/>
    </row>
    <row r="354" spans="2:57" x14ac:dyDescent="0.25">
      <c r="B354" s="158" t="s">
        <v>577</v>
      </c>
      <c r="C354" s="158"/>
      <c r="D354" s="162" t="s">
        <v>727</v>
      </c>
      <c r="E354" s="160"/>
      <c r="F354" s="162" t="s">
        <v>613</v>
      </c>
      <c r="G354" s="163"/>
      <c r="H354" s="163"/>
      <c r="I354" s="158"/>
      <c r="J354" s="158"/>
      <c r="K354" s="167"/>
      <c r="L354" s="168"/>
      <c r="M354" s="167"/>
      <c r="N354" s="167"/>
      <c r="O354" s="210"/>
      <c r="P354" s="170"/>
      <c r="Q354" s="169"/>
      <c r="R354" s="158"/>
      <c r="S354" s="158"/>
      <c r="T354" s="162"/>
      <c r="U354" s="164"/>
      <c r="V354" s="165"/>
      <c r="W354" s="166"/>
      <c r="X354" s="172"/>
      <c r="Y354" s="174"/>
      <c r="Z354" s="176"/>
      <c r="AA354" s="178" t="str">
        <f t="shared" si="31"/>
        <v xml:space="preserve"> - </v>
      </c>
      <c r="AB354" s="180" t="str">
        <f t="shared" si="32"/>
        <v xml:space="preserve"> - </v>
      </c>
      <c r="AC354" s="180" t="str">
        <f t="shared" si="36"/>
        <v xml:space="preserve"> - </v>
      </c>
      <c r="AD354" s="182" t="str">
        <f t="shared" si="35"/>
        <v xml:space="preserve"> - </v>
      </c>
      <c r="AE354" s="184">
        <f t="shared" si="34"/>
        <v>0</v>
      </c>
      <c r="AF354" s="186">
        <f t="shared" si="33"/>
        <v>0</v>
      </c>
      <c r="AG354" s="188" t="str">
        <f t="array" ref="AG354" xml:space="preserve"> IFERROR( IF( D354="", "-", _xlfn.AGGREGATE(15,6, ( ( ($D$21:$D$27 = D354) * IF($D$19&lt;&gt;"", --($E$21:$E$27 = E354), 1) * IF($H$19&lt;&gt;"", --($F$21:$F$27 = F354), 1)  ) / ( ( $D$21:$D$27 = D354) * IF($D$19&lt;&gt;"", --($E$21:$E$27 = E354), 1)  * IF($H$19&lt;&gt;"", --($F$21:$F$27 = F354), 1) ) ) * $AF$21:$AF$27,1)    ), "-")</f>
        <v>-</v>
      </c>
      <c r="BB354"/>
      <c r="BE354" s="67"/>
    </row>
    <row r="355" spans="2:57" x14ac:dyDescent="0.25">
      <c r="B355" s="158" t="s">
        <v>578</v>
      </c>
      <c r="C355" s="158"/>
      <c r="D355" s="162" t="s">
        <v>727</v>
      </c>
      <c r="E355" s="160"/>
      <c r="F355" s="162" t="s">
        <v>617</v>
      </c>
      <c r="G355" s="163"/>
      <c r="H355" s="163"/>
      <c r="I355" s="158"/>
      <c r="J355" s="158"/>
      <c r="K355" s="167"/>
      <c r="L355" s="168"/>
      <c r="M355" s="167"/>
      <c r="N355" s="167"/>
      <c r="O355" s="210"/>
      <c r="P355" s="170"/>
      <c r="Q355" s="169"/>
      <c r="R355" s="158"/>
      <c r="S355" s="158"/>
      <c r="T355" s="162"/>
      <c r="U355" s="164"/>
      <c r="V355" s="165"/>
      <c r="W355" s="166"/>
      <c r="X355" s="172"/>
      <c r="Y355" s="174"/>
      <c r="Z355" s="176"/>
      <c r="AA355" s="178" t="str">
        <f t="shared" si="31"/>
        <v xml:space="preserve"> - </v>
      </c>
      <c r="AB355" s="180" t="str">
        <f t="shared" si="32"/>
        <v xml:space="preserve"> - </v>
      </c>
      <c r="AC355" s="180" t="str">
        <f t="shared" si="36"/>
        <v xml:space="preserve"> - </v>
      </c>
      <c r="AD355" s="182" t="str">
        <f t="shared" si="35"/>
        <v xml:space="preserve"> - </v>
      </c>
      <c r="AE355" s="184">
        <f t="shared" si="34"/>
        <v>0</v>
      </c>
      <c r="AF355" s="186">
        <f t="shared" si="33"/>
        <v>0</v>
      </c>
      <c r="AG355" s="188" t="str">
        <f t="array" ref="AG355" xml:space="preserve"> IFERROR( IF( D355="", "-", _xlfn.AGGREGATE(15,6, ( ( ($D$21:$D$27 = D355) * IF($D$19&lt;&gt;"", --($E$21:$E$27 = E355), 1) * IF($H$19&lt;&gt;"", --($F$21:$F$27 = F355), 1)  ) / ( ( $D$21:$D$27 = D355) * IF($D$19&lt;&gt;"", --($E$21:$E$27 = E355), 1)  * IF($H$19&lt;&gt;"", --($F$21:$F$27 = F355), 1) ) ) * $AF$21:$AF$27,1)    ), "-")</f>
        <v>-</v>
      </c>
      <c r="BB355"/>
      <c r="BE355" s="67"/>
    </row>
    <row r="356" spans="2:57" x14ac:dyDescent="0.25">
      <c r="B356" s="158" t="s">
        <v>579</v>
      </c>
      <c r="C356" s="158"/>
      <c r="D356" s="162" t="s">
        <v>816</v>
      </c>
      <c r="E356" s="160"/>
      <c r="F356" s="162" t="s">
        <v>720</v>
      </c>
      <c r="G356" s="163"/>
      <c r="H356" s="163" t="s">
        <v>721</v>
      </c>
      <c r="I356" s="158"/>
      <c r="J356" s="158"/>
      <c r="K356" s="167"/>
      <c r="L356" s="168"/>
      <c r="M356" s="167"/>
      <c r="N356" s="167"/>
      <c r="O356" s="210"/>
      <c r="P356" s="170"/>
      <c r="Q356" s="169"/>
      <c r="R356" s="158"/>
      <c r="S356" s="158"/>
      <c r="T356" s="162"/>
      <c r="U356" s="164"/>
      <c r="V356" s="165"/>
      <c r="W356" s="166"/>
      <c r="X356" s="172"/>
      <c r="Y356" s="174"/>
      <c r="Z356" s="176"/>
      <c r="AA356" s="178" t="str">
        <f t="shared" si="31"/>
        <v xml:space="preserve"> - </v>
      </c>
      <c r="AB356" s="180" t="str">
        <f t="shared" si="32"/>
        <v xml:space="preserve"> - </v>
      </c>
      <c r="AC356" s="180" t="str">
        <f t="shared" si="36"/>
        <v xml:space="preserve"> - </v>
      </c>
      <c r="AD356" s="182" t="str">
        <f t="shared" si="35"/>
        <v xml:space="preserve"> - </v>
      </c>
      <c r="AE356" s="184">
        <f t="shared" si="34"/>
        <v>0</v>
      </c>
      <c r="AF356" s="186">
        <f t="shared" si="33"/>
        <v>0</v>
      </c>
      <c r="AG356" s="188" t="str">
        <f t="array" ref="AG356" xml:space="preserve"> IFERROR( IF( D356="", "-", _xlfn.AGGREGATE(15,6, ( ( ($D$21:$D$27 = D356) * IF($D$19&lt;&gt;"", --($E$21:$E$27 = E356), 1) * IF($H$19&lt;&gt;"", --($F$21:$F$27 = F356), 1)  ) / ( ( $D$21:$D$27 = D356) * IF($D$19&lt;&gt;"", --($E$21:$E$27 = E356), 1)  * IF($H$19&lt;&gt;"", --($F$21:$F$27 = F356), 1) ) ) * $AF$21:$AF$27,1)    ), "-")</f>
        <v>-</v>
      </c>
      <c r="BB356"/>
      <c r="BE356" s="67"/>
    </row>
    <row r="357" spans="2:57" x14ac:dyDescent="0.25">
      <c r="B357" s="158" t="s">
        <v>580</v>
      </c>
      <c r="C357" s="158"/>
      <c r="D357" s="162" t="s">
        <v>816</v>
      </c>
      <c r="E357" s="160"/>
      <c r="F357" s="162" t="s">
        <v>610</v>
      </c>
      <c r="G357" s="163"/>
      <c r="H357" s="163"/>
      <c r="I357" s="158"/>
      <c r="J357" s="158"/>
      <c r="K357" s="167"/>
      <c r="L357" s="168"/>
      <c r="M357" s="167"/>
      <c r="N357" s="167"/>
      <c r="O357" s="210"/>
      <c r="P357" s="170"/>
      <c r="Q357" s="169"/>
      <c r="R357" s="158"/>
      <c r="S357" s="158"/>
      <c r="T357" s="162"/>
      <c r="U357" s="164"/>
      <c r="V357" s="165"/>
      <c r="W357" s="166"/>
      <c r="X357" s="172"/>
      <c r="Y357" s="174"/>
      <c r="Z357" s="176"/>
      <c r="AA357" s="178" t="str">
        <f t="shared" si="31"/>
        <v xml:space="preserve"> - </v>
      </c>
      <c r="AB357" s="180" t="str">
        <f t="shared" si="32"/>
        <v xml:space="preserve"> - </v>
      </c>
      <c r="AC357" s="180" t="str">
        <f t="shared" si="36"/>
        <v xml:space="preserve"> - </v>
      </c>
      <c r="AD357" s="182" t="str">
        <f t="shared" si="35"/>
        <v xml:space="preserve"> - </v>
      </c>
      <c r="AE357" s="184">
        <f t="shared" si="34"/>
        <v>0</v>
      </c>
      <c r="AF357" s="186">
        <f t="shared" si="33"/>
        <v>0</v>
      </c>
      <c r="AG357" s="188" t="str">
        <f t="array" ref="AG357" xml:space="preserve"> IFERROR( IF( D357="", "-", _xlfn.AGGREGATE(15,6, ( ( ($D$21:$D$27 = D357) * IF($D$19&lt;&gt;"", --($E$21:$E$27 = E357), 1) * IF($H$19&lt;&gt;"", --($F$21:$F$27 = F357), 1)  ) / ( ( $D$21:$D$27 = D357) * IF($D$19&lt;&gt;"", --($E$21:$E$27 = E357), 1)  * IF($H$19&lt;&gt;"", --($F$21:$F$27 = F357), 1) ) ) * $AF$21:$AF$27,1)    ), "-")</f>
        <v>-</v>
      </c>
      <c r="BB357"/>
      <c r="BE357" s="67"/>
    </row>
    <row r="358" spans="2:57" x14ac:dyDescent="0.25">
      <c r="B358" s="158" t="s">
        <v>581</v>
      </c>
      <c r="C358" s="158"/>
      <c r="D358" s="162" t="s">
        <v>816</v>
      </c>
      <c r="E358" s="160"/>
      <c r="F358" s="162" t="s">
        <v>612</v>
      </c>
      <c r="G358" s="163"/>
      <c r="H358" s="163"/>
      <c r="I358" s="158"/>
      <c r="J358" s="158"/>
      <c r="K358" s="167"/>
      <c r="L358" s="168"/>
      <c r="M358" s="167"/>
      <c r="N358" s="167"/>
      <c r="O358" s="210"/>
      <c r="P358" s="170"/>
      <c r="Q358" s="169"/>
      <c r="R358" s="158"/>
      <c r="S358" s="158"/>
      <c r="T358" s="162"/>
      <c r="U358" s="164"/>
      <c r="V358" s="165"/>
      <c r="W358" s="166"/>
      <c r="X358" s="172"/>
      <c r="Y358" s="174"/>
      <c r="Z358" s="176"/>
      <c r="AA358" s="178" t="str">
        <f t="shared" ref="AA358:AA368" si="37">IF( ISNUMBER($U358), $U358, IF( ISNUMBER($T358), $T358 * IF( $V358="", 1,  $V358),            IF( ISNUMBER($V358), $V358 * IF( $W358="", 1,  $W358), " - ")           ) )</f>
        <v xml:space="preserve"> - </v>
      </c>
      <c r="AB358" s="180" t="str">
        <f t="shared" ref="AB358:AB368" si="38">IF( ISNUMBER($V358), $V358, IF( ISNUMBER($U358), $U358 / IF( $W358 &lt;&gt;"",  $W358, 1), " - ") )</f>
        <v xml:space="preserve"> - </v>
      </c>
      <c r="AC358" s="180" t="str">
        <f t="shared" si="36"/>
        <v xml:space="preserve"> - </v>
      </c>
      <c r="AD358" s="182" t="str">
        <f t="shared" si="35"/>
        <v xml:space="preserve"> - </v>
      </c>
      <c r="AE358" s="184">
        <f t="shared" si="34"/>
        <v>0</v>
      </c>
      <c r="AF358" s="186">
        <f t="shared" si="33"/>
        <v>0</v>
      </c>
      <c r="AG358" s="188" t="str">
        <f t="array" ref="AG358" xml:space="preserve"> IFERROR( IF( D358="", "-", _xlfn.AGGREGATE(15,6, ( ( ($D$21:$D$27 = D358) * IF($D$19&lt;&gt;"", --($E$21:$E$27 = E358), 1) * IF($H$19&lt;&gt;"", --($F$21:$F$27 = F358), 1)  ) / ( ( $D$21:$D$27 = D358) * IF($D$19&lt;&gt;"", --($E$21:$E$27 = E358), 1)  * IF($H$19&lt;&gt;"", --($F$21:$F$27 = F358), 1) ) ) * $AF$21:$AF$27,1)    ), "-")</f>
        <v>-</v>
      </c>
      <c r="BB358"/>
      <c r="BE358" s="67"/>
    </row>
    <row r="359" spans="2:57" x14ac:dyDescent="0.25">
      <c r="B359" s="158" t="s">
        <v>582</v>
      </c>
      <c r="C359" s="158"/>
      <c r="D359" s="162" t="s">
        <v>816</v>
      </c>
      <c r="E359" s="160"/>
      <c r="F359" s="162" t="s">
        <v>617</v>
      </c>
      <c r="G359" s="163"/>
      <c r="H359" s="163"/>
      <c r="I359" s="158"/>
      <c r="J359" s="158"/>
      <c r="K359" s="167"/>
      <c r="L359" s="168"/>
      <c r="M359" s="167"/>
      <c r="N359" s="167"/>
      <c r="O359" s="210"/>
      <c r="P359" s="170"/>
      <c r="Q359" s="169"/>
      <c r="R359" s="158"/>
      <c r="S359" s="158"/>
      <c r="T359" s="162"/>
      <c r="U359" s="164"/>
      <c r="V359" s="165"/>
      <c r="W359" s="166"/>
      <c r="X359" s="172"/>
      <c r="Y359" s="174"/>
      <c r="Z359" s="176"/>
      <c r="AA359" s="178" t="str">
        <f t="shared" si="37"/>
        <v xml:space="preserve"> - </v>
      </c>
      <c r="AB359" s="180" t="str">
        <f t="shared" si="38"/>
        <v xml:space="preserve"> - </v>
      </c>
      <c r="AC359" s="180" t="str">
        <f t="shared" si="36"/>
        <v xml:space="preserve"> - </v>
      </c>
      <c r="AD359" s="182" t="str">
        <f t="shared" si="35"/>
        <v xml:space="preserve"> - </v>
      </c>
      <c r="AE359" s="184">
        <f t="shared" si="34"/>
        <v>0</v>
      </c>
      <c r="AF359" s="186">
        <f t="shared" si="33"/>
        <v>0</v>
      </c>
      <c r="AG359" s="188" t="str">
        <f t="array" ref="AG359" xml:space="preserve"> IFERROR( IF( D359="", "-", _xlfn.AGGREGATE(15,6, ( ( ($D$21:$D$27 = D359) * IF($D$19&lt;&gt;"", --($E$21:$E$27 = E359), 1) * IF($H$19&lt;&gt;"", --($F$21:$F$27 = F359), 1)  ) / ( ( $D$21:$D$27 = D359) * IF($D$19&lt;&gt;"", --($E$21:$E$27 = E359), 1)  * IF($H$19&lt;&gt;"", --($F$21:$F$27 = F359), 1) ) ) * $AF$21:$AF$27,1)    ), "-")</f>
        <v>-</v>
      </c>
      <c r="BB359"/>
      <c r="BE359" s="67"/>
    </row>
    <row r="360" spans="2:57" x14ac:dyDescent="0.25">
      <c r="B360" s="158" t="s">
        <v>583</v>
      </c>
      <c r="C360" s="158"/>
      <c r="D360" s="162" t="s">
        <v>583</v>
      </c>
      <c r="E360" s="160"/>
      <c r="F360" s="162"/>
      <c r="G360" s="163"/>
      <c r="H360" s="163"/>
      <c r="I360" s="158"/>
      <c r="J360" s="158"/>
      <c r="K360" s="167"/>
      <c r="L360" s="168"/>
      <c r="M360" s="167"/>
      <c r="N360" s="167"/>
      <c r="O360" s="210"/>
      <c r="P360" s="170"/>
      <c r="Q360" s="169"/>
      <c r="R360" s="158"/>
      <c r="S360" s="158"/>
      <c r="T360" s="162"/>
      <c r="U360" s="164"/>
      <c r="V360" s="165"/>
      <c r="W360" s="166"/>
      <c r="X360" s="172"/>
      <c r="Y360" s="174"/>
      <c r="Z360" s="176"/>
      <c r="AA360" s="178" t="str">
        <f t="shared" si="37"/>
        <v xml:space="preserve"> - </v>
      </c>
      <c r="AB360" s="180" t="str">
        <f t="shared" si="38"/>
        <v xml:space="preserve"> - </v>
      </c>
      <c r="AC360" s="180" t="str">
        <f t="shared" si="36"/>
        <v xml:space="preserve"> - </v>
      </c>
      <c r="AD360" s="182" t="str">
        <f t="shared" si="35"/>
        <v xml:space="preserve"> - </v>
      </c>
      <c r="AE360" s="184">
        <f t="shared" si="34"/>
        <v>0</v>
      </c>
      <c r="AF360" s="186">
        <f t="shared" si="33"/>
        <v>0</v>
      </c>
      <c r="AG360" s="188" t="str">
        <f t="array" ref="AG360" xml:space="preserve"> IFERROR( IF( D360="", "-", _xlfn.AGGREGATE(15,6, ( ( ($D$21:$D$27 = D360) * IF($D$19&lt;&gt;"", --($E$21:$E$27 = E360), 1) * IF($H$19&lt;&gt;"", --($F$21:$F$27 = F360), 1)  ) / ( ( $D$21:$D$27 = D360) * IF($D$19&lt;&gt;"", --($E$21:$E$27 = E360), 1)  * IF($H$19&lt;&gt;"", --($F$21:$F$27 = F360), 1) ) ) * $AF$21:$AF$27,1)    ), "-")</f>
        <v>-</v>
      </c>
      <c r="BB360"/>
      <c r="BE360" s="67"/>
    </row>
    <row r="361" spans="2:57" x14ac:dyDescent="0.25">
      <c r="B361" s="158" t="s">
        <v>584</v>
      </c>
      <c r="C361" s="158"/>
      <c r="D361" s="189" t="s">
        <v>1005</v>
      </c>
      <c r="E361" s="160"/>
      <c r="F361" s="162"/>
      <c r="G361" s="163"/>
      <c r="H361" s="163"/>
      <c r="I361" s="158"/>
      <c r="J361" s="158"/>
      <c r="K361" s="167"/>
      <c r="L361" s="168"/>
      <c r="M361" s="167"/>
      <c r="N361" s="167"/>
      <c r="O361" s="210"/>
      <c r="P361" s="170"/>
      <c r="Q361" s="169"/>
      <c r="R361" s="158"/>
      <c r="S361" s="158"/>
      <c r="T361" s="162"/>
      <c r="U361" s="164"/>
      <c r="V361" s="165"/>
      <c r="W361" s="166"/>
      <c r="X361" s="172"/>
      <c r="Y361" s="174"/>
      <c r="Z361" s="176"/>
      <c r="AA361" s="178" t="str">
        <f t="shared" si="37"/>
        <v xml:space="preserve"> - </v>
      </c>
      <c r="AB361" s="180" t="str">
        <f t="shared" si="38"/>
        <v xml:space="preserve"> - </v>
      </c>
      <c r="AC361" s="180" t="str">
        <f t="shared" si="36"/>
        <v xml:space="preserve"> - </v>
      </c>
      <c r="AD361" s="182" t="str">
        <f t="shared" si="35"/>
        <v xml:space="preserve"> - </v>
      </c>
      <c r="AE361" s="184">
        <f t="shared" si="34"/>
        <v>0</v>
      </c>
      <c r="AF361" s="186">
        <f t="shared" si="33"/>
        <v>0</v>
      </c>
      <c r="AG361" s="188" t="str">
        <f t="array" ref="AG361" xml:space="preserve"> IFERROR( IF( D361="", "-", _xlfn.AGGREGATE(15,6, ( ( ($D$21:$D$27 = D361) * IF($D$19&lt;&gt;"", --($E$21:$E$27 = E361), 1) * IF($H$19&lt;&gt;"", --($F$21:$F$27 = F361), 1)  ) / ( ( $D$21:$D$27 = D361) * IF($D$19&lt;&gt;"", --($E$21:$E$27 = E361), 1)  * IF($H$19&lt;&gt;"", --($F$21:$F$27 = F361), 1) ) ) * $AF$21:$AF$27,1)    ), "-")</f>
        <v>-</v>
      </c>
      <c r="BB361"/>
      <c r="BE361" s="67"/>
    </row>
    <row r="362" spans="2:57" x14ac:dyDescent="0.25">
      <c r="B362" s="158" t="s">
        <v>585</v>
      </c>
      <c r="C362" s="158"/>
      <c r="D362" s="189" t="s">
        <v>1006</v>
      </c>
      <c r="E362" s="160"/>
      <c r="F362" s="162"/>
      <c r="G362" s="163"/>
      <c r="H362" s="163"/>
      <c r="I362" s="158"/>
      <c r="J362" s="158"/>
      <c r="K362" s="167"/>
      <c r="L362" s="168"/>
      <c r="M362" s="167"/>
      <c r="N362" s="167"/>
      <c r="O362" s="210"/>
      <c r="P362" s="170"/>
      <c r="Q362" s="169"/>
      <c r="R362" s="158"/>
      <c r="S362" s="158"/>
      <c r="T362" s="162"/>
      <c r="U362" s="164"/>
      <c r="V362" s="165"/>
      <c r="W362" s="166"/>
      <c r="X362" s="172"/>
      <c r="Y362" s="174"/>
      <c r="Z362" s="176"/>
      <c r="AA362" s="178" t="str">
        <f t="shared" si="37"/>
        <v xml:space="preserve"> - </v>
      </c>
      <c r="AB362" s="180" t="str">
        <f t="shared" si="38"/>
        <v xml:space="preserve"> - </v>
      </c>
      <c r="AC362" s="180" t="str">
        <f t="shared" si="36"/>
        <v xml:space="preserve"> - </v>
      </c>
      <c r="AD362" s="182" t="str">
        <f t="shared" si="35"/>
        <v xml:space="preserve"> - </v>
      </c>
      <c r="AE362" s="184">
        <f t="shared" si="34"/>
        <v>0</v>
      </c>
      <c r="AF362" s="186">
        <f t="shared" si="33"/>
        <v>0</v>
      </c>
      <c r="AG362" s="188" t="str">
        <f t="array" ref="AG362" xml:space="preserve"> IFERROR( IF( D362="", "-", _xlfn.AGGREGATE(15,6, ( ( ($D$21:$D$27 = D362) * IF($D$19&lt;&gt;"", --($E$21:$E$27 = E362), 1) * IF($H$19&lt;&gt;"", --($F$21:$F$27 = F362), 1)  ) / ( ( $D$21:$D$27 = D362) * IF($D$19&lt;&gt;"", --($E$21:$E$27 = E362), 1)  * IF($H$19&lt;&gt;"", --($F$21:$F$27 = F362), 1) ) ) * $AF$21:$AF$27,1)    ), "-")</f>
        <v>-</v>
      </c>
      <c r="BB362"/>
      <c r="BE362" s="67"/>
    </row>
    <row r="363" spans="2:57" x14ac:dyDescent="0.25">
      <c r="B363" s="158" t="s">
        <v>586</v>
      </c>
      <c r="C363" s="158"/>
      <c r="D363" s="162" t="s">
        <v>722</v>
      </c>
      <c r="E363" s="159"/>
      <c r="F363" s="160" t="s">
        <v>723</v>
      </c>
      <c r="G363" s="163"/>
      <c r="H363" s="163" t="s">
        <v>724</v>
      </c>
      <c r="I363" s="158"/>
      <c r="J363" s="158"/>
      <c r="K363" s="167"/>
      <c r="L363" s="168"/>
      <c r="M363" s="167"/>
      <c r="N363" s="167"/>
      <c r="O363" s="210"/>
      <c r="P363" s="170"/>
      <c r="Q363" s="169"/>
      <c r="R363" s="158"/>
      <c r="S363" s="158"/>
      <c r="T363" s="162"/>
      <c r="U363" s="164"/>
      <c r="V363" s="165"/>
      <c r="W363" s="166"/>
      <c r="X363" s="172"/>
      <c r="Y363" s="174"/>
      <c r="Z363" s="176"/>
      <c r="AA363" s="178" t="str">
        <f t="shared" si="37"/>
        <v xml:space="preserve"> - </v>
      </c>
      <c r="AB363" s="180" t="str">
        <f t="shared" si="38"/>
        <v xml:space="preserve"> - </v>
      </c>
      <c r="AC363" s="180" t="str">
        <f t="shared" si="36"/>
        <v xml:space="preserve"> - </v>
      </c>
      <c r="AD363" s="182" t="str">
        <f t="shared" si="35"/>
        <v xml:space="preserve"> - </v>
      </c>
      <c r="AE363" s="184">
        <f t="shared" si="34"/>
        <v>0</v>
      </c>
      <c r="AF363" s="186">
        <f t="shared" si="33"/>
        <v>0</v>
      </c>
      <c r="AG363" s="188" t="str">
        <f t="array" ref="AG363" xml:space="preserve"> IFERROR( IF( D363="", "-", _xlfn.AGGREGATE(15,6, ( ( ($D$21:$D$27 = D363) * IF($D$19&lt;&gt;"", --($E$21:$E$27 = F363), 1) * IF($H$19&lt;&gt;"", --($F$21:$F$27 =#REF!), 1)  ) / ( ( $D$21:$D$27 = D363) * IF($D$19&lt;&gt;"", --($E$21:$E$27 = F363), 1)  * IF($H$19&lt;&gt;"", --($F$21:$F$27 =#REF!), 1) ) ) * $AF$21:$AF$27,1)    ), "-")</f>
        <v>-</v>
      </c>
      <c r="BB363"/>
      <c r="BE363" s="67"/>
    </row>
    <row r="364" spans="2:57" x14ac:dyDescent="0.25">
      <c r="B364" s="158" t="s">
        <v>587</v>
      </c>
      <c r="C364" s="158"/>
      <c r="D364" s="162" t="s">
        <v>722</v>
      </c>
      <c r="E364" s="160"/>
      <c r="F364" s="162" t="s">
        <v>725</v>
      </c>
      <c r="G364" s="163"/>
      <c r="H364" s="163" t="s">
        <v>724</v>
      </c>
      <c r="I364" s="158"/>
      <c r="J364" s="158"/>
      <c r="K364" s="167"/>
      <c r="L364" s="168"/>
      <c r="M364" s="167"/>
      <c r="N364" s="167"/>
      <c r="O364" s="210"/>
      <c r="P364" s="170"/>
      <c r="Q364" s="169"/>
      <c r="R364" s="158"/>
      <c r="S364" s="158"/>
      <c r="T364" s="162"/>
      <c r="U364" s="164"/>
      <c r="V364" s="165"/>
      <c r="W364" s="166"/>
      <c r="X364" s="172"/>
      <c r="Y364" s="174"/>
      <c r="Z364" s="176"/>
      <c r="AA364" s="178" t="str">
        <f t="shared" si="37"/>
        <v xml:space="preserve"> - </v>
      </c>
      <c r="AB364" s="180" t="str">
        <f t="shared" si="38"/>
        <v xml:space="preserve"> - </v>
      </c>
      <c r="AC364" s="180" t="str">
        <f t="shared" si="36"/>
        <v xml:space="preserve"> - </v>
      </c>
      <c r="AD364" s="182" t="str">
        <f t="shared" si="35"/>
        <v xml:space="preserve"> - </v>
      </c>
      <c r="AE364" s="184">
        <f t="shared" si="34"/>
        <v>0</v>
      </c>
      <c r="AF364" s="186">
        <f t="shared" si="33"/>
        <v>0</v>
      </c>
      <c r="AG364" s="188" t="str">
        <f t="array" ref="AG364" xml:space="preserve"> IFERROR( IF( D364="", "-", _xlfn.AGGREGATE(15,6, ( ( ($D$21:$D$27 = D364) * IF($D$19&lt;&gt;"", --($E$21:$E$27 = E364), 1) * IF($H$19&lt;&gt;"", --($F$21:$F$27 = F364), 1)  ) / ( ( $D$21:$D$27 = D364) * IF($D$19&lt;&gt;"", --($E$21:$E$27 = E364), 1)  * IF($H$19&lt;&gt;"", --($F$21:$F$27 = F364), 1) ) ) * $AF$21:$AF$27,1)    ), "-")</f>
        <v>-</v>
      </c>
      <c r="BB364"/>
      <c r="BE364" s="67"/>
    </row>
    <row r="365" spans="2:57" x14ac:dyDescent="0.25">
      <c r="B365" s="158" t="s">
        <v>588</v>
      </c>
      <c r="C365" s="158"/>
      <c r="D365" s="162" t="s">
        <v>722</v>
      </c>
      <c r="E365" s="160"/>
      <c r="F365" s="162" t="s">
        <v>614</v>
      </c>
      <c r="G365" s="163"/>
      <c r="H365" s="163" t="s">
        <v>724</v>
      </c>
      <c r="I365" s="158"/>
      <c r="J365" s="158"/>
      <c r="K365" s="167"/>
      <c r="L365" s="168"/>
      <c r="M365" s="167"/>
      <c r="N365" s="167"/>
      <c r="O365" s="210"/>
      <c r="P365" s="170"/>
      <c r="Q365" s="169"/>
      <c r="R365" s="158"/>
      <c r="S365" s="158"/>
      <c r="T365" s="162"/>
      <c r="U365" s="164"/>
      <c r="V365" s="165"/>
      <c r="W365" s="166"/>
      <c r="X365" s="172"/>
      <c r="Y365" s="174"/>
      <c r="Z365" s="176"/>
      <c r="AA365" s="178" t="str">
        <f t="shared" si="37"/>
        <v xml:space="preserve"> - </v>
      </c>
      <c r="AB365" s="180" t="str">
        <f t="shared" si="38"/>
        <v xml:space="preserve"> - </v>
      </c>
      <c r="AC365" s="180" t="str">
        <f t="shared" si="36"/>
        <v xml:space="preserve"> - </v>
      </c>
      <c r="AD365" s="182" t="str">
        <f t="shared" si="35"/>
        <v xml:space="preserve"> - </v>
      </c>
      <c r="AE365" s="184">
        <f t="shared" si="34"/>
        <v>0</v>
      </c>
      <c r="AF365" s="186">
        <f t="shared" si="33"/>
        <v>0</v>
      </c>
      <c r="AG365" s="188" t="str">
        <f t="array" ref="AG365" xml:space="preserve"> IFERROR( IF( D365="", "-", _xlfn.AGGREGATE(15,6, ( ( ($D$21:$D$27 = D365) * IF($D$19&lt;&gt;"", --($E$21:$E$27 = E365), 1) * IF($H$19&lt;&gt;"", --($F$21:$F$27 = F365), 1)  ) / ( ( $D$21:$D$27 = D365) * IF($D$19&lt;&gt;"", --($E$21:$E$27 = E365), 1)  * IF($H$19&lt;&gt;"", --($F$21:$F$27 = F365), 1) ) ) * $AF$21:$AF$27,1)    ), "-")</f>
        <v>-</v>
      </c>
      <c r="BB365"/>
      <c r="BE365" s="67"/>
    </row>
    <row r="366" spans="2:57" x14ac:dyDescent="0.25">
      <c r="B366" s="158" t="s">
        <v>589</v>
      </c>
      <c r="C366" s="158"/>
      <c r="D366" s="162" t="s">
        <v>722</v>
      </c>
      <c r="E366" s="160"/>
      <c r="F366" s="162" t="s">
        <v>638</v>
      </c>
      <c r="G366" s="163"/>
      <c r="H366" s="163" t="s">
        <v>724</v>
      </c>
      <c r="I366" s="158"/>
      <c r="J366" s="158"/>
      <c r="K366" s="167"/>
      <c r="L366" s="168"/>
      <c r="M366" s="167"/>
      <c r="N366" s="167"/>
      <c r="O366" s="210"/>
      <c r="P366" s="170"/>
      <c r="Q366" s="169"/>
      <c r="R366" s="158"/>
      <c r="S366" s="158"/>
      <c r="T366" s="162"/>
      <c r="U366" s="164"/>
      <c r="V366" s="165"/>
      <c r="W366" s="166"/>
      <c r="X366" s="172"/>
      <c r="Y366" s="174"/>
      <c r="Z366" s="176"/>
      <c r="AA366" s="178" t="str">
        <f t="shared" si="37"/>
        <v xml:space="preserve"> - </v>
      </c>
      <c r="AB366" s="180" t="str">
        <f t="shared" si="38"/>
        <v xml:space="preserve"> - </v>
      </c>
      <c r="AC366" s="180" t="str">
        <f t="shared" si="36"/>
        <v xml:space="preserve"> - </v>
      </c>
      <c r="AD366" s="182" t="str">
        <f t="shared" si="35"/>
        <v xml:space="preserve"> - </v>
      </c>
      <c r="AE366" s="184">
        <f t="shared" si="34"/>
        <v>0</v>
      </c>
      <c r="AF366" s="186">
        <f t="shared" si="33"/>
        <v>0</v>
      </c>
      <c r="AG366" s="188" t="str">
        <f t="array" ref="AG366" xml:space="preserve"> IFERROR( IF( D366="", "-", _xlfn.AGGREGATE(15,6, ( ( ($D$21:$D$27 = D366) * IF($D$19&lt;&gt;"", --($E$21:$E$27 = E366), 1) * IF($H$19&lt;&gt;"", --($F$21:$F$27 = F366), 1)  ) / ( ( $D$21:$D$27 = D366) * IF($D$19&lt;&gt;"", --($E$21:$E$27 = E366), 1)  * IF($H$19&lt;&gt;"", --($F$21:$F$27 = F366), 1) ) ) * $AF$21:$AF$27,1)    ), "-")</f>
        <v>-</v>
      </c>
      <c r="BB366"/>
      <c r="BE366" s="67"/>
    </row>
    <row r="367" spans="2:57" x14ac:dyDescent="0.25">
      <c r="B367" s="158" t="s">
        <v>590</v>
      </c>
      <c r="C367" s="158"/>
      <c r="D367" s="162" t="s">
        <v>722</v>
      </c>
      <c r="E367" s="160"/>
      <c r="F367" s="162" t="s">
        <v>46</v>
      </c>
      <c r="G367" s="163"/>
      <c r="H367" s="163" t="s">
        <v>724</v>
      </c>
      <c r="I367" s="158"/>
      <c r="J367" s="158"/>
      <c r="K367" s="167"/>
      <c r="L367" s="168"/>
      <c r="M367" s="167"/>
      <c r="N367" s="167"/>
      <c r="O367" s="210"/>
      <c r="P367" s="170"/>
      <c r="Q367" s="169"/>
      <c r="R367" s="158"/>
      <c r="S367" s="158"/>
      <c r="T367" s="162"/>
      <c r="U367" s="164"/>
      <c r="V367" s="165"/>
      <c r="W367" s="166"/>
      <c r="X367" s="172"/>
      <c r="Y367" s="174"/>
      <c r="Z367" s="176"/>
      <c r="AA367" s="178" t="str">
        <f t="shared" si="37"/>
        <v xml:space="preserve"> - </v>
      </c>
      <c r="AB367" s="180" t="str">
        <f t="shared" si="38"/>
        <v xml:space="preserve"> - </v>
      </c>
      <c r="AC367" s="180" t="str">
        <f t="shared" si="36"/>
        <v xml:space="preserve"> - </v>
      </c>
      <c r="AD367" s="182" t="str">
        <f t="shared" si="35"/>
        <v xml:space="preserve"> - </v>
      </c>
      <c r="AE367" s="184">
        <f t="shared" si="34"/>
        <v>0</v>
      </c>
      <c r="AF367" s="186">
        <f t="shared" si="33"/>
        <v>0</v>
      </c>
      <c r="AG367" s="188" t="str">
        <f t="array" ref="AG367" xml:space="preserve"> IFERROR( IF( D367="", "-", _xlfn.AGGREGATE(15,6, ( ( ($D$21:$D$27 = D367) * IF($D$19&lt;&gt;"", --($E$21:$E$27 = E367), 1) * IF($H$19&lt;&gt;"", --($F$21:$F$27 = F367), 1)  ) / ( ( $D$21:$D$27 = D367) * IF($D$19&lt;&gt;"", --($E$21:$E$27 = E367), 1)  * IF($H$19&lt;&gt;"", --($F$21:$F$27 = F367), 1) ) ) * $AF$21:$AF$27,1)    ), "-")</f>
        <v>-</v>
      </c>
      <c r="BB367"/>
      <c r="BE367" s="67"/>
    </row>
    <row r="368" spans="2:57" x14ac:dyDescent="0.25">
      <c r="B368" s="158" t="s">
        <v>591</v>
      </c>
      <c r="C368" s="158"/>
      <c r="D368" s="162" t="s">
        <v>722</v>
      </c>
      <c r="E368" s="160"/>
      <c r="F368" s="162" t="s">
        <v>639</v>
      </c>
      <c r="G368" s="163"/>
      <c r="H368" s="163" t="s">
        <v>724</v>
      </c>
      <c r="I368" s="158"/>
      <c r="J368" s="158"/>
      <c r="K368" s="167"/>
      <c r="L368" s="168"/>
      <c r="M368" s="167"/>
      <c r="N368" s="167"/>
      <c r="O368" s="210"/>
      <c r="P368" s="170"/>
      <c r="Q368" s="169"/>
      <c r="R368" s="158"/>
      <c r="S368" s="158"/>
      <c r="T368" s="162"/>
      <c r="U368" s="164"/>
      <c r="V368" s="165"/>
      <c r="W368" s="166"/>
      <c r="X368" s="172"/>
      <c r="Y368" s="174"/>
      <c r="Z368" s="176"/>
      <c r="AA368" s="178" t="str">
        <f t="shared" si="37"/>
        <v xml:space="preserve"> - </v>
      </c>
      <c r="AB368" s="180" t="str">
        <f t="shared" si="38"/>
        <v xml:space="preserve"> - </v>
      </c>
      <c r="AC368" s="180" t="str">
        <f t="shared" si="36"/>
        <v xml:space="preserve"> - </v>
      </c>
      <c r="AD368" s="182" t="str">
        <f t="shared" si="35"/>
        <v xml:space="preserve"> - </v>
      </c>
      <c r="AE368" s="184">
        <f t="shared" si="34"/>
        <v>0</v>
      </c>
      <c r="AF368" s="186">
        <f t="shared" si="33"/>
        <v>0</v>
      </c>
      <c r="AG368" s="188" t="str">
        <f t="array" ref="AG368" xml:space="preserve"> IFERROR( IF( D368="", "-", _xlfn.AGGREGATE(15,6, ( ( ($D$21:$D$27 = D368) * IF($D$19&lt;&gt;"", --($E$21:$E$27 = E368), 1) * IF($H$19&lt;&gt;"", --($F$21:$F$27 = F368), 1)  ) / ( ( $D$21:$D$27 = D368) * IF($D$19&lt;&gt;"", --($E$21:$E$27 = E368), 1)  * IF($H$19&lt;&gt;"", --($F$21:$F$27 = F368), 1) ) ) * $AF$21:$AF$27,1)    ), "-")</f>
        <v>-</v>
      </c>
      <c r="BB368"/>
      <c r="BE368" s="67"/>
    </row>
    <row r="369" spans="2:55" x14ac:dyDescent="0.25">
      <c r="B369" s="155"/>
      <c r="C369" s="195"/>
      <c r="D369" s="155"/>
      <c r="E369" s="138"/>
      <c r="F369" s="139"/>
      <c r="G369" s="156"/>
      <c r="H369" s="163"/>
      <c r="I369" s="195"/>
      <c r="J369" s="195"/>
      <c r="K369" s="143"/>
      <c r="L369" s="144"/>
      <c r="M369" s="143"/>
      <c r="N369" s="143"/>
      <c r="O369" s="209"/>
      <c r="P369" s="146"/>
      <c r="Q369" s="145"/>
      <c r="R369" s="195"/>
      <c r="S369" s="195"/>
      <c r="T369" s="139"/>
      <c r="U369" s="140"/>
      <c r="V369" s="141"/>
      <c r="W369" s="142"/>
      <c r="X369" s="137"/>
      <c r="Y369" s="147"/>
      <c r="Z369" s="148"/>
      <c r="AA369" s="149" t="str">
        <f>IF( ISNUMBER($U369), $U369, IF( ISNUMBER($T369), $T369 * IF( $V369="", 1,  $V369),            IF( ISNUMBER($V369), $V369 * IF( $W369="", 1,  $W369), " - ")           ) )</f>
        <v xml:space="preserve"> - </v>
      </c>
      <c r="AB369" s="150" t="str">
        <f>IF( ISNUMBER($V369), $V369, IF( ISNUMBER($U369), $U369 / IF( $W369 &lt;&gt;"",  $W369, 1), " - ") )</f>
        <v xml:space="preserve"> - </v>
      </c>
      <c r="AC369" s="150" t="str">
        <f t="shared" si="36"/>
        <v xml:space="preserve"> - </v>
      </c>
      <c r="AD369" s="151" t="str">
        <f t="shared" si="35"/>
        <v xml:space="preserve"> - </v>
      </c>
      <c r="AE369" s="152">
        <f t="shared" si="34"/>
        <v>0</v>
      </c>
      <c r="AF369" s="153">
        <f t="shared" si="33"/>
        <v>0</v>
      </c>
      <c r="AG369" s="154" t="str">
        <f t="array" ref="AG369" xml:space="preserve"> IFERROR( IF( D369="", "-", _xlfn.AGGREGATE(15,6, ( ( ($D$21:$D$27 = D369) * IF($D$19&lt;&gt;"", --($E$21:$E$27 = E369), 1) * IF($H$19&lt;&gt;"", --($F$21:$F$27 = F369), 1)  ) / ( ( $D$21:$D$27 = D369) * IF($D$19&lt;&gt;"", --($E$21:$E$27 = E369), 1)  * IF($H$19&lt;&gt;"", --($F$21:$F$27 = F369), 1) ) ) * $AF$21:$AF$27,1)    ), "-")</f>
        <v>-</v>
      </c>
      <c r="BB369"/>
      <c r="BC369" s="67"/>
    </row>
  </sheetData>
  <phoneticPr fontId="10" type="noConversion"/>
  <conditionalFormatting sqref="Z21:AG25">
    <cfRule type="expression" dxfId="66" priority="124">
      <formula>_xlfn.ISFORMULA(Z21)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D8"/>
  <sheetViews>
    <sheetView workbookViewId="0">
      <selection activeCell="D6" sqref="D6"/>
    </sheetView>
  </sheetViews>
  <sheetFormatPr defaultRowHeight="15" x14ac:dyDescent="0.25"/>
  <cols>
    <col min="2" max="2" width="23.7109375" bestFit="1" customWidth="1"/>
    <col min="4" max="4" width="9.85546875" customWidth="1"/>
  </cols>
  <sheetData>
    <row r="4" spans="2:4" x14ac:dyDescent="0.25">
      <c r="B4" s="202" t="s">
        <v>1068</v>
      </c>
      <c r="D4" s="202"/>
    </row>
    <row r="5" spans="2:4" x14ac:dyDescent="0.25">
      <c r="B5" t="s">
        <v>1069</v>
      </c>
    </row>
    <row r="6" spans="2:4" x14ac:dyDescent="0.25">
      <c r="B6" t="s">
        <v>1070</v>
      </c>
    </row>
    <row r="7" spans="2:4" x14ac:dyDescent="0.25">
      <c r="B7" t="s">
        <v>1072</v>
      </c>
    </row>
    <row r="8" spans="2:4" x14ac:dyDescent="0.25">
      <c r="B8" t="s">
        <v>1071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2">
    <tabColor rgb="FFC00000"/>
  </sheetPr>
  <dimension ref="B1:HD1807"/>
  <sheetViews>
    <sheetView showGridLines="0" zoomScale="115" zoomScaleNormal="115" workbookViewId="0">
      <selection activeCell="B54" sqref="B54"/>
    </sheetView>
  </sheetViews>
  <sheetFormatPr defaultColWidth="0" defaultRowHeight="0" customHeight="1" zeroHeight="1" x14ac:dyDescent="0.25"/>
  <cols>
    <col min="1" max="1" width="2.5703125" style="2" customWidth="1"/>
    <col min="2" max="2" width="10.7109375" style="2" bestFit="1" customWidth="1"/>
    <col min="3" max="3" width="14.7109375" style="2" bestFit="1" customWidth="1"/>
    <col min="4" max="4" width="8.140625" style="2" bestFit="1" customWidth="1"/>
    <col min="5" max="5" width="18" style="2" bestFit="1" customWidth="1"/>
    <col min="6" max="6" width="1.7109375" style="2" customWidth="1"/>
    <col min="7" max="7" width="3.28515625" style="2" customWidth="1"/>
    <col min="8" max="8" width="11.85546875" style="2" customWidth="1"/>
    <col min="9" max="9" width="10.5703125" style="2" bestFit="1" customWidth="1"/>
    <col min="10" max="10" width="8.7109375" style="2" customWidth="1"/>
    <col min="11" max="11" width="7.28515625" style="2" hidden="1" customWidth="1"/>
    <col min="12" max="12" width="2.42578125" style="2" hidden="1" customWidth="1"/>
    <col min="13" max="14" width="5.5703125" style="2" hidden="1" customWidth="1"/>
    <col min="15" max="15" width="2" style="2" hidden="1" customWidth="1"/>
    <col min="16" max="16" width="8.140625" style="2" hidden="1" customWidth="1"/>
    <col min="17" max="17" width="1.5703125" style="2" hidden="1" customWidth="1"/>
    <col min="18" max="19" width="5.5703125" style="2" hidden="1" customWidth="1"/>
    <col min="20" max="20" width="0" style="2" hidden="1" customWidth="1"/>
    <col min="21" max="212" width="7.140625" style="2" hidden="1" customWidth="1"/>
    <col min="213" max="16384" width="0" style="2" hidden="1"/>
  </cols>
  <sheetData>
    <row r="1" spans="2:13" ht="27" customHeight="1" x14ac:dyDescent="0.3">
      <c r="B1" s="1"/>
      <c r="C1" s="1"/>
      <c r="D1" s="1"/>
      <c r="E1" s="1"/>
      <c r="F1"/>
      <c r="G1"/>
      <c r="H1" s="69"/>
      <c r="I1" s="69"/>
      <c r="J1" s="69"/>
    </row>
    <row r="2" spans="2:13" ht="4.5" customHeight="1" x14ac:dyDescent="0.25">
      <c r="B2"/>
      <c r="C2"/>
      <c r="D2"/>
      <c r="E2"/>
      <c r="F2"/>
      <c r="G2" s="70"/>
      <c r="H2" s="69"/>
      <c r="I2" s="69"/>
      <c r="J2" s="69"/>
    </row>
    <row r="3" spans="2:13" ht="18.75" x14ac:dyDescent="0.3">
      <c r="B3" s="71" t="s">
        <v>15</v>
      </c>
      <c r="C3" s="71"/>
      <c r="D3" s="72"/>
      <c r="E3" s="73"/>
      <c r="F3"/>
      <c r="G3" s="70"/>
      <c r="I3" s="69"/>
      <c r="J3" s="69"/>
      <c r="K3" s="49"/>
      <c r="M3" s="29"/>
    </row>
    <row r="4" spans="2:13" ht="4.5" customHeight="1" x14ac:dyDescent="0.25">
      <c r="B4"/>
      <c r="C4"/>
      <c r="D4"/>
      <c r="E4"/>
      <c r="F4"/>
      <c r="G4" s="70"/>
      <c r="H4" s="69"/>
      <c r="I4" s="69"/>
      <c r="J4" s="69"/>
    </row>
    <row r="5" spans="2:13" ht="15" x14ac:dyDescent="0.25">
      <c r="B5" t="s">
        <v>146</v>
      </c>
      <c r="C5" t="s">
        <v>170</v>
      </c>
      <c r="D5" t="s">
        <v>171</v>
      </c>
      <c r="E5" t="s">
        <v>172</v>
      </c>
    </row>
    <row r="6" spans="2:13" ht="15" x14ac:dyDescent="0.25">
      <c r="B6" s="58" t="s">
        <v>111</v>
      </c>
      <c r="C6" s="125" t="s">
        <v>20</v>
      </c>
      <c r="D6" s="58" t="s">
        <v>63</v>
      </c>
      <c r="E6" s="126">
        <v>1000</v>
      </c>
    </row>
    <row r="7" spans="2:13" ht="15" x14ac:dyDescent="0.25">
      <c r="B7" s="3" t="s">
        <v>115</v>
      </c>
      <c r="C7" s="127" t="s">
        <v>20</v>
      </c>
      <c r="D7" s="3" t="s">
        <v>102</v>
      </c>
      <c r="E7" s="56">
        <v>1000</v>
      </c>
    </row>
    <row r="8" spans="2:13" ht="15" x14ac:dyDescent="0.25">
      <c r="B8" s="3" t="s">
        <v>63</v>
      </c>
      <c r="C8" s="127"/>
      <c r="D8" s="58" t="s">
        <v>63</v>
      </c>
      <c r="E8" s="56">
        <v>1</v>
      </c>
    </row>
    <row r="9" spans="2:13" ht="15" x14ac:dyDescent="0.25">
      <c r="B9" s="3" t="s">
        <v>102</v>
      </c>
      <c r="C9" s="127"/>
      <c r="D9" s="3" t="s">
        <v>102</v>
      </c>
      <c r="E9" s="56">
        <v>1</v>
      </c>
    </row>
    <row r="10" spans="2:13" ht="15" x14ac:dyDescent="0.25">
      <c r="B10" s="3"/>
      <c r="C10" s="127"/>
      <c r="D10" s="3"/>
      <c r="E10" s="56"/>
    </row>
    <row r="11" spans="2:13" ht="15" x14ac:dyDescent="0.25">
      <c r="B11" s="3"/>
      <c r="C11" s="127"/>
      <c r="D11" s="3"/>
      <c r="E11" s="56"/>
    </row>
    <row r="12" spans="2:13" ht="15" x14ac:dyDescent="0.25">
      <c r="B12" s="3"/>
      <c r="C12" s="3"/>
      <c r="D12" s="3"/>
      <c r="E12" s="3"/>
    </row>
    <row r="13" spans="2:13" ht="15" x14ac:dyDescent="0.25">
      <c r="B13" s="3"/>
      <c r="C13" s="3"/>
      <c r="D13" s="3"/>
      <c r="E13" s="3"/>
    </row>
    <row r="14" spans="2:13" ht="18.75" x14ac:dyDescent="0.3">
      <c r="B14" s="71" t="s">
        <v>173</v>
      </c>
      <c r="C14" s="71"/>
      <c r="D14" s="71"/>
      <c r="E14" s="3"/>
    </row>
    <row r="15" spans="2:13" ht="4.5" customHeight="1" x14ac:dyDescent="0.25">
      <c r="B15"/>
      <c r="C15"/>
      <c r="D15"/>
      <c r="E15"/>
      <c r="F15"/>
      <c r="G15" s="70"/>
      <c r="H15" s="69"/>
      <c r="I15" s="69"/>
      <c r="J15" s="69"/>
    </row>
    <row r="16" spans="2:13" ht="15" x14ac:dyDescent="0.25">
      <c r="B16" t="s">
        <v>174</v>
      </c>
      <c r="C16" t="s">
        <v>8</v>
      </c>
      <c r="D16" s="3"/>
      <c r="E16" s="3"/>
    </row>
    <row r="17" spans="2:5" ht="15" x14ac:dyDescent="0.25">
      <c r="B17" s="3" t="s">
        <v>175</v>
      </c>
      <c r="C17" s="127" t="s">
        <v>176</v>
      </c>
      <c r="D17" s="3"/>
      <c r="E17" s="3"/>
    </row>
    <row r="18" spans="2:5" ht="15" x14ac:dyDescent="0.25">
      <c r="B18" s="3" t="s">
        <v>177</v>
      </c>
      <c r="C18" s="127" t="s">
        <v>178</v>
      </c>
      <c r="D18" s="3"/>
      <c r="E18" s="3"/>
    </row>
    <row r="19" spans="2:5" ht="15" x14ac:dyDescent="0.25">
      <c r="B19" s="3" t="s">
        <v>179</v>
      </c>
      <c r="C19" s="127" t="s">
        <v>180</v>
      </c>
      <c r="D19" s="3"/>
      <c r="E19" s="3"/>
    </row>
    <row r="20" spans="2:5" ht="15" x14ac:dyDescent="0.25">
      <c r="B20" s="3" t="s">
        <v>181</v>
      </c>
      <c r="C20" s="127" t="s">
        <v>182</v>
      </c>
      <c r="D20" s="3"/>
      <c r="E20" s="3"/>
    </row>
    <row r="21" spans="2:5" ht="15" x14ac:dyDescent="0.25">
      <c r="B21" s="3" t="s">
        <v>183</v>
      </c>
      <c r="C21" s="127" t="s">
        <v>184</v>
      </c>
      <c r="D21" s="3"/>
      <c r="E21" s="3"/>
    </row>
    <row r="22" spans="2:5" ht="15" x14ac:dyDescent="0.25">
      <c r="B22" s="3" t="s">
        <v>185</v>
      </c>
      <c r="C22" s="127" t="s">
        <v>186</v>
      </c>
      <c r="D22" s="3"/>
      <c r="E22" s="3"/>
    </row>
    <row r="23" spans="2:5" ht="15" x14ac:dyDescent="0.25">
      <c r="B23" s="3" t="s">
        <v>187</v>
      </c>
      <c r="C23" s="127" t="s">
        <v>188</v>
      </c>
      <c r="D23" s="3"/>
      <c r="E23" s="57"/>
    </row>
    <row r="24" spans="2:5" ht="15" x14ac:dyDescent="0.25">
      <c r="B24" s="3" t="s">
        <v>189</v>
      </c>
      <c r="C24" s="127" t="s">
        <v>190</v>
      </c>
      <c r="D24" s="3"/>
      <c r="E24" s="3"/>
    </row>
    <row r="25" spans="2:5" ht="15" x14ac:dyDescent="0.25">
      <c r="B25" s="3" t="s">
        <v>191</v>
      </c>
      <c r="C25" s="127" t="s">
        <v>192</v>
      </c>
      <c r="D25" s="3"/>
      <c r="E25" s="3"/>
    </row>
    <row r="26" spans="2:5" ht="15" x14ac:dyDescent="0.25">
      <c r="B26" s="3" t="s">
        <v>193</v>
      </c>
      <c r="C26" s="127" t="s">
        <v>194</v>
      </c>
      <c r="D26" s="3"/>
      <c r="E26" s="3"/>
    </row>
    <row r="27" spans="2:5" ht="15" x14ac:dyDescent="0.25">
      <c r="B27" s="3" t="s">
        <v>195</v>
      </c>
      <c r="C27" s="127" t="s">
        <v>196</v>
      </c>
      <c r="D27" s="3"/>
      <c r="E27" s="3"/>
    </row>
    <row r="28" spans="2:5" ht="15" x14ac:dyDescent="0.25">
      <c r="B28" s="3" t="s">
        <v>197</v>
      </c>
      <c r="C28" s="127" t="s">
        <v>198</v>
      </c>
      <c r="D28" s="3"/>
      <c r="E28" s="3"/>
    </row>
    <row r="29" spans="2:5" ht="15" x14ac:dyDescent="0.25">
      <c r="B29" s="3" t="s">
        <v>199</v>
      </c>
      <c r="C29" s="127" t="s">
        <v>200</v>
      </c>
      <c r="D29" s="3"/>
      <c r="E29" s="3"/>
    </row>
    <row r="30" spans="2:5" ht="15" x14ac:dyDescent="0.25">
      <c r="B30" s="3" t="s">
        <v>201</v>
      </c>
      <c r="C30" s="127" t="s">
        <v>202</v>
      </c>
      <c r="D30" s="57"/>
      <c r="E30" s="3"/>
    </row>
    <row r="31" spans="2:5" ht="15" x14ac:dyDescent="0.25">
      <c r="B31" s="3" t="s">
        <v>203</v>
      </c>
      <c r="C31" s="127" t="s">
        <v>204</v>
      </c>
      <c r="D31" s="3"/>
      <c r="E31" s="3"/>
    </row>
    <row r="32" spans="2:5" ht="15" x14ac:dyDescent="0.25">
      <c r="B32" s="3" t="s">
        <v>205</v>
      </c>
      <c r="C32" s="127" t="s">
        <v>206</v>
      </c>
      <c r="D32" s="3"/>
      <c r="E32" s="3"/>
    </row>
    <row r="33" spans="2:5" ht="15" x14ac:dyDescent="0.25">
      <c r="B33" s="3" t="s">
        <v>207</v>
      </c>
      <c r="C33" s="127" t="s">
        <v>208</v>
      </c>
      <c r="D33" s="3"/>
      <c r="E33" s="3"/>
    </row>
    <row r="34" spans="2:5" ht="15" x14ac:dyDescent="0.25">
      <c r="B34" s="3" t="s">
        <v>209</v>
      </c>
      <c r="C34" s="127" t="s">
        <v>210</v>
      </c>
      <c r="D34" s="3"/>
      <c r="E34" s="3"/>
    </row>
    <row r="35" spans="2:5" ht="15" x14ac:dyDescent="0.25">
      <c r="B35" s="3" t="s">
        <v>211</v>
      </c>
      <c r="C35" s="127" t="s">
        <v>212</v>
      </c>
      <c r="D35" s="3"/>
      <c r="E35" s="3"/>
    </row>
    <row r="36" spans="2:5" ht="15" x14ac:dyDescent="0.25">
      <c r="B36" s="3" t="s">
        <v>213</v>
      </c>
      <c r="C36" s="127" t="s">
        <v>214</v>
      </c>
      <c r="D36" s="3"/>
      <c r="E36" s="3"/>
    </row>
    <row r="37" spans="2:5" ht="15" x14ac:dyDescent="0.25">
      <c r="B37" s="3" t="s">
        <v>215</v>
      </c>
      <c r="C37" s="127" t="s">
        <v>216</v>
      </c>
      <c r="D37" s="3"/>
      <c r="E37" s="3"/>
    </row>
    <row r="38" spans="2:5" ht="15" x14ac:dyDescent="0.25">
      <c r="B38" s="3" t="s">
        <v>217</v>
      </c>
      <c r="C38" s="127" t="s">
        <v>218</v>
      </c>
      <c r="D38" s="3"/>
      <c r="E38" s="3"/>
    </row>
    <row r="39" spans="2:5" ht="15" x14ac:dyDescent="0.25">
      <c r="B39" s="3" t="s">
        <v>219</v>
      </c>
      <c r="C39" s="127" t="s">
        <v>220</v>
      </c>
      <c r="D39" s="3"/>
      <c r="E39" s="3"/>
    </row>
    <row r="40" spans="2:5" ht="15" x14ac:dyDescent="0.25">
      <c r="B40" s="3" t="s">
        <v>221</v>
      </c>
      <c r="C40" s="127" t="s">
        <v>222</v>
      </c>
      <c r="D40" s="3"/>
      <c r="E40" s="3"/>
    </row>
    <row r="41" spans="2:5" ht="15" x14ac:dyDescent="0.25">
      <c r="B41" s="3" t="s">
        <v>63</v>
      </c>
      <c r="C41" s="127" t="s">
        <v>223</v>
      </c>
      <c r="D41" s="3"/>
      <c r="E41" s="3"/>
    </row>
    <row r="42" spans="2:5" ht="15" x14ac:dyDescent="0.25">
      <c r="B42" s="3" t="s">
        <v>224</v>
      </c>
      <c r="C42" s="127" t="s">
        <v>225</v>
      </c>
      <c r="D42" s="3"/>
      <c r="E42" s="3"/>
    </row>
    <row r="43" spans="2:5" ht="15" x14ac:dyDescent="0.25">
      <c r="B43" s="3" t="s">
        <v>226</v>
      </c>
      <c r="C43" s="127" t="s">
        <v>227</v>
      </c>
      <c r="D43" s="3"/>
      <c r="E43" s="3"/>
    </row>
    <row r="44" spans="2:5" ht="15" x14ac:dyDescent="0.25">
      <c r="B44" s="3" t="s">
        <v>228</v>
      </c>
      <c r="C44" s="127" t="s">
        <v>229</v>
      </c>
      <c r="D44" s="3"/>
      <c r="E44" s="3"/>
    </row>
    <row r="45" spans="2:5" ht="15" x14ac:dyDescent="0.25">
      <c r="B45" s="3" t="s">
        <v>230</v>
      </c>
      <c r="C45" s="127" t="s">
        <v>231</v>
      </c>
      <c r="D45" s="3"/>
      <c r="E45" s="3"/>
    </row>
    <row r="46" spans="2:5" ht="15" x14ac:dyDescent="0.25">
      <c r="B46" s="3" t="s">
        <v>232</v>
      </c>
      <c r="C46" s="127" t="s">
        <v>233</v>
      </c>
      <c r="D46" s="3"/>
      <c r="E46" s="3"/>
    </row>
    <row r="47" spans="2:5" ht="15" x14ac:dyDescent="0.25">
      <c r="B47" s="3" t="s">
        <v>234</v>
      </c>
      <c r="C47" s="127" t="s">
        <v>235</v>
      </c>
      <c r="D47" s="3"/>
      <c r="E47" s="3"/>
    </row>
    <row r="48" spans="2:5" ht="15" x14ac:dyDescent="0.25">
      <c r="B48" s="3" t="s">
        <v>236</v>
      </c>
      <c r="C48" s="127" t="s">
        <v>237</v>
      </c>
      <c r="D48" s="3"/>
      <c r="E48" s="3"/>
    </row>
    <row r="49" spans="2:5" ht="15" x14ac:dyDescent="0.25">
      <c r="B49" s="3" t="s">
        <v>238</v>
      </c>
      <c r="C49" s="127" t="s">
        <v>239</v>
      </c>
      <c r="D49" s="3"/>
      <c r="E49" s="3"/>
    </row>
    <row r="50" spans="2:5" ht="15" x14ac:dyDescent="0.25">
      <c r="B50" s="3" t="s">
        <v>240</v>
      </c>
      <c r="C50" s="127" t="s">
        <v>241</v>
      </c>
      <c r="D50" s="3"/>
      <c r="E50" s="3"/>
    </row>
    <row r="51" spans="2:5" ht="15" x14ac:dyDescent="0.25">
      <c r="B51" s="3" t="s">
        <v>242</v>
      </c>
      <c r="C51" s="127" t="s">
        <v>243</v>
      </c>
      <c r="D51" s="3"/>
      <c r="E51" s="3"/>
    </row>
    <row r="52" spans="2:5" ht="15" x14ac:dyDescent="0.25">
      <c r="B52" s="3"/>
      <c r="C52" s="127" t="s">
        <v>258</v>
      </c>
      <c r="D52" s="3"/>
      <c r="E52" s="3"/>
    </row>
    <row r="53" spans="2:5" ht="15" x14ac:dyDescent="0.25">
      <c r="B53" s="3" t="s">
        <v>244</v>
      </c>
      <c r="C53" s="127" t="s">
        <v>245</v>
      </c>
      <c r="D53" s="3"/>
      <c r="E53" s="3"/>
    </row>
    <row r="54" spans="2:5" ht="15" x14ac:dyDescent="0.25">
      <c r="B54" s="3" t="s">
        <v>246</v>
      </c>
      <c r="C54" s="127" t="s">
        <v>247</v>
      </c>
      <c r="D54" s="3"/>
      <c r="E54" s="3"/>
    </row>
    <row r="55" spans="2:5" ht="15" x14ac:dyDescent="0.25">
      <c r="B55" s="3" t="s">
        <v>248</v>
      </c>
      <c r="C55" s="127" t="s">
        <v>249</v>
      </c>
      <c r="D55" s="3"/>
      <c r="E55" s="3"/>
    </row>
    <row r="56" spans="2:5" ht="15" x14ac:dyDescent="0.25">
      <c r="B56" s="3" t="s">
        <v>250</v>
      </c>
      <c r="C56" s="127" t="s">
        <v>251</v>
      </c>
      <c r="D56" s="3"/>
      <c r="E56" s="3"/>
    </row>
    <row r="57" spans="2:5" ht="15" x14ac:dyDescent="0.25">
      <c r="B57" s="3" t="s">
        <v>252</v>
      </c>
      <c r="C57" s="127" t="s">
        <v>253</v>
      </c>
      <c r="D57" s="3"/>
      <c r="E57" s="3"/>
    </row>
    <row r="58" spans="2:5" ht="15" x14ac:dyDescent="0.25">
      <c r="B58" s="3" t="s">
        <v>254</v>
      </c>
      <c r="C58" s="127" t="s">
        <v>255</v>
      </c>
      <c r="D58" s="3"/>
      <c r="E58" s="3"/>
    </row>
    <row r="59" spans="2:5" ht="15" x14ac:dyDescent="0.25">
      <c r="B59" s="3"/>
      <c r="C59" s="3"/>
      <c r="D59" s="3"/>
      <c r="E59" s="3"/>
    </row>
    <row r="60" spans="2:5" ht="15" x14ac:dyDescent="0.25">
      <c r="B60" s="3"/>
      <c r="C60" s="3"/>
      <c r="D60" s="3"/>
      <c r="E60" s="3"/>
    </row>
    <row r="61" spans="2:5" ht="15" x14ac:dyDescent="0.25">
      <c r="B61" s="3"/>
      <c r="C61" s="3"/>
      <c r="D61" s="3"/>
      <c r="E61" s="3"/>
    </row>
    <row r="62" spans="2:5" ht="15" x14ac:dyDescent="0.25">
      <c r="B62" s="3"/>
      <c r="C62" s="3"/>
      <c r="D62" s="3"/>
      <c r="E62" s="3"/>
    </row>
    <row r="63" spans="2:5" ht="15" x14ac:dyDescent="0.25">
      <c r="B63" s="3"/>
      <c r="C63" s="3"/>
      <c r="D63" s="3"/>
      <c r="E63" s="3"/>
    </row>
    <row r="64" spans="2:5" ht="15" x14ac:dyDescent="0.25">
      <c r="B64" s="3"/>
      <c r="C64" s="3"/>
      <c r="D64" s="3"/>
      <c r="E64" s="3"/>
    </row>
    <row r="65" spans="2:5" ht="15" x14ac:dyDescent="0.25">
      <c r="B65" s="3"/>
      <c r="C65" s="3"/>
      <c r="D65" s="3"/>
      <c r="E65" s="3"/>
    </row>
    <row r="66" spans="2:5" ht="15" x14ac:dyDescent="0.25">
      <c r="B66" s="3"/>
      <c r="C66" s="3"/>
      <c r="D66" s="3"/>
      <c r="E66" s="3"/>
    </row>
    <row r="67" spans="2:5" ht="15" x14ac:dyDescent="0.25">
      <c r="B67" s="3"/>
      <c r="C67" s="3"/>
      <c r="D67" s="3"/>
      <c r="E67" s="3"/>
    </row>
    <row r="68" spans="2:5" ht="15" x14ac:dyDescent="0.25">
      <c r="B68" s="3"/>
      <c r="C68" s="3"/>
      <c r="D68" s="3"/>
      <c r="E68" s="3"/>
    </row>
    <row r="69" spans="2:5" ht="15" x14ac:dyDescent="0.25">
      <c r="B69" s="3"/>
      <c r="C69" s="3"/>
      <c r="D69" s="3"/>
      <c r="E69" s="3"/>
    </row>
    <row r="70" spans="2:5" ht="15" x14ac:dyDescent="0.25">
      <c r="B70" s="3"/>
      <c r="C70" s="3"/>
      <c r="D70" s="3"/>
      <c r="E70" s="3"/>
    </row>
    <row r="71" spans="2:5" ht="15" x14ac:dyDescent="0.25">
      <c r="B71" s="3"/>
      <c r="C71" s="3"/>
      <c r="D71" s="3"/>
      <c r="E71" s="3"/>
    </row>
    <row r="72" spans="2:5" ht="15" x14ac:dyDescent="0.25">
      <c r="B72" s="3"/>
      <c r="C72" s="3"/>
      <c r="D72" s="3"/>
      <c r="E72" s="3"/>
    </row>
    <row r="73" spans="2:5" ht="15" x14ac:dyDescent="0.25">
      <c r="B73" s="3"/>
      <c r="C73" s="3"/>
      <c r="D73" s="3"/>
      <c r="E73" s="3"/>
    </row>
    <row r="74" spans="2:5" ht="15" x14ac:dyDescent="0.25">
      <c r="B74" s="3"/>
      <c r="C74" s="3"/>
      <c r="D74" s="3"/>
      <c r="E74" s="3"/>
    </row>
    <row r="75" spans="2:5" ht="15" x14ac:dyDescent="0.25">
      <c r="B75" s="3"/>
      <c r="C75" s="3"/>
      <c r="D75" s="3"/>
      <c r="E75" s="3"/>
    </row>
    <row r="76" spans="2:5" ht="15" x14ac:dyDescent="0.25">
      <c r="B76" s="3"/>
      <c r="C76" s="3"/>
      <c r="D76" s="3"/>
      <c r="E76" s="3"/>
    </row>
    <row r="77" spans="2:5" ht="15" x14ac:dyDescent="0.25">
      <c r="B77" s="3"/>
      <c r="C77" s="3"/>
      <c r="D77" s="3"/>
      <c r="E77" s="3"/>
    </row>
    <row r="78" spans="2:5" ht="15" x14ac:dyDescent="0.25">
      <c r="B78" s="3"/>
      <c r="C78" s="3"/>
      <c r="D78" s="3"/>
      <c r="E78" s="3"/>
    </row>
    <row r="79" spans="2:5" ht="15" x14ac:dyDescent="0.25">
      <c r="B79" s="3"/>
      <c r="C79" s="3"/>
      <c r="D79" s="3"/>
      <c r="E79" s="3"/>
    </row>
    <row r="80" spans="2:5" ht="15" x14ac:dyDescent="0.25">
      <c r="B80" s="3"/>
      <c r="C80" s="3"/>
      <c r="D80" s="3"/>
      <c r="E80" s="3"/>
    </row>
    <row r="81" spans="2:5" ht="15" x14ac:dyDescent="0.25">
      <c r="B81" s="3"/>
      <c r="C81" s="3"/>
      <c r="D81" s="3"/>
      <c r="E81" s="3"/>
    </row>
    <row r="82" spans="2:5" ht="15" x14ac:dyDescent="0.25">
      <c r="B82" s="3"/>
      <c r="C82" s="3"/>
      <c r="D82" s="3"/>
      <c r="E82" s="3"/>
    </row>
    <row r="83" spans="2:5" ht="15" x14ac:dyDescent="0.25">
      <c r="B83" s="3"/>
      <c r="C83" s="3"/>
      <c r="D83" s="3"/>
      <c r="E83" s="3"/>
    </row>
    <row r="84" spans="2:5" ht="15" x14ac:dyDescent="0.25">
      <c r="B84" s="3"/>
      <c r="C84" s="3"/>
      <c r="D84" s="3"/>
      <c r="E84" s="3"/>
    </row>
    <row r="85" spans="2:5" ht="15" x14ac:dyDescent="0.25">
      <c r="B85" s="3"/>
      <c r="C85" s="3"/>
      <c r="D85" s="3"/>
      <c r="E85" s="3"/>
    </row>
    <row r="86" spans="2:5" ht="15" x14ac:dyDescent="0.25">
      <c r="B86" s="3"/>
      <c r="C86" s="3"/>
      <c r="D86" s="3"/>
      <c r="E86" s="3"/>
    </row>
    <row r="87" spans="2:5" ht="15" x14ac:dyDescent="0.25">
      <c r="B87" s="3"/>
      <c r="C87" s="3"/>
      <c r="D87" s="3"/>
      <c r="E87" s="3"/>
    </row>
    <row r="88" spans="2:5" ht="15" x14ac:dyDescent="0.25">
      <c r="B88" s="3"/>
      <c r="C88" s="3"/>
      <c r="D88" s="3"/>
      <c r="E88" s="3"/>
    </row>
    <row r="89" spans="2:5" ht="15" x14ac:dyDescent="0.25">
      <c r="B89" s="3"/>
      <c r="C89" s="3"/>
      <c r="D89" s="3"/>
      <c r="E89" s="3"/>
    </row>
    <row r="90" spans="2:5" ht="15" x14ac:dyDescent="0.25">
      <c r="B90" s="3"/>
      <c r="C90" s="3"/>
      <c r="D90" s="3"/>
      <c r="E90" s="3"/>
    </row>
    <row r="91" spans="2:5" ht="15" x14ac:dyDescent="0.25">
      <c r="B91" s="3"/>
      <c r="C91" s="3"/>
      <c r="D91" s="3"/>
      <c r="E91" s="3"/>
    </row>
    <row r="92" spans="2:5" ht="15" x14ac:dyDescent="0.25">
      <c r="B92" s="3"/>
      <c r="C92" s="3"/>
      <c r="D92" s="3"/>
      <c r="E92" s="3"/>
    </row>
    <row r="93" spans="2:5" ht="15" x14ac:dyDescent="0.25">
      <c r="B93" s="3"/>
      <c r="C93" s="3"/>
      <c r="D93" s="3"/>
      <c r="E93" s="3"/>
    </row>
    <row r="94" spans="2:5" ht="15" x14ac:dyDescent="0.25">
      <c r="B94" s="3"/>
      <c r="C94" s="3"/>
      <c r="D94" s="3"/>
      <c r="E94" s="3"/>
    </row>
    <row r="95" spans="2:5" ht="15" x14ac:dyDescent="0.25">
      <c r="B95" s="3"/>
      <c r="C95" s="3"/>
      <c r="D95" s="3"/>
      <c r="E95" s="3"/>
    </row>
    <row r="96" spans="2:5" ht="15" x14ac:dyDescent="0.25">
      <c r="B96" s="3"/>
      <c r="C96" s="3"/>
      <c r="D96" s="3"/>
      <c r="E96" s="3"/>
    </row>
    <row r="97" spans="2:5" ht="15" x14ac:dyDescent="0.25">
      <c r="B97" s="3"/>
      <c r="C97" s="3"/>
      <c r="D97" s="3"/>
      <c r="E97" s="3"/>
    </row>
    <row r="98" spans="2:5" ht="15" x14ac:dyDescent="0.25">
      <c r="B98" s="3"/>
      <c r="C98" s="3"/>
      <c r="D98" s="3"/>
      <c r="E98" s="3"/>
    </row>
    <row r="99" spans="2:5" ht="15" x14ac:dyDescent="0.25">
      <c r="B99" s="3"/>
      <c r="C99" s="3"/>
      <c r="D99" s="3"/>
      <c r="E99" s="3"/>
    </row>
    <row r="100" spans="2:5" ht="15" x14ac:dyDescent="0.25">
      <c r="B100" s="3"/>
      <c r="C100" s="3"/>
      <c r="D100" s="3"/>
      <c r="E100" s="3"/>
    </row>
    <row r="101" spans="2:5" ht="15" x14ac:dyDescent="0.25">
      <c r="B101" s="3"/>
      <c r="C101" s="3"/>
      <c r="D101" s="3"/>
      <c r="E101" s="3"/>
    </row>
    <row r="102" spans="2:5" ht="15" x14ac:dyDescent="0.25">
      <c r="B102" s="3"/>
      <c r="C102" s="3"/>
      <c r="D102" s="3"/>
      <c r="E102" s="3"/>
    </row>
    <row r="103" spans="2:5" ht="15" x14ac:dyDescent="0.25">
      <c r="B103" s="3"/>
      <c r="C103" s="3"/>
      <c r="D103" s="3"/>
      <c r="E103" s="3"/>
    </row>
    <row r="104" spans="2:5" ht="15" x14ac:dyDescent="0.25">
      <c r="B104" s="3"/>
      <c r="C104" s="3"/>
      <c r="D104" s="3"/>
      <c r="E104" s="3"/>
    </row>
    <row r="105" spans="2:5" ht="15" x14ac:dyDescent="0.25">
      <c r="B105" s="3"/>
      <c r="C105" s="3"/>
      <c r="D105" s="3"/>
      <c r="E105" s="3"/>
    </row>
    <row r="106" spans="2:5" ht="15" x14ac:dyDescent="0.25">
      <c r="B106" s="3"/>
      <c r="C106" s="3"/>
      <c r="D106" s="3"/>
      <c r="E106" s="3"/>
    </row>
    <row r="107" spans="2:5" ht="15" x14ac:dyDescent="0.25">
      <c r="B107" s="3"/>
      <c r="C107" s="3"/>
      <c r="D107" s="3"/>
      <c r="E107" s="3"/>
    </row>
    <row r="108" spans="2:5" ht="15" x14ac:dyDescent="0.25">
      <c r="B108" s="3"/>
      <c r="C108" s="3"/>
      <c r="D108" s="3"/>
      <c r="E108" s="3"/>
    </row>
    <row r="109" spans="2:5" ht="15" x14ac:dyDescent="0.25">
      <c r="B109" s="3"/>
      <c r="C109" s="3"/>
      <c r="D109" s="3"/>
      <c r="E109" s="3"/>
    </row>
    <row r="110" spans="2:5" ht="15" x14ac:dyDescent="0.25">
      <c r="B110" s="3"/>
      <c r="C110" s="3"/>
      <c r="D110" s="3"/>
      <c r="E110" s="3"/>
    </row>
    <row r="111" spans="2:5" ht="15" x14ac:dyDescent="0.25">
      <c r="B111" s="3"/>
      <c r="C111" s="3"/>
      <c r="D111" s="3"/>
      <c r="E111" s="3"/>
    </row>
    <row r="112" spans="2:5" ht="15" x14ac:dyDescent="0.25">
      <c r="B112" s="3"/>
      <c r="C112" s="3"/>
      <c r="D112" s="3"/>
      <c r="E112" s="3"/>
    </row>
    <row r="113" spans="2:5" ht="15" x14ac:dyDescent="0.25">
      <c r="B113" s="3"/>
      <c r="C113" s="3"/>
      <c r="D113" s="3"/>
      <c r="E113" s="3"/>
    </row>
    <row r="114" spans="2:5" ht="15" x14ac:dyDescent="0.25">
      <c r="B114" s="3"/>
      <c r="C114" s="3"/>
      <c r="D114" s="3"/>
      <c r="E114" s="3"/>
    </row>
    <row r="115" spans="2:5" ht="15" x14ac:dyDescent="0.25">
      <c r="B115" s="3"/>
      <c r="C115" s="3"/>
      <c r="D115" s="3"/>
      <c r="E115" s="3"/>
    </row>
    <row r="116" spans="2:5" ht="15" x14ac:dyDescent="0.25">
      <c r="B116" s="3"/>
      <c r="C116" s="3"/>
      <c r="D116" s="3"/>
      <c r="E116" s="3"/>
    </row>
    <row r="117" spans="2:5" ht="15" x14ac:dyDescent="0.25">
      <c r="B117" s="3"/>
      <c r="C117" s="3"/>
      <c r="D117" s="3"/>
      <c r="E117" s="3"/>
    </row>
    <row r="118" spans="2:5" ht="15" x14ac:dyDescent="0.25">
      <c r="B118" s="3"/>
      <c r="C118" s="3"/>
      <c r="D118" s="3"/>
      <c r="E118" s="3"/>
    </row>
    <row r="119" spans="2:5" ht="15" x14ac:dyDescent="0.25">
      <c r="B119" s="3"/>
      <c r="C119" s="3"/>
      <c r="D119" s="3"/>
      <c r="E119" s="3"/>
    </row>
    <row r="120" spans="2:5" ht="15" x14ac:dyDescent="0.25">
      <c r="B120" s="3"/>
      <c r="C120" s="3"/>
      <c r="D120" s="3"/>
      <c r="E120" s="3"/>
    </row>
    <row r="121" spans="2:5" ht="15" x14ac:dyDescent="0.25">
      <c r="B121" s="3"/>
      <c r="C121" s="3"/>
      <c r="D121" s="3"/>
      <c r="E121" s="3"/>
    </row>
    <row r="122" spans="2:5" ht="15" x14ac:dyDescent="0.25">
      <c r="B122" s="3"/>
      <c r="C122" s="3"/>
      <c r="D122" s="3"/>
      <c r="E122" s="3"/>
    </row>
    <row r="123" spans="2:5" ht="15" x14ac:dyDescent="0.25">
      <c r="B123" s="3"/>
      <c r="C123" s="3"/>
      <c r="D123" s="3"/>
      <c r="E123" s="3"/>
    </row>
    <row r="124" spans="2:5" ht="15" x14ac:dyDescent="0.25">
      <c r="B124" s="3"/>
      <c r="C124" s="3"/>
      <c r="D124" s="3"/>
      <c r="E124" s="3"/>
    </row>
    <row r="125" spans="2:5" ht="15" x14ac:dyDescent="0.25">
      <c r="B125" s="3"/>
      <c r="C125" s="3"/>
      <c r="D125" s="3"/>
      <c r="E125" s="3"/>
    </row>
    <row r="126" spans="2:5" ht="15" x14ac:dyDescent="0.25">
      <c r="B126" s="3"/>
      <c r="C126" s="3"/>
      <c r="D126" s="3"/>
      <c r="E126" s="3"/>
    </row>
    <row r="127" spans="2:5" ht="15" x14ac:dyDescent="0.25">
      <c r="B127" s="3"/>
      <c r="C127" s="3"/>
      <c r="D127" s="3"/>
      <c r="E127" s="3"/>
    </row>
    <row r="128" spans="2:5" ht="15" x14ac:dyDescent="0.25">
      <c r="B128" s="3"/>
      <c r="C128" s="3"/>
      <c r="D128" s="3"/>
      <c r="E128" s="3"/>
    </row>
    <row r="129" spans="2:5" ht="15" x14ac:dyDescent="0.25">
      <c r="B129" s="3"/>
      <c r="C129" s="3"/>
      <c r="D129" s="3"/>
      <c r="E129" s="3"/>
    </row>
    <row r="130" spans="2:5" ht="15" x14ac:dyDescent="0.25">
      <c r="B130" s="3"/>
      <c r="C130" s="3"/>
      <c r="D130" s="3"/>
      <c r="E130" s="3"/>
    </row>
    <row r="131" spans="2:5" ht="15" x14ac:dyDescent="0.25">
      <c r="B131" s="3"/>
      <c r="C131" s="3"/>
      <c r="D131" s="3"/>
      <c r="E131" s="3"/>
    </row>
    <row r="132" spans="2:5" ht="15" x14ac:dyDescent="0.25">
      <c r="B132" s="3"/>
      <c r="C132" s="3"/>
      <c r="D132" s="3"/>
      <c r="E132" s="3"/>
    </row>
    <row r="133" spans="2:5" ht="15" x14ac:dyDescent="0.25">
      <c r="B133" s="3"/>
      <c r="C133" s="3"/>
      <c r="D133" s="3"/>
      <c r="E133" s="3"/>
    </row>
    <row r="134" spans="2:5" ht="15" x14ac:dyDescent="0.25">
      <c r="B134" s="3"/>
      <c r="C134" s="3"/>
      <c r="D134" s="3"/>
      <c r="E134" s="3"/>
    </row>
    <row r="135" spans="2:5" ht="15" x14ac:dyDescent="0.25">
      <c r="B135" s="3"/>
      <c r="C135" s="3"/>
      <c r="D135" s="3"/>
      <c r="E135" s="3"/>
    </row>
    <row r="136" spans="2:5" ht="15" x14ac:dyDescent="0.25">
      <c r="B136" s="3"/>
      <c r="C136" s="3"/>
      <c r="D136" s="3"/>
      <c r="E136" s="3"/>
    </row>
    <row r="137" spans="2:5" ht="15" x14ac:dyDescent="0.25">
      <c r="B137" s="3"/>
      <c r="C137" s="3"/>
      <c r="D137" s="3"/>
      <c r="E137" s="3"/>
    </row>
    <row r="138" spans="2:5" ht="15" x14ac:dyDescent="0.25">
      <c r="B138" s="3"/>
      <c r="C138" s="3"/>
      <c r="D138" s="3"/>
      <c r="E138" s="3"/>
    </row>
    <row r="139" spans="2:5" ht="15" x14ac:dyDescent="0.25">
      <c r="B139" s="3"/>
      <c r="C139" s="3"/>
      <c r="D139" s="3"/>
      <c r="E139" s="3"/>
    </row>
    <row r="140" spans="2:5" ht="15" x14ac:dyDescent="0.25">
      <c r="B140" s="3"/>
      <c r="C140" s="3"/>
      <c r="D140" s="3"/>
      <c r="E140" s="3"/>
    </row>
    <row r="141" spans="2:5" ht="15" x14ac:dyDescent="0.25">
      <c r="B141" s="3"/>
      <c r="C141" s="3"/>
      <c r="D141" s="3"/>
      <c r="E141" s="3"/>
    </row>
    <row r="142" spans="2:5" ht="15" x14ac:dyDescent="0.25">
      <c r="B142" s="3"/>
      <c r="C142" s="3"/>
      <c r="D142" s="3"/>
      <c r="E142" s="3"/>
    </row>
    <row r="143" spans="2:5" ht="15" x14ac:dyDescent="0.25">
      <c r="B143" s="3"/>
      <c r="C143" s="3"/>
      <c r="D143" s="3"/>
      <c r="E143" s="3"/>
    </row>
    <row r="144" spans="2:5" ht="15" x14ac:dyDescent="0.25">
      <c r="B144" s="3"/>
      <c r="C144" s="3"/>
      <c r="D144" s="3"/>
      <c r="E144" s="3"/>
    </row>
    <row r="145" spans="2:5" ht="15" x14ac:dyDescent="0.25">
      <c r="B145" s="3"/>
      <c r="C145" s="3"/>
      <c r="D145" s="3"/>
      <c r="E145" s="3"/>
    </row>
    <row r="146" spans="2:5" ht="15" x14ac:dyDescent="0.25">
      <c r="B146" s="3"/>
      <c r="C146" s="3"/>
      <c r="D146" s="3"/>
      <c r="E146" s="3"/>
    </row>
    <row r="147" spans="2:5" ht="15" x14ac:dyDescent="0.25">
      <c r="B147" s="3"/>
      <c r="C147" s="3"/>
      <c r="D147" s="3"/>
      <c r="E147" s="3"/>
    </row>
    <row r="148" spans="2:5" ht="15" x14ac:dyDescent="0.25">
      <c r="B148" s="3"/>
      <c r="C148" s="3"/>
      <c r="D148" s="3"/>
      <c r="E148" s="3"/>
    </row>
    <row r="149" spans="2:5" ht="15" x14ac:dyDescent="0.25">
      <c r="B149" s="3"/>
      <c r="C149" s="3"/>
      <c r="D149" s="3"/>
      <c r="E149" s="3"/>
    </row>
    <row r="150" spans="2:5" ht="15" x14ac:dyDescent="0.25">
      <c r="B150" s="3"/>
      <c r="C150" s="3"/>
      <c r="D150" s="3"/>
      <c r="E150" s="3"/>
    </row>
    <row r="151" spans="2:5" ht="15" x14ac:dyDescent="0.25">
      <c r="B151" s="3"/>
      <c r="C151" s="3"/>
      <c r="D151" s="3"/>
      <c r="E151" s="3"/>
    </row>
    <row r="152" spans="2:5" ht="15" x14ac:dyDescent="0.25">
      <c r="B152" s="3"/>
      <c r="C152" s="3"/>
      <c r="D152" s="3"/>
      <c r="E152" s="3"/>
    </row>
    <row r="153" spans="2:5" ht="15" x14ac:dyDescent="0.25">
      <c r="B153" s="3"/>
      <c r="C153" s="3"/>
      <c r="D153" s="3"/>
      <c r="E153" s="3"/>
    </row>
    <row r="154" spans="2:5" ht="15" x14ac:dyDescent="0.25">
      <c r="B154" s="3"/>
      <c r="C154" s="3"/>
      <c r="D154" s="3"/>
      <c r="E154" s="3"/>
    </row>
    <row r="155" spans="2:5" ht="15" x14ac:dyDescent="0.25">
      <c r="B155" s="3"/>
      <c r="C155" s="3"/>
      <c r="D155" s="3"/>
      <c r="E155" s="3"/>
    </row>
    <row r="156" spans="2:5" ht="15" x14ac:dyDescent="0.25">
      <c r="B156" s="3"/>
      <c r="C156" s="3"/>
      <c r="D156" s="3"/>
      <c r="E156" s="3"/>
    </row>
    <row r="157" spans="2:5" ht="15" x14ac:dyDescent="0.25">
      <c r="B157" s="3"/>
      <c r="C157" s="3"/>
      <c r="D157" s="3"/>
      <c r="E157" s="3"/>
    </row>
    <row r="158" spans="2:5" ht="15" x14ac:dyDescent="0.25">
      <c r="B158" s="3"/>
      <c r="C158" s="3"/>
      <c r="D158" s="3"/>
      <c r="E158" s="3"/>
    </row>
    <row r="159" spans="2:5" ht="15" x14ac:dyDescent="0.25">
      <c r="B159" s="3"/>
      <c r="C159" s="3"/>
      <c r="D159" s="3"/>
      <c r="E159" s="3"/>
    </row>
    <row r="160" spans="2:5" ht="15" x14ac:dyDescent="0.25">
      <c r="B160" s="3"/>
      <c r="C160" s="3"/>
      <c r="D160" s="3"/>
      <c r="E160" s="3"/>
    </row>
    <row r="161" spans="2:5" ht="15" x14ac:dyDescent="0.25">
      <c r="B161" s="3"/>
      <c r="C161" s="3"/>
      <c r="D161" s="3"/>
      <c r="E161" s="3"/>
    </row>
    <row r="162" spans="2:5" ht="15" x14ac:dyDescent="0.25">
      <c r="B162" s="3"/>
      <c r="C162" s="3"/>
      <c r="D162" s="3"/>
      <c r="E162" s="3"/>
    </row>
    <row r="163" spans="2:5" ht="15" x14ac:dyDescent="0.25">
      <c r="B163" s="3"/>
      <c r="C163" s="3"/>
      <c r="D163" s="3"/>
      <c r="E163" s="3"/>
    </row>
    <row r="164" spans="2:5" ht="15" x14ac:dyDescent="0.25">
      <c r="B164" s="3"/>
      <c r="C164" s="3"/>
      <c r="D164" s="3"/>
      <c r="E164" s="3"/>
    </row>
    <row r="165" spans="2:5" ht="15" x14ac:dyDescent="0.25">
      <c r="B165" s="3"/>
      <c r="C165" s="3"/>
      <c r="D165" s="3"/>
      <c r="E165" s="3"/>
    </row>
    <row r="166" spans="2:5" ht="15" x14ac:dyDescent="0.25">
      <c r="B166" s="3"/>
      <c r="C166" s="3"/>
      <c r="D166" s="3"/>
      <c r="E166" s="3"/>
    </row>
    <row r="167" spans="2:5" ht="15" x14ac:dyDescent="0.25">
      <c r="B167" s="3"/>
      <c r="C167" s="3"/>
      <c r="D167" s="3"/>
      <c r="E167" s="3"/>
    </row>
    <row r="168" spans="2:5" ht="15" x14ac:dyDescent="0.25">
      <c r="B168" s="3"/>
      <c r="C168" s="3"/>
      <c r="D168" s="3"/>
      <c r="E168" s="3"/>
    </row>
    <row r="169" spans="2:5" ht="15" x14ac:dyDescent="0.25">
      <c r="B169" s="3"/>
      <c r="C169" s="3"/>
      <c r="D169" s="3"/>
      <c r="E169" s="3"/>
    </row>
    <row r="170" spans="2:5" ht="15" x14ac:dyDescent="0.25">
      <c r="B170" s="3"/>
      <c r="C170" s="3"/>
      <c r="D170" s="3"/>
      <c r="E170" s="3"/>
    </row>
    <row r="171" spans="2:5" ht="15" x14ac:dyDescent="0.25">
      <c r="B171" s="3"/>
      <c r="C171" s="3"/>
      <c r="D171" s="3"/>
      <c r="E171" s="3"/>
    </row>
    <row r="172" spans="2:5" ht="15" x14ac:dyDescent="0.25">
      <c r="B172" s="3"/>
      <c r="C172" s="3"/>
      <c r="D172" s="3"/>
      <c r="E172" s="3"/>
    </row>
    <row r="173" spans="2:5" ht="15" x14ac:dyDescent="0.25">
      <c r="B173" s="3"/>
      <c r="C173" s="3"/>
      <c r="D173" s="3"/>
      <c r="E173" s="3"/>
    </row>
    <row r="174" spans="2:5" ht="15" x14ac:dyDescent="0.25">
      <c r="B174" s="3"/>
      <c r="C174" s="3"/>
      <c r="D174" s="3"/>
      <c r="E174" s="3"/>
    </row>
    <row r="175" spans="2:5" ht="15" x14ac:dyDescent="0.25">
      <c r="B175" s="3"/>
      <c r="C175" s="3"/>
      <c r="D175" s="3"/>
      <c r="E175" s="3"/>
    </row>
    <row r="176" spans="2:5" ht="15" x14ac:dyDescent="0.25">
      <c r="B176" s="3"/>
      <c r="C176" s="3"/>
      <c r="D176" s="3"/>
      <c r="E176" s="3"/>
    </row>
    <row r="177" spans="2:5" ht="15" x14ac:dyDescent="0.25">
      <c r="B177" s="3"/>
      <c r="C177" s="3"/>
      <c r="D177" s="3"/>
      <c r="E177" s="3"/>
    </row>
    <row r="178" spans="2:5" ht="15" x14ac:dyDescent="0.25">
      <c r="B178" s="3"/>
      <c r="C178" s="3"/>
      <c r="D178" s="3"/>
      <c r="E178" s="3"/>
    </row>
    <row r="179" spans="2:5" ht="15" x14ac:dyDescent="0.25">
      <c r="B179" s="3"/>
      <c r="C179" s="3"/>
      <c r="D179" s="3"/>
      <c r="E179" s="3"/>
    </row>
    <row r="180" spans="2:5" ht="15" x14ac:dyDescent="0.25">
      <c r="B180" s="3"/>
      <c r="C180" s="3"/>
      <c r="D180" s="3"/>
      <c r="E180" s="3"/>
    </row>
    <row r="181" spans="2:5" ht="15" x14ac:dyDescent="0.25">
      <c r="B181" s="3"/>
      <c r="C181" s="3"/>
      <c r="D181" s="3"/>
      <c r="E181" s="3"/>
    </row>
    <row r="182" spans="2:5" ht="15" x14ac:dyDescent="0.25">
      <c r="B182" s="3"/>
      <c r="C182" s="3"/>
      <c r="D182" s="3"/>
      <c r="E182" s="3"/>
    </row>
    <row r="183" spans="2:5" ht="15" x14ac:dyDescent="0.25">
      <c r="B183" s="3"/>
      <c r="C183" s="3"/>
      <c r="D183" s="3"/>
      <c r="E183" s="3"/>
    </row>
    <row r="184" spans="2:5" ht="15" x14ac:dyDescent="0.25">
      <c r="B184" s="3"/>
      <c r="C184" s="3"/>
      <c r="D184" s="3"/>
      <c r="E184" s="3"/>
    </row>
    <row r="185" spans="2:5" ht="15" x14ac:dyDescent="0.25">
      <c r="B185" s="3"/>
      <c r="C185" s="3"/>
      <c r="D185" s="3"/>
      <c r="E185" s="3"/>
    </row>
    <row r="186" spans="2:5" ht="15" x14ac:dyDescent="0.25">
      <c r="B186" s="3"/>
      <c r="C186" s="3"/>
      <c r="D186" s="3"/>
      <c r="E186" s="3"/>
    </row>
    <row r="187" spans="2:5" ht="15" x14ac:dyDescent="0.25">
      <c r="B187" s="3"/>
      <c r="C187" s="3"/>
      <c r="D187" s="3"/>
      <c r="E187" s="3"/>
    </row>
    <row r="188" spans="2:5" ht="15" x14ac:dyDescent="0.25">
      <c r="B188" s="3"/>
      <c r="C188" s="3"/>
      <c r="D188" s="3"/>
      <c r="E188" s="3"/>
    </row>
    <row r="189" spans="2:5" ht="15" x14ac:dyDescent="0.25">
      <c r="B189" s="3"/>
      <c r="C189" s="3"/>
      <c r="D189" s="3"/>
      <c r="E189" s="3"/>
    </row>
    <row r="190" spans="2:5" ht="15" x14ac:dyDescent="0.25">
      <c r="B190" s="3"/>
      <c r="C190" s="3"/>
      <c r="D190" s="3"/>
      <c r="E190" s="3"/>
    </row>
    <row r="191" spans="2:5" ht="15" x14ac:dyDescent="0.25">
      <c r="B191" s="3"/>
      <c r="C191" s="3"/>
      <c r="D191" s="3"/>
      <c r="E191" s="3"/>
    </row>
    <row r="192" spans="2:5" ht="15" x14ac:dyDescent="0.25">
      <c r="B192" s="3"/>
      <c r="C192" s="3"/>
      <c r="D192" s="3"/>
      <c r="E192" s="3"/>
    </row>
    <row r="193" spans="2:5" ht="15" x14ac:dyDescent="0.25">
      <c r="B193" s="3"/>
      <c r="C193" s="3"/>
      <c r="D193" s="3"/>
      <c r="E193" s="3"/>
    </row>
    <row r="194" spans="2:5" ht="15" x14ac:dyDescent="0.25">
      <c r="B194" s="3"/>
      <c r="C194" s="3"/>
      <c r="D194" s="3"/>
      <c r="E194" s="3"/>
    </row>
    <row r="195" spans="2:5" ht="15" x14ac:dyDescent="0.25">
      <c r="B195" s="3"/>
      <c r="C195" s="3"/>
      <c r="D195" s="3"/>
      <c r="E195" s="3"/>
    </row>
    <row r="196" spans="2:5" ht="15" x14ac:dyDescent="0.25">
      <c r="B196" s="3"/>
      <c r="C196" s="3"/>
      <c r="D196" s="3"/>
      <c r="E196" s="3"/>
    </row>
    <row r="197" spans="2:5" ht="15" x14ac:dyDescent="0.25">
      <c r="B197" s="3"/>
      <c r="C197" s="3"/>
      <c r="D197" s="3"/>
      <c r="E197" s="3"/>
    </row>
    <row r="198" spans="2:5" ht="15" x14ac:dyDescent="0.25">
      <c r="B198" s="3"/>
      <c r="C198" s="3"/>
      <c r="D198" s="3"/>
      <c r="E198" s="3"/>
    </row>
    <row r="199" spans="2:5" ht="15" x14ac:dyDescent="0.25">
      <c r="B199" s="3"/>
      <c r="C199" s="3"/>
      <c r="D199" s="3"/>
      <c r="E199" s="3"/>
    </row>
    <row r="200" spans="2:5" ht="15" x14ac:dyDescent="0.25">
      <c r="B200" s="3"/>
      <c r="C200" s="3"/>
      <c r="D200" s="3"/>
      <c r="E200" s="3"/>
    </row>
    <row r="201" spans="2:5" ht="15" x14ac:dyDescent="0.25">
      <c r="B201" s="3"/>
      <c r="C201" s="3"/>
      <c r="D201" s="3"/>
      <c r="E201" s="3"/>
    </row>
    <row r="202" spans="2:5" ht="15" x14ac:dyDescent="0.25">
      <c r="B202" s="3"/>
      <c r="C202" s="3"/>
      <c r="D202" s="3"/>
      <c r="E202" s="3"/>
    </row>
    <row r="203" spans="2:5" ht="15" x14ac:dyDescent="0.25">
      <c r="B203" s="3"/>
      <c r="C203" s="3"/>
      <c r="D203" s="3"/>
      <c r="E203" s="3"/>
    </row>
    <row r="204" spans="2:5" ht="15" x14ac:dyDescent="0.25">
      <c r="B204" s="3"/>
      <c r="C204" s="3"/>
      <c r="D204" s="3"/>
      <c r="E204" s="3"/>
    </row>
    <row r="205" spans="2:5" ht="15" x14ac:dyDescent="0.25">
      <c r="B205" s="3"/>
      <c r="C205" s="3"/>
      <c r="D205" s="3"/>
      <c r="E205" s="3"/>
    </row>
    <row r="206" spans="2:5" ht="15" x14ac:dyDescent="0.25">
      <c r="B206" s="3"/>
      <c r="C206" s="3"/>
      <c r="D206" s="3"/>
      <c r="E206" s="3"/>
    </row>
    <row r="207" spans="2:5" ht="15" x14ac:dyDescent="0.25">
      <c r="B207" s="3"/>
      <c r="C207" s="3"/>
      <c r="D207" s="3"/>
      <c r="E207" s="3"/>
    </row>
    <row r="208" spans="2:5" ht="15" x14ac:dyDescent="0.25">
      <c r="B208" s="3"/>
      <c r="C208" s="3"/>
      <c r="D208" s="3"/>
      <c r="E208" s="3"/>
    </row>
    <row r="209" spans="2:5" ht="15" x14ac:dyDescent="0.25">
      <c r="B209" s="3"/>
      <c r="C209" s="3"/>
      <c r="D209" s="3"/>
      <c r="E209" s="3"/>
    </row>
    <row r="210" spans="2:5" ht="15" x14ac:dyDescent="0.25">
      <c r="B210" s="3"/>
      <c r="C210" s="3"/>
      <c r="D210" s="3"/>
      <c r="E210" s="3"/>
    </row>
    <row r="211" spans="2:5" ht="15" x14ac:dyDescent="0.25">
      <c r="B211" s="3"/>
      <c r="C211" s="3"/>
      <c r="D211" s="3"/>
      <c r="E211" s="3"/>
    </row>
    <row r="212" spans="2:5" ht="15" x14ac:dyDescent="0.25">
      <c r="B212" s="3"/>
      <c r="C212" s="3"/>
      <c r="D212" s="3"/>
      <c r="E212" s="3"/>
    </row>
    <row r="213" spans="2:5" ht="15" x14ac:dyDescent="0.25">
      <c r="B213" s="3"/>
      <c r="C213" s="3"/>
      <c r="D213" s="3"/>
      <c r="E213" s="3"/>
    </row>
    <row r="214" spans="2:5" ht="15" x14ac:dyDescent="0.25">
      <c r="B214" s="3"/>
      <c r="C214" s="3"/>
      <c r="D214" s="3"/>
      <c r="E214" s="3"/>
    </row>
    <row r="215" spans="2:5" ht="15" x14ac:dyDescent="0.25">
      <c r="B215" s="3"/>
      <c r="C215" s="3"/>
      <c r="D215" s="3"/>
      <c r="E215" s="3"/>
    </row>
    <row r="216" spans="2:5" ht="15" x14ac:dyDescent="0.25">
      <c r="B216" s="3"/>
      <c r="C216" s="3"/>
      <c r="D216" s="3"/>
      <c r="E216" s="3"/>
    </row>
    <row r="217" spans="2:5" ht="15" x14ac:dyDescent="0.25">
      <c r="B217" s="3"/>
      <c r="C217" s="3"/>
      <c r="D217" s="3"/>
      <c r="E217" s="3"/>
    </row>
    <row r="218" spans="2:5" ht="15" x14ac:dyDescent="0.25">
      <c r="B218" s="3"/>
      <c r="C218" s="3"/>
      <c r="D218" s="3"/>
      <c r="E218" s="3"/>
    </row>
    <row r="219" spans="2:5" ht="15" x14ac:dyDescent="0.25">
      <c r="B219" s="3"/>
      <c r="C219" s="3"/>
      <c r="D219" s="3"/>
      <c r="E219" s="3"/>
    </row>
    <row r="220" spans="2:5" ht="15" x14ac:dyDescent="0.25">
      <c r="B220" s="3"/>
      <c r="C220" s="3"/>
      <c r="D220" s="3"/>
      <c r="E220" s="3"/>
    </row>
    <row r="221" spans="2:5" ht="15" x14ac:dyDescent="0.25">
      <c r="B221" s="3"/>
      <c r="C221" s="3"/>
      <c r="D221" s="3"/>
      <c r="E221" s="3"/>
    </row>
    <row r="222" spans="2:5" ht="15" x14ac:dyDescent="0.25">
      <c r="B222" s="3"/>
      <c r="C222" s="3"/>
      <c r="D222" s="3"/>
      <c r="E222" s="3"/>
    </row>
    <row r="223" spans="2:5" ht="15" x14ac:dyDescent="0.25">
      <c r="B223" s="3"/>
      <c r="C223" s="3"/>
      <c r="D223" s="3"/>
      <c r="E223" s="3"/>
    </row>
    <row r="224" spans="2:5" ht="15" x14ac:dyDescent="0.25">
      <c r="B224" s="3"/>
      <c r="C224" s="3"/>
      <c r="D224" s="3"/>
      <c r="E224" s="3"/>
    </row>
    <row r="225" spans="2:5" ht="15" x14ac:dyDescent="0.25">
      <c r="B225" s="3"/>
      <c r="C225" s="3"/>
      <c r="D225" s="3"/>
      <c r="E225" s="3"/>
    </row>
    <row r="226" spans="2:5" ht="15" x14ac:dyDescent="0.25">
      <c r="B226" s="3"/>
      <c r="C226" s="3"/>
      <c r="D226" s="3"/>
      <c r="E226" s="3"/>
    </row>
    <row r="227" spans="2:5" ht="15" x14ac:dyDescent="0.25">
      <c r="B227" s="3"/>
      <c r="C227" s="3"/>
      <c r="D227" s="3"/>
      <c r="E227" s="3"/>
    </row>
    <row r="228" spans="2:5" ht="15" x14ac:dyDescent="0.25">
      <c r="B228" s="3"/>
      <c r="C228" s="3"/>
      <c r="D228" s="3"/>
      <c r="E228" s="3"/>
    </row>
    <row r="229" spans="2:5" ht="15" x14ac:dyDescent="0.25">
      <c r="B229" s="3"/>
      <c r="C229" s="3"/>
      <c r="D229" s="3"/>
      <c r="E229" s="3"/>
    </row>
    <row r="230" spans="2:5" ht="15" x14ac:dyDescent="0.25">
      <c r="B230" s="3"/>
      <c r="C230" s="3"/>
      <c r="D230" s="3"/>
      <c r="E230" s="3"/>
    </row>
    <row r="231" spans="2:5" ht="15" x14ac:dyDescent="0.25">
      <c r="B231" s="3"/>
      <c r="C231" s="3"/>
      <c r="D231" s="3"/>
      <c r="E231" s="3"/>
    </row>
    <row r="232" spans="2:5" ht="15" x14ac:dyDescent="0.25">
      <c r="B232" s="3"/>
      <c r="C232" s="3"/>
      <c r="D232" s="3"/>
      <c r="E232" s="3"/>
    </row>
    <row r="233" spans="2:5" ht="15" x14ac:dyDescent="0.25">
      <c r="B233" s="3"/>
      <c r="C233" s="3"/>
      <c r="D233" s="3"/>
      <c r="E233" s="3"/>
    </row>
    <row r="234" spans="2:5" ht="15" x14ac:dyDescent="0.25">
      <c r="B234" s="3"/>
      <c r="C234" s="3"/>
      <c r="D234" s="3"/>
      <c r="E234" s="3"/>
    </row>
    <row r="235" spans="2:5" ht="15" x14ac:dyDescent="0.25">
      <c r="B235" s="3"/>
      <c r="C235" s="3"/>
      <c r="D235" s="3"/>
      <c r="E235" s="3"/>
    </row>
    <row r="236" spans="2:5" ht="15" x14ac:dyDescent="0.25">
      <c r="B236" s="3"/>
      <c r="C236" s="3"/>
      <c r="D236" s="3"/>
      <c r="E236" s="3"/>
    </row>
    <row r="237" spans="2:5" ht="15" x14ac:dyDescent="0.25">
      <c r="B237" s="3"/>
      <c r="C237" s="3"/>
      <c r="D237" s="3"/>
      <c r="E237" s="3"/>
    </row>
    <row r="238" spans="2:5" ht="15" x14ac:dyDescent="0.25">
      <c r="B238" s="3"/>
      <c r="C238" s="3"/>
      <c r="D238" s="3"/>
      <c r="E238" s="3"/>
    </row>
    <row r="239" spans="2:5" ht="15" x14ac:dyDescent="0.25">
      <c r="B239" s="3"/>
      <c r="C239" s="3"/>
      <c r="D239" s="3"/>
      <c r="E239" s="3"/>
    </row>
    <row r="240" spans="2:5" ht="15" x14ac:dyDescent="0.25">
      <c r="B240" s="3"/>
      <c r="C240" s="3"/>
      <c r="D240" s="3"/>
      <c r="E240" s="3"/>
    </row>
    <row r="241" spans="2:5" ht="15" x14ac:dyDescent="0.25">
      <c r="B241" s="3"/>
      <c r="C241" s="3"/>
      <c r="D241" s="3"/>
      <c r="E241" s="3"/>
    </row>
    <row r="242" spans="2:5" ht="15" x14ac:dyDescent="0.25">
      <c r="B242" s="3"/>
      <c r="C242" s="3"/>
      <c r="D242" s="3"/>
      <c r="E242" s="3"/>
    </row>
    <row r="243" spans="2:5" ht="15" x14ac:dyDescent="0.25">
      <c r="B243" s="3"/>
      <c r="C243" s="3"/>
      <c r="D243" s="3"/>
      <c r="E243" s="3"/>
    </row>
    <row r="244" spans="2:5" ht="15" x14ac:dyDescent="0.25">
      <c r="B244" s="3"/>
      <c r="C244" s="3"/>
      <c r="D244" s="3"/>
      <c r="E244" s="3"/>
    </row>
    <row r="245" spans="2:5" ht="15" x14ac:dyDescent="0.25">
      <c r="B245" s="3"/>
      <c r="C245" s="3"/>
      <c r="D245" s="3"/>
      <c r="E245" s="3"/>
    </row>
    <row r="246" spans="2:5" ht="15" x14ac:dyDescent="0.25">
      <c r="B246" s="3"/>
      <c r="C246" s="3"/>
      <c r="D246" s="3"/>
      <c r="E246" s="3"/>
    </row>
    <row r="247" spans="2:5" ht="15" x14ac:dyDescent="0.25">
      <c r="B247" s="3"/>
      <c r="C247" s="3"/>
      <c r="D247" s="3"/>
      <c r="E247" s="3"/>
    </row>
    <row r="248" spans="2:5" ht="15" x14ac:dyDescent="0.25">
      <c r="B248" s="3"/>
      <c r="C248" s="3"/>
      <c r="D248" s="3"/>
      <c r="E248" s="3"/>
    </row>
    <row r="249" spans="2:5" ht="15" x14ac:dyDescent="0.25">
      <c r="B249" s="3"/>
      <c r="C249" s="3"/>
      <c r="D249" s="3"/>
      <c r="E249" s="3"/>
    </row>
    <row r="250" spans="2:5" ht="15" x14ac:dyDescent="0.25">
      <c r="B250" s="3"/>
      <c r="C250" s="3"/>
      <c r="D250" s="3"/>
      <c r="E250" s="3"/>
    </row>
    <row r="251" spans="2:5" ht="15" x14ac:dyDescent="0.25">
      <c r="B251" s="3"/>
      <c r="C251" s="3"/>
      <c r="D251" s="3"/>
      <c r="E251" s="3"/>
    </row>
    <row r="252" spans="2:5" ht="15" x14ac:dyDescent="0.25">
      <c r="B252" s="3"/>
      <c r="C252" s="3"/>
      <c r="D252" s="3"/>
      <c r="E252" s="3"/>
    </row>
    <row r="253" spans="2:5" ht="15" x14ac:dyDescent="0.25">
      <c r="B253" s="3"/>
      <c r="C253" s="3"/>
      <c r="D253" s="3"/>
      <c r="E253" s="3"/>
    </row>
    <row r="254" spans="2:5" ht="15" x14ac:dyDescent="0.25">
      <c r="B254" s="3"/>
      <c r="C254" s="3"/>
      <c r="D254" s="3"/>
      <c r="E254" s="3"/>
    </row>
    <row r="255" spans="2:5" ht="15" x14ac:dyDescent="0.25">
      <c r="B255" s="3"/>
      <c r="C255" s="3"/>
      <c r="D255" s="3"/>
      <c r="E255" s="3"/>
    </row>
    <row r="256" spans="2:5" ht="15" x14ac:dyDescent="0.25">
      <c r="B256" s="3"/>
      <c r="C256" s="3"/>
      <c r="D256" s="3"/>
      <c r="E256" s="3"/>
    </row>
    <row r="257" spans="2:5" ht="15" x14ac:dyDescent="0.25">
      <c r="B257" s="3"/>
      <c r="C257" s="3"/>
      <c r="D257" s="3"/>
      <c r="E257" s="3"/>
    </row>
    <row r="258" spans="2:5" ht="15" x14ac:dyDescent="0.25">
      <c r="B258" s="3"/>
      <c r="C258" s="3"/>
      <c r="D258" s="3"/>
      <c r="E258" s="3"/>
    </row>
    <row r="259" spans="2:5" ht="15" x14ac:dyDescent="0.25">
      <c r="B259" s="3"/>
      <c r="C259" s="3"/>
      <c r="D259" s="3"/>
      <c r="E259" s="3"/>
    </row>
    <row r="260" spans="2:5" ht="15" x14ac:dyDescent="0.25">
      <c r="B260" s="3"/>
      <c r="C260" s="3"/>
      <c r="D260" s="3"/>
      <c r="E260" s="3"/>
    </row>
    <row r="261" spans="2:5" ht="15" x14ac:dyDescent="0.25">
      <c r="B261" s="3"/>
      <c r="C261" s="3"/>
      <c r="D261" s="3"/>
      <c r="E261" s="3"/>
    </row>
    <row r="262" spans="2:5" ht="15" x14ac:dyDescent="0.25">
      <c r="B262" s="3"/>
      <c r="C262" s="3"/>
      <c r="D262" s="3"/>
      <c r="E262" s="3"/>
    </row>
    <row r="263" spans="2:5" ht="15" x14ac:dyDescent="0.25">
      <c r="B263" s="3"/>
      <c r="C263" s="3"/>
      <c r="D263" s="3"/>
      <c r="E263" s="3"/>
    </row>
    <row r="264" spans="2:5" ht="15" x14ac:dyDescent="0.25">
      <c r="B264" s="3"/>
      <c r="C264" s="3"/>
      <c r="D264" s="3"/>
      <c r="E264" s="3"/>
    </row>
    <row r="265" spans="2:5" ht="15" x14ac:dyDescent="0.25">
      <c r="B265" s="3"/>
      <c r="C265" s="3"/>
      <c r="D265" s="3"/>
      <c r="E265" s="3"/>
    </row>
    <row r="266" spans="2:5" ht="15" x14ac:dyDescent="0.25">
      <c r="B266" s="3"/>
      <c r="C266" s="3"/>
      <c r="D266" s="3"/>
      <c r="E266" s="3"/>
    </row>
    <row r="267" spans="2:5" ht="15" x14ac:dyDescent="0.25">
      <c r="B267" s="3"/>
      <c r="C267" s="3"/>
      <c r="D267" s="3"/>
      <c r="E267" s="3"/>
    </row>
    <row r="268" spans="2:5" ht="15" x14ac:dyDescent="0.25">
      <c r="B268" s="3"/>
      <c r="C268" s="3"/>
      <c r="D268" s="3"/>
      <c r="E268" s="3"/>
    </row>
    <row r="269" spans="2:5" ht="15" x14ac:dyDescent="0.25">
      <c r="B269" s="3"/>
      <c r="C269" s="3"/>
      <c r="D269" s="3"/>
      <c r="E269" s="3"/>
    </row>
    <row r="270" spans="2:5" ht="15" x14ac:dyDescent="0.25">
      <c r="B270" s="3"/>
      <c r="C270" s="3"/>
      <c r="D270" s="3"/>
      <c r="E270" s="3"/>
    </row>
    <row r="271" spans="2:5" ht="15" x14ac:dyDescent="0.25">
      <c r="B271" s="3"/>
      <c r="C271" s="3"/>
      <c r="D271" s="3"/>
      <c r="E271" s="3"/>
    </row>
    <row r="272" spans="2:5" ht="15" x14ac:dyDescent="0.25">
      <c r="B272" s="3"/>
      <c r="C272" s="3"/>
      <c r="D272" s="3"/>
      <c r="E272" s="3"/>
    </row>
    <row r="273" spans="2:5" ht="15" x14ac:dyDescent="0.25">
      <c r="B273" s="3"/>
      <c r="C273" s="3"/>
      <c r="D273" s="3"/>
      <c r="E273" s="3"/>
    </row>
    <row r="274" spans="2:5" ht="15" x14ac:dyDescent="0.25">
      <c r="B274" s="3"/>
      <c r="C274" s="3"/>
      <c r="D274" s="3"/>
      <c r="E274" s="3"/>
    </row>
    <row r="275" spans="2:5" ht="15" x14ac:dyDescent="0.25">
      <c r="B275" s="3"/>
      <c r="C275" s="3"/>
      <c r="D275" s="3"/>
      <c r="E275" s="3"/>
    </row>
    <row r="276" spans="2:5" ht="15" x14ac:dyDescent="0.25">
      <c r="B276" s="3"/>
      <c r="C276" s="3"/>
      <c r="D276" s="3"/>
      <c r="E276" s="3"/>
    </row>
    <row r="277" spans="2:5" ht="15" x14ac:dyDescent="0.25">
      <c r="B277" s="3"/>
      <c r="C277" s="3"/>
      <c r="D277" s="3"/>
      <c r="E277" s="3"/>
    </row>
    <row r="278" spans="2:5" ht="15" x14ac:dyDescent="0.25">
      <c r="B278" s="3"/>
      <c r="C278" s="3"/>
      <c r="D278" s="3"/>
      <c r="E278" s="3"/>
    </row>
    <row r="279" spans="2:5" ht="15" x14ac:dyDescent="0.25">
      <c r="B279" s="3"/>
      <c r="C279" s="3"/>
      <c r="D279" s="3"/>
      <c r="E279" s="3"/>
    </row>
    <row r="280" spans="2:5" ht="15" x14ac:dyDescent="0.25">
      <c r="B280" s="3"/>
      <c r="C280" s="3"/>
      <c r="D280" s="3"/>
      <c r="E280" s="3"/>
    </row>
    <row r="281" spans="2:5" ht="15" x14ac:dyDescent="0.25">
      <c r="B281" s="3"/>
      <c r="C281" s="3"/>
      <c r="D281" s="3"/>
      <c r="E281" s="3"/>
    </row>
    <row r="282" spans="2:5" ht="15" x14ac:dyDescent="0.25">
      <c r="B282" s="3"/>
      <c r="C282" s="3"/>
      <c r="D282" s="3"/>
      <c r="E282" s="3"/>
    </row>
    <row r="283" spans="2:5" ht="15" x14ac:dyDescent="0.25">
      <c r="B283" s="3"/>
      <c r="C283" s="3"/>
      <c r="D283" s="3"/>
      <c r="E283" s="3"/>
    </row>
    <row r="284" spans="2:5" ht="15" x14ac:dyDescent="0.25">
      <c r="B284" s="3"/>
      <c r="C284" s="3"/>
      <c r="D284" s="3"/>
      <c r="E284" s="3"/>
    </row>
    <row r="285" spans="2:5" ht="15" x14ac:dyDescent="0.25">
      <c r="B285" s="3"/>
      <c r="C285" s="3"/>
      <c r="D285" s="3"/>
      <c r="E285" s="3"/>
    </row>
    <row r="286" spans="2:5" ht="15" x14ac:dyDescent="0.25">
      <c r="B286" s="3"/>
      <c r="C286" s="3"/>
      <c r="D286" s="3"/>
      <c r="E286" s="3"/>
    </row>
    <row r="287" spans="2:5" ht="15" x14ac:dyDescent="0.25">
      <c r="B287" s="3"/>
      <c r="C287" s="3"/>
      <c r="D287" s="3"/>
      <c r="E287" s="3"/>
    </row>
    <row r="288" spans="2:5" ht="15" x14ac:dyDescent="0.25">
      <c r="B288" s="3"/>
      <c r="C288" s="3"/>
      <c r="D288" s="3"/>
      <c r="E288" s="3"/>
    </row>
    <row r="289" spans="2:5" ht="15" x14ac:dyDescent="0.25">
      <c r="B289" s="3"/>
      <c r="C289" s="3"/>
      <c r="D289" s="3"/>
      <c r="E289" s="3"/>
    </row>
    <row r="290" spans="2:5" ht="15" x14ac:dyDescent="0.25">
      <c r="B290" s="3"/>
      <c r="C290" s="3"/>
      <c r="D290" s="3"/>
      <c r="E290" s="3"/>
    </row>
    <row r="291" spans="2:5" ht="15" x14ac:dyDescent="0.25">
      <c r="B291" s="3"/>
      <c r="C291" s="3"/>
      <c r="D291" s="3"/>
      <c r="E291" s="3"/>
    </row>
    <row r="292" spans="2:5" ht="15" x14ac:dyDescent="0.25">
      <c r="B292" s="3"/>
      <c r="C292" s="3"/>
      <c r="D292" s="3"/>
      <c r="E292" s="3"/>
    </row>
    <row r="293" spans="2:5" ht="15" x14ac:dyDescent="0.25">
      <c r="B293" s="3"/>
      <c r="C293" s="3"/>
      <c r="D293" s="3"/>
      <c r="E293" s="3"/>
    </row>
    <row r="294" spans="2:5" ht="15" x14ac:dyDescent="0.25">
      <c r="B294" s="3"/>
      <c r="C294" s="3"/>
      <c r="D294" s="3"/>
      <c r="E294" s="3"/>
    </row>
    <row r="295" spans="2:5" ht="15" x14ac:dyDescent="0.25">
      <c r="B295" s="3"/>
      <c r="C295" s="3"/>
      <c r="D295" s="3"/>
      <c r="E295" s="3"/>
    </row>
    <row r="296" spans="2:5" ht="15" x14ac:dyDescent="0.25">
      <c r="B296" s="3"/>
      <c r="C296" s="3"/>
      <c r="D296" s="3"/>
      <c r="E296" s="3"/>
    </row>
    <row r="297" spans="2:5" ht="15" x14ac:dyDescent="0.25">
      <c r="B297" s="3"/>
      <c r="C297" s="3"/>
      <c r="D297" s="3"/>
      <c r="E297" s="3"/>
    </row>
    <row r="298" spans="2:5" ht="15" x14ac:dyDescent="0.25">
      <c r="B298" s="3"/>
      <c r="C298" s="3"/>
      <c r="D298" s="3"/>
      <c r="E298" s="3"/>
    </row>
    <row r="299" spans="2:5" ht="15" x14ac:dyDescent="0.25">
      <c r="B299" s="3"/>
      <c r="C299" s="3"/>
      <c r="D299" s="3"/>
      <c r="E299" s="3"/>
    </row>
    <row r="300" spans="2:5" ht="15" x14ac:dyDescent="0.25">
      <c r="B300" s="3"/>
      <c r="C300" s="3"/>
      <c r="D300" s="3"/>
      <c r="E300" s="3"/>
    </row>
    <row r="301" spans="2:5" ht="15" x14ac:dyDescent="0.25">
      <c r="B301" s="3"/>
      <c r="C301" s="3"/>
      <c r="D301" s="3"/>
      <c r="E301" s="3"/>
    </row>
    <row r="302" spans="2:5" ht="15" x14ac:dyDescent="0.25">
      <c r="B302" s="3"/>
      <c r="C302" s="3"/>
      <c r="D302" s="3"/>
      <c r="E302" s="3"/>
    </row>
    <row r="303" spans="2:5" ht="15" x14ac:dyDescent="0.25">
      <c r="B303" s="3"/>
      <c r="C303" s="3"/>
      <c r="D303" s="3"/>
      <c r="E303" s="3"/>
    </row>
    <row r="304" spans="2:5" ht="15" x14ac:dyDescent="0.25">
      <c r="B304" s="3"/>
      <c r="C304" s="3"/>
      <c r="D304" s="3"/>
      <c r="E304" s="3"/>
    </row>
    <row r="305" spans="2:5" ht="15" x14ac:dyDescent="0.25">
      <c r="B305" s="3"/>
      <c r="C305" s="3"/>
      <c r="D305" s="3"/>
      <c r="E305" s="3"/>
    </row>
    <row r="306" spans="2:5" ht="15" x14ac:dyDescent="0.25">
      <c r="B306" s="3"/>
      <c r="C306" s="3"/>
      <c r="D306" s="3"/>
      <c r="E306" s="3"/>
    </row>
    <row r="307" spans="2:5" ht="15" x14ac:dyDescent="0.25">
      <c r="B307" s="3"/>
      <c r="C307" s="3"/>
      <c r="D307" s="3"/>
      <c r="E307" s="3"/>
    </row>
    <row r="308" spans="2:5" ht="15" x14ac:dyDescent="0.25">
      <c r="B308" s="3"/>
      <c r="C308" s="3"/>
      <c r="D308" s="3"/>
      <c r="E308" s="3"/>
    </row>
    <row r="309" spans="2:5" ht="15" x14ac:dyDescent="0.25">
      <c r="B309" s="3"/>
      <c r="C309" s="3"/>
      <c r="D309" s="3"/>
      <c r="E309" s="3"/>
    </row>
    <row r="310" spans="2:5" ht="15" x14ac:dyDescent="0.25">
      <c r="B310" s="3"/>
      <c r="C310" s="3"/>
      <c r="D310" s="3"/>
      <c r="E310" s="3"/>
    </row>
    <row r="311" spans="2:5" ht="15" x14ac:dyDescent="0.25">
      <c r="B311" s="3"/>
      <c r="C311" s="3"/>
      <c r="D311" s="3"/>
      <c r="E311" s="3"/>
    </row>
    <row r="312" spans="2:5" ht="15" x14ac:dyDescent="0.25">
      <c r="B312" s="3"/>
      <c r="C312" s="3"/>
      <c r="D312" s="3"/>
      <c r="E312" s="3"/>
    </row>
    <row r="313" spans="2:5" ht="15" x14ac:dyDescent="0.25">
      <c r="B313" s="3"/>
      <c r="C313" s="3"/>
      <c r="D313" s="3"/>
      <c r="E313" s="3"/>
    </row>
    <row r="314" spans="2:5" ht="15" x14ac:dyDescent="0.25">
      <c r="B314" s="3"/>
      <c r="C314" s="3"/>
      <c r="D314" s="3"/>
      <c r="E314" s="3"/>
    </row>
    <row r="315" spans="2:5" ht="15" x14ac:dyDescent="0.25">
      <c r="B315" s="3"/>
      <c r="C315" s="3"/>
      <c r="D315" s="3"/>
      <c r="E315" s="3"/>
    </row>
    <row r="316" spans="2:5" ht="15" x14ac:dyDescent="0.25">
      <c r="B316" s="3"/>
      <c r="C316" s="3"/>
      <c r="D316" s="3"/>
      <c r="E316" s="3"/>
    </row>
    <row r="317" spans="2:5" ht="15" x14ac:dyDescent="0.25">
      <c r="B317" s="3"/>
      <c r="C317" s="3"/>
      <c r="D317" s="3"/>
      <c r="E317" s="3"/>
    </row>
    <row r="318" spans="2:5" ht="15" x14ac:dyDescent="0.25">
      <c r="B318" s="3"/>
      <c r="C318" s="3"/>
      <c r="D318" s="3"/>
      <c r="E318" s="3"/>
    </row>
    <row r="319" spans="2:5" ht="15" x14ac:dyDescent="0.25">
      <c r="B319" s="3"/>
      <c r="C319" s="3"/>
      <c r="D319" s="3"/>
      <c r="E319" s="3"/>
    </row>
    <row r="320" spans="2:5" ht="15" x14ac:dyDescent="0.25">
      <c r="B320" s="3"/>
      <c r="C320" s="3"/>
      <c r="D320" s="3"/>
      <c r="E320" s="3"/>
    </row>
    <row r="321" spans="2:5" ht="15" x14ac:dyDescent="0.25">
      <c r="B321" s="3"/>
      <c r="C321" s="3"/>
      <c r="D321" s="3"/>
      <c r="E321" s="3"/>
    </row>
    <row r="322" spans="2:5" ht="15" x14ac:dyDescent="0.25">
      <c r="B322" s="3"/>
      <c r="C322" s="3"/>
      <c r="D322" s="3"/>
      <c r="E322" s="3"/>
    </row>
    <row r="323" spans="2:5" ht="15" x14ac:dyDescent="0.25">
      <c r="B323" s="3"/>
      <c r="C323" s="3"/>
      <c r="D323" s="3"/>
      <c r="E323" s="3"/>
    </row>
    <row r="324" spans="2:5" ht="15" x14ac:dyDescent="0.25">
      <c r="B324" s="3"/>
      <c r="C324" s="3"/>
      <c r="D324" s="3"/>
      <c r="E324" s="3"/>
    </row>
    <row r="325" spans="2:5" ht="15" x14ac:dyDescent="0.25">
      <c r="B325" s="3"/>
      <c r="C325" s="3"/>
      <c r="D325" s="3"/>
      <c r="E325" s="3"/>
    </row>
    <row r="326" spans="2:5" ht="15" x14ac:dyDescent="0.25">
      <c r="B326" s="3"/>
      <c r="C326" s="3"/>
      <c r="D326" s="3"/>
      <c r="E326" s="3"/>
    </row>
    <row r="327" spans="2:5" ht="15" x14ac:dyDescent="0.25">
      <c r="B327" s="3"/>
      <c r="C327" s="3"/>
      <c r="D327" s="3"/>
      <c r="E327" s="3"/>
    </row>
    <row r="328" spans="2:5" ht="15" x14ac:dyDescent="0.25">
      <c r="B328" s="3"/>
      <c r="C328" s="3"/>
      <c r="D328" s="3"/>
      <c r="E328" s="3"/>
    </row>
    <row r="329" spans="2:5" ht="15" x14ac:dyDescent="0.25">
      <c r="B329" s="3"/>
      <c r="C329" s="3"/>
      <c r="D329" s="3"/>
      <c r="E329" s="3"/>
    </row>
    <row r="330" spans="2:5" ht="15" x14ac:dyDescent="0.25">
      <c r="B330" s="3"/>
      <c r="C330" s="3"/>
      <c r="D330" s="3"/>
      <c r="E330" s="3"/>
    </row>
    <row r="331" spans="2:5" ht="15" x14ac:dyDescent="0.25">
      <c r="B331" s="3"/>
      <c r="C331" s="3"/>
      <c r="D331" s="3"/>
      <c r="E331" s="3"/>
    </row>
    <row r="332" spans="2:5" ht="15" x14ac:dyDescent="0.25">
      <c r="B332" s="3"/>
      <c r="C332" s="3"/>
      <c r="D332" s="3"/>
      <c r="E332" s="3"/>
    </row>
    <row r="333" spans="2:5" ht="15" x14ac:dyDescent="0.25">
      <c r="B333" s="3"/>
      <c r="C333" s="3"/>
      <c r="D333" s="3"/>
      <c r="E333" s="3"/>
    </row>
    <row r="334" spans="2:5" ht="15" x14ac:dyDescent="0.25">
      <c r="B334" s="3"/>
      <c r="C334" s="3"/>
      <c r="D334" s="3"/>
      <c r="E334" s="3"/>
    </row>
    <row r="335" spans="2:5" ht="15" x14ac:dyDescent="0.25">
      <c r="B335" s="3"/>
      <c r="C335" s="3"/>
      <c r="D335" s="3"/>
      <c r="E335" s="3"/>
    </row>
    <row r="336" spans="2:5" ht="15" x14ac:dyDescent="0.25">
      <c r="B336" s="3"/>
      <c r="C336" s="3"/>
      <c r="D336" s="3"/>
      <c r="E336" s="3"/>
    </row>
    <row r="337" spans="2:5" ht="15" x14ac:dyDescent="0.25">
      <c r="B337" s="3"/>
      <c r="C337" s="3"/>
      <c r="D337" s="3"/>
      <c r="E337" s="3"/>
    </row>
    <row r="338" spans="2:5" ht="15" x14ac:dyDescent="0.25">
      <c r="B338" s="3"/>
      <c r="C338" s="3"/>
      <c r="D338" s="3"/>
      <c r="E338" s="3"/>
    </row>
    <row r="339" spans="2:5" ht="15" x14ac:dyDescent="0.25">
      <c r="B339" s="3"/>
      <c r="C339" s="3"/>
      <c r="D339" s="3"/>
      <c r="E339" s="3"/>
    </row>
    <row r="340" spans="2:5" ht="15" x14ac:dyDescent="0.25">
      <c r="B340" s="3"/>
      <c r="C340" s="3"/>
      <c r="D340" s="3"/>
      <c r="E340" s="3"/>
    </row>
    <row r="341" spans="2:5" ht="15" x14ac:dyDescent="0.25">
      <c r="B341" s="3"/>
      <c r="C341" s="3"/>
      <c r="D341" s="3"/>
      <c r="E341" s="3"/>
    </row>
    <row r="342" spans="2:5" ht="15" x14ac:dyDescent="0.25">
      <c r="B342" s="3"/>
      <c r="C342" s="3"/>
      <c r="D342" s="3"/>
      <c r="E342" s="3"/>
    </row>
    <row r="343" spans="2:5" ht="15" x14ac:dyDescent="0.25">
      <c r="B343" s="3"/>
      <c r="C343" s="3"/>
      <c r="D343" s="3"/>
      <c r="E343" s="3"/>
    </row>
    <row r="344" spans="2:5" ht="15" x14ac:dyDescent="0.25">
      <c r="B344" s="3"/>
      <c r="C344" s="3"/>
      <c r="D344" s="3"/>
      <c r="E344" s="3"/>
    </row>
    <row r="345" spans="2:5" ht="15" x14ac:dyDescent="0.25">
      <c r="B345" s="3"/>
      <c r="C345" s="3"/>
      <c r="D345" s="3"/>
      <c r="E345" s="3"/>
    </row>
    <row r="346" spans="2:5" ht="15" x14ac:dyDescent="0.25">
      <c r="B346" s="3"/>
      <c r="C346" s="3"/>
      <c r="D346" s="3"/>
      <c r="E346" s="3"/>
    </row>
    <row r="347" spans="2:5" ht="15" x14ac:dyDescent="0.25">
      <c r="B347" s="3"/>
      <c r="C347" s="3"/>
      <c r="D347" s="3"/>
      <c r="E347" s="3"/>
    </row>
    <row r="348" spans="2:5" ht="15" x14ac:dyDescent="0.25">
      <c r="B348" s="3"/>
      <c r="C348" s="3"/>
      <c r="D348" s="3"/>
      <c r="E348" s="3"/>
    </row>
    <row r="349" spans="2:5" ht="15" x14ac:dyDescent="0.25">
      <c r="B349" s="3"/>
      <c r="C349" s="3"/>
      <c r="D349" s="3"/>
      <c r="E349" s="3"/>
    </row>
    <row r="350" spans="2:5" ht="15" x14ac:dyDescent="0.25">
      <c r="B350" s="3"/>
      <c r="C350" s="3"/>
      <c r="D350" s="3"/>
      <c r="E350" s="3"/>
    </row>
    <row r="351" spans="2:5" ht="15" x14ac:dyDescent="0.25">
      <c r="B351" s="3"/>
      <c r="C351" s="3"/>
      <c r="D351" s="3"/>
      <c r="E351" s="3"/>
    </row>
    <row r="352" spans="2:5" ht="15" x14ac:dyDescent="0.25">
      <c r="B352" s="3"/>
      <c r="C352" s="3"/>
      <c r="D352" s="3"/>
      <c r="E352" s="3"/>
    </row>
    <row r="353" spans="2:5" ht="15" x14ac:dyDescent="0.25">
      <c r="B353" s="3"/>
      <c r="C353" s="3"/>
      <c r="D353" s="3"/>
      <c r="E353" s="3"/>
    </row>
    <row r="354" spans="2:5" ht="15" x14ac:dyDescent="0.25">
      <c r="B354" s="3"/>
      <c r="C354" s="3"/>
      <c r="D354" s="3"/>
      <c r="E354" s="3"/>
    </row>
    <row r="355" spans="2:5" ht="15" x14ac:dyDescent="0.25">
      <c r="B355" s="3"/>
      <c r="C355" s="3"/>
      <c r="D355" s="3"/>
      <c r="E355" s="3"/>
    </row>
    <row r="356" spans="2:5" ht="15" x14ac:dyDescent="0.25">
      <c r="B356" s="3"/>
      <c r="C356" s="3"/>
      <c r="D356" s="3"/>
      <c r="E356" s="3"/>
    </row>
    <row r="357" spans="2:5" ht="15" x14ac:dyDescent="0.25">
      <c r="B357" s="3"/>
      <c r="C357" s="3"/>
      <c r="D357" s="3"/>
      <c r="E357" s="3"/>
    </row>
    <row r="358" spans="2:5" ht="15" x14ac:dyDescent="0.25">
      <c r="B358" s="3"/>
      <c r="C358" s="3"/>
      <c r="D358" s="3"/>
      <c r="E358" s="3"/>
    </row>
    <row r="359" spans="2:5" ht="15" x14ac:dyDescent="0.25">
      <c r="B359" s="3"/>
      <c r="C359" s="3"/>
      <c r="D359" s="3"/>
      <c r="E359" s="3"/>
    </row>
    <row r="360" spans="2:5" ht="15" x14ac:dyDescent="0.25">
      <c r="B360" s="3"/>
      <c r="C360" s="3"/>
      <c r="D360" s="3"/>
      <c r="E360" s="3"/>
    </row>
    <row r="361" spans="2:5" ht="15" x14ac:dyDescent="0.25">
      <c r="B361" s="3"/>
      <c r="C361" s="3"/>
      <c r="D361" s="3"/>
      <c r="E361" s="3"/>
    </row>
    <row r="362" spans="2:5" ht="15" x14ac:dyDescent="0.25">
      <c r="B362" s="3"/>
      <c r="C362" s="3"/>
      <c r="D362" s="3"/>
      <c r="E362" s="3"/>
    </row>
    <row r="363" spans="2:5" ht="15" x14ac:dyDescent="0.25">
      <c r="B363" s="3"/>
      <c r="C363" s="3"/>
      <c r="D363" s="3"/>
      <c r="E363" s="3"/>
    </row>
    <row r="364" spans="2:5" ht="15" x14ac:dyDescent="0.25">
      <c r="B364" s="3"/>
      <c r="C364" s="3"/>
      <c r="D364" s="3"/>
      <c r="E364" s="3"/>
    </row>
    <row r="365" spans="2:5" ht="15" x14ac:dyDescent="0.25">
      <c r="B365" s="3"/>
      <c r="C365" s="3"/>
      <c r="D365" s="3"/>
      <c r="E365" s="3"/>
    </row>
    <row r="366" spans="2:5" ht="15" x14ac:dyDescent="0.25">
      <c r="B366" s="3"/>
      <c r="C366" s="3"/>
      <c r="D366" s="3"/>
      <c r="E366" s="3"/>
    </row>
    <row r="367" spans="2:5" ht="15" x14ac:dyDescent="0.25">
      <c r="B367" s="3"/>
      <c r="C367" s="3"/>
      <c r="D367" s="3"/>
      <c r="E367" s="3"/>
    </row>
    <row r="368" spans="2:5" ht="15" x14ac:dyDescent="0.25">
      <c r="B368" s="3"/>
      <c r="C368" s="3"/>
      <c r="D368" s="3"/>
      <c r="E368" s="3"/>
    </row>
    <row r="369" spans="2:5" ht="15" x14ac:dyDescent="0.25">
      <c r="B369" s="3"/>
      <c r="C369" s="3"/>
      <c r="D369" s="3"/>
      <c r="E369" s="3"/>
    </row>
    <row r="370" spans="2:5" ht="15" x14ac:dyDescent="0.25">
      <c r="B370" s="3"/>
      <c r="C370" s="3"/>
      <c r="D370" s="3"/>
      <c r="E370" s="3"/>
    </row>
    <row r="371" spans="2:5" ht="15" x14ac:dyDescent="0.25">
      <c r="B371" s="3"/>
      <c r="C371" s="3"/>
      <c r="D371" s="3"/>
      <c r="E371" s="3"/>
    </row>
    <row r="372" spans="2:5" ht="15" x14ac:dyDescent="0.25">
      <c r="B372" s="3"/>
      <c r="C372" s="3"/>
      <c r="D372" s="3"/>
      <c r="E372" s="3"/>
    </row>
    <row r="373" spans="2:5" ht="15" x14ac:dyDescent="0.25">
      <c r="B373" s="3"/>
      <c r="C373" s="3"/>
      <c r="D373" s="3"/>
      <c r="E373" s="3"/>
    </row>
    <row r="374" spans="2:5" ht="15" x14ac:dyDescent="0.25">
      <c r="B374" s="3"/>
      <c r="C374" s="3"/>
      <c r="D374" s="3"/>
      <c r="E374" s="3"/>
    </row>
    <row r="375" spans="2:5" ht="15" x14ac:dyDescent="0.25">
      <c r="B375" s="3"/>
      <c r="C375" s="3"/>
      <c r="D375" s="3"/>
      <c r="E375" s="3"/>
    </row>
    <row r="376" spans="2:5" ht="15" x14ac:dyDescent="0.25">
      <c r="B376" s="3"/>
      <c r="C376" s="3"/>
      <c r="D376" s="3"/>
      <c r="E376" s="3"/>
    </row>
    <row r="377" spans="2:5" ht="15" x14ac:dyDescent="0.25">
      <c r="B377" s="3"/>
      <c r="C377" s="3"/>
      <c r="D377" s="3"/>
      <c r="E377" s="3"/>
    </row>
    <row r="378" spans="2:5" ht="15" x14ac:dyDescent="0.25">
      <c r="B378" s="3"/>
      <c r="C378" s="3"/>
      <c r="D378" s="3"/>
      <c r="E378" s="3"/>
    </row>
    <row r="379" spans="2:5" ht="15" x14ac:dyDescent="0.25">
      <c r="B379" s="3"/>
      <c r="C379" s="3"/>
      <c r="D379" s="3"/>
      <c r="E379" s="3"/>
    </row>
    <row r="380" spans="2:5" ht="15" x14ac:dyDescent="0.25">
      <c r="B380" s="3"/>
      <c r="C380" s="3"/>
      <c r="D380" s="3"/>
      <c r="E380" s="3"/>
    </row>
    <row r="381" spans="2:5" ht="15" x14ac:dyDescent="0.25">
      <c r="B381" s="3"/>
      <c r="C381" s="3"/>
      <c r="D381" s="3"/>
      <c r="E381" s="3"/>
    </row>
    <row r="382" spans="2:5" ht="15" x14ac:dyDescent="0.25">
      <c r="B382" s="3"/>
      <c r="C382" s="3"/>
      <c r="D382" s="3"/>
      <c r="E382" s="3"/>
    </row>
    <row r="383" spans="2:5" ht="15" x14ac:dyDescent="0.25">
      <c r="B383" s="3"/>
      <c r="C383" s="3"/>
      <c r="D383" s="3"/>
      <c r="E383" s="3"/>
    </row>
    <row r="384" spans="2:5" ht="15" x14ac:dyDescent="0.25">
      <c r="B384" s="3"/>
      <c r="C384" s="3"/>
      <c r="D384" s="3"/>
      <c r="E384" s="3"/>
    </row>
    <row r="385" spans="2:5" ht="15" x14ac:dyDescent="0.25">
      <c r="B385" s="3"/>
      <c r="C385" s="3"/>
      <c r="D385" s="3"/>
      <c r="E385" s="3"/>
    </row>
    <row r="386" spans="2:5" ht="15" x14ac:dyDescent="0.25">
      <c r="B386" s="3"/>
      <c r="C386" s="3"/>
      <c r="D386" s="3"/>
      <c r="E386" s="3"/>
    </row>
    <row r="387" spans="2:5" ht="15" x14ac:dyDescent="0.25">
      <c r="B387" s="3"/>
      <c r="C387" s="3"/>
      <c r="D387" s="3"/>
      <c r="E387" s="3"/>
    </row>
    <row r="388" spans="2:5" ht="15" x14ac:dyDescent="0.25">
      <c r="B388" s="3"/>
      <c r="C388" s="3"/>
      <c r="D388" s="3"/>
      <c r="E388" s="3"/>
    </row>
    <row r="389" spans="2:5" ht="15" x14ac:dyDescent="0.25">
      <c r="B389" s="3"/>
      <c r="C389" s="3"/>
      <c r="D389" s="3"/>
      <c r="E389" s="3"/>
    </row>
    <row r="390" spans="2:5" ht="15" x14ac:dyDescent="0.25">
      <c r="B390" s="3"/>
      <c r="C390" s="3"/>
      <c r="D390" s="3"/>
      <c r="E390" s="3"/>
    </row>
    <row r="391" spans="2:5" ht="15" x14ac:dyDescent="0.25">
      <c r="B391" s="3"/>
      <c r="C391" s="3"/>
      <c r="D391" s="3"/>
      <c r="E391" s="3"/>
    </row>
    <row r="392" spans="2:5" ht="15" x14ac:dyDescent="0.25">
      <c r="B392" s="3"/>
      <c r="C392" s="3"/>
      <c r="D392" s="3"/>
      <c r="E392" s="3"/>
    </row>
    <row r="393" spans="2:5" ht="15" x14ac:dyDescent="0.25">
      <c r="B393" s="3"/>
      <c r="C393" s="3"/>
      <c r="D393" s="3"/>
      <c r="E393" s="3"/>
    </row>
    <row r="394" spans="2:5" ht="15" x14ac:dyDescent="0.25">
      <c r="B394" s="3"/>
      <c r="C394" s="3"/>
      <c r="D394" s="3"/>
      <c r="E394" s="3"/>
    </row>
    <row r="395" spans="2:5" ht="15" x14ac:dyDescent="0.25">
      <c r="B395" s="3"/>
      <c r="C395" s="3"/>
      <c r="D395" s="3"/>
      <c r="E395" s="3"/>
    </row>
    <row r="396" spans="2:5" ht="15" x14ac:dyDescent="0.25">
      <c r="B396" s="3"/>
      <c r="C396" s="3"/>
      <c r="D396" s="3"/>
      <c r="E396" s="3"/>
    </row>
    <row r="397" spans="2:5" ht="15" x14ac:dyDescent="0.25">
      <c r="B397" s="3"/>
      <c r="C397" s="3"/>
      <c r="D397" s="3"/>
      <c r="E397" s="3"/>
    </row>
    <row r="398" spans="2:5" ht="15" x14ac:dyDescent="0.25">
      <c r="B398" s="3"/>
      <c r="C398" s="3"/>
      <c r="D398" s="3"/>
      <c r="E398" s="3"/>
    </row>
    <row r="399" spans="2:5" ht="15" x14ac:dyDescent="0.25">
      <c r="B399" s="3"/>
      <c r="C399" s="3"/>
      <c r="D399" s="3"/>
      <c r="E399" s="3"/>
    </row>
    <row r="400" spans="2:5" ht="15" x14ac:dyDescent="0.25">
      <c r="B400" s="3"/>
      <c r="C400" s="3"/>
      <c r="D400" s="3"/>
      <c r="E400" s="3"/>
    </row>
    <row r="401" spans="2:5" ht="15" x14ac:dyDescent="0.25">
      <c r="B401" s="3"/>
      <c r="C401" s="3"/>
      <c r="D401" s="3"/>
      <c r="E401" s="3"/>
    </row>
    <row r="402" spans="2:5" ht="15" x14ac:dyDescent="0.25">
      <c r="B402" s="3"/>
      <c r="C402" s="3"/>
      <c r="D402" s="3"/>
      <c r="E402" s="3"/>
    </row>
    <row r="403" spans="2:5" ht="15" x14ac:dyDescent="0.25">
      <c r="B403" s="3"/>
      <c r="C403" s="3"/>
      <c r="D403" s="3"/>
      <c r="E403" s="3"/>
    </row>
    <row r="404" spans="2:5" ht="15" x14ac:dyDescent="0.25">
      <c r="B404" s="3"/>
      <c r="C404" s="3"/>
      <c r="D404" s="3"/>
      <c r="E404" s="3"/>
    </row>
    <row r="405" spans="2:5" ht="15" x14ac:dyDescent="0.25">
      <c r="B405" s="3"/>
      <c r="C405" s="3"/>
      <c r="D405" s="3"/>
      <c r="E405" s="3"/>
    </row>
    <row r="406" spans="2:5" ht="15" x14ac:dyDescent="0.25">
      <c r="B406" s="3"/>
      <c r="C406" s="3"/>
      <c r="D406" s="3"/>
      <c r="E406" s="3"/>
    </row>
    <row r="407" spans="2:5" ht="15" x14ac:dyDescent="0.25">
      <c r="B407" s="3"/>
      <c r="C407" s="3"/>
      <c r="D407" s="3"/>
      <c r="E407" s="3"/>
    </row>
    <row r="408" spans="2:5" ht="15" x14ac:dyDescent="0.25">
      <c r="B408" s="3"/>
      <c r="C408" s="3"/>
      <c r="D408" s="3"/>
      <c r="E408" s="3"/>
    </row>
    <row r="409" spans="2:5" ht="15" x14ac:dyDescent="0.25">
      <c r="B409" s="3"/>
      <c r="C409" s="3"/>
      <c r="D409" s="3"/>
      <c r="E409" s="3"/>
    </row>
    <row r="410" spans="2:5" ht="15" x14ac:dyDescent="0.25">
      <c r="B410" s="3"/>
      <c r="C410" s="3"/>
      <c r="D410" s="3"/>
      <c r="E410" s="3"/>
    </row>
    <row r="411" spans="2:5" ht="15" x14ac:dyDescent="0.25">
      <c r="B411" s="3"/>
      <c r="C411" s="3"/>
      <c r="D411" s="3"/>
      <c r="E411" s="3"/>
    </row>
    <row r="412" spans="2:5" ht="15" x14ac:dyDescent="0.25">
      <c r="B412" s="3"/>
      <c r="C412" s="3"/>
      <c r="D412" s="3"/>
      <c r="E412" s="3"/>
    </row>
    <row r="413" spans="2:5" ht="15" x14ac:dyDescent="0.25">
      <c r="B413" s="3"/>
      <c r="C413" s="3"/>
      <c r="D413" s="3"/>
      <c r="E413" s="3"/>
    </row>
    <row r="414" spans="2:5" ht="15" x14ac:dyDescent="0.25">
      <c r="B414" s="3"/>
      <c r="C414" s="3"/>
      <c r="D414" s="3"/>
      <c r="E414" s="3"/>
    </row>
    <row r="415" spans="2:5" ht="15" x14ac:dyDescent="0.25">
      <c r="B415" s="3"/>
      <c r="C415" s="3"/>
      <c r="D415" s="3"/>
      <c r="E415" s="3"/>
    </row>
    <row r="416" spans="2:5" ht="15" x14ac:dyDescent="0.25">
      <c r="B416" s="3"/>
      <c r="C416" s="3"/>
      <c r="D416" s="3"/>
      <c r="E416" s="3"/>
    </row>
    <row r="417" spans="2:5" ht="15" x14ac:dyDescent="0.25">
      <c r="B417" s="3"/>
      <c r="C417" s="3"/>
      <c r="D417" s="3"/>
      <c r="E417" s="3"/>
    </row>
    <row r="418" spans="2:5" ht="15" x14ac:dyDescent="0.25">
      <c r="B418" s="3"/>
      <c r="C418" s="3"/>
      <c r="D418" s="3"/>
      <c r="E418" s="3"/>
    </row>
    <row r="419" spans="2:5" ht="15" x14ac:dyDescent="0.25">
      <c r="B419" s="3"/>
      <c r="C419" s="3"/>
      <c r="D419" s="3"/>
      <c r="E419" s="3"/>
    </row>
    <row r="420" spans="2:5" ht="15" x14ac:dyDescent="0.25">
      <c r="B420" s="3"/>
      <c r="C420" s="3"/>
      <c r="D420" s="3"/>
      <c r="E420" s="3"/>
    </row>
    <row r="421" spans="2:5" ht="15" x14ac:dyDescent="0.25">
      <c r="B421" s="3"/>
      <c r="C421" s="3"/>
      <c r="D421" s="3"/>
      <c r="E421" s="3"/>
    </row>
    <row r="422" spans="2:5" ht="15" x14ac:dyDescent="0.25">
      <c r="B422" s="3"/>
      <c r="C422" s="3"/>
      <c r="D422" s="3"/>
      <c r="E422" s="3"/>
    </row>
    <row r="423" spans="2:5" ht="15" x14ac:dyDescent="0.25">
      <c r="B423" s="3"/>
      <c r="C423" s="3"/>
      <c r="D423" s="3"/>
      <c r="E423" s="3"/>
    </row>
    <row r="424" spans="2:5" ht="15" x14ac:dyDescent="0.25">
      <c r="B424" s="3"/>
      <c r="C424" s="3"/>
      <c r="D424" s="3"/>
      <c r="E424" s="3"/>
    </row>
    <row r="425" spans="2:5" ht="15" x14ac:dyDescent="0.25">
      <c r="B425" s="3"/>
      <c r="C425" s="3"/>
      <c r="D425" s="3"/>
      <c r="E425" s="3"/>
    </row>
    <row r="426" spans="2:5" ht="15" x14ac:dyDescent="0.25">
      <c r="B426" s="3"/>
      <c r="C426" s="3"/>
      <c r="D426" s="3"/>
      <c r="E426" s="3"/>
    </row>
    <row r="427" spans="2:5" ht="15" x14ac:dyDescent="0.25">
      <c r="B427" s="3"/>
      <c r="C427" s="3"/>
      <c r="D427" s="3"/>
      <c r="E427" s="3"/>
    </row>
    <row r="428" spans="2:5" ht="15" x14ac:dyDescent="0.25">
      <c r="B428" s="3"/>
      <c r="C428" s="3"/>
      <c r="D428" s="3"/>
      <c r="E428" s="3"/>
    </row>
    <row r="429" spans="2:5" ht="15" x14ac:dyDescent="0.25">
      <c r="B429" s="3"/>
      <c r="C429" s="3"/>
      <c r="D429" s="3"/>
      <c r="E429" s="3"/>
    </row>
    <row r="430" spans="2:5" ht="15" x14ac:dyDescent="0.25">
      <c r="B430" s="3"/>
      <c r="C430" s="3"/>
      <c r="D430" s="3"/>
      <c r="E430" s="3"/>
    </row>
    <row r="431" spans="2:5" ht="15" x14ac:dyDescent="0.25">
      <c r="B431" s="3"/>
      <c r="C431" s="3"/>
      <c r="D431" s="3"/>
      <c r="E431" s="3"/>
    </row>
    <row r="432" spans="2:5" ht="15" x14ac:dyDescent="0.25">
      <c r="B432" s="3"/>
      <c r="C432" s="3"/>
      <c r="D432" s="3"/>
      <c r="E432" s="3"/>
    </row>
    <row r="433" spans="2:5" ht="15" x14ac:dyDescent="0.25">
      <c r="B433" s="3"/>
      <c r="C433" s="3"/>
      <c r="D433" s="3"/>
      <c r="E433" s="3"/>
    </row>
    <row r="434" spans="2:5" ht="15" x14ac:dyDescent="0.25">
      <c r="B434" s="3"/>
      <c r="C434" s="3"/>
      <c r="D434" s="3"/>
      <c r="E434" s="3"/>
    </row>
    <row r="435" spans="2:5" ht="15" x14ac:dyDescent="0.25">
      <c r="B435" s="3"/>
      <c r="C435" s="3"/>
      <c r="D435" s="3"/>
      <c r="E435" s="3"/>
    </row>
    <row r="436" spans="2:5" ht="15" x14ac:dyDescent="0.25">
      <c r="B436" s="3"/>
      <c r="C436" s="3"/>
      <c r="D436" s="3"/>
      <c r="E436" s="3"/>
    </row>
    <row r="437" spans="2:5" ht="15" x14ac:dyDescent="0.25">
      <c r="B437" s="3"/>
      <c r="C437" s="3"/>
      <c r="D437" s="3"/>
      <c r="E437" s="3"/>
    </row>
    <row r="438" spans="2:5" ht="15" x14ac:dyDescent="0.25">
      <c r="B438" s="3"/>
      <c r="C438" s="3"/>
      <c r="D438" s="3"/>
      <c r="E438" s="3"/>
    </row>
    <row r="439" spans="2:5" ht="15" x14ac:dyDescent="0.25">
      <c r="B439" s="3"/>
      <c r="C439" s="3"/>
      <c r="D439" s="3"/>
      <c r="E439" s="3"/>
    </row>
    <row r="440" spans="2:5" ht="15" x14ac:dyDescent="0.25">
      <c r="B440" s="3"/>
      <c r="C440" s="3"/>
      <c r="D440" s="3"/>
      <c r="E440" s="3"/>
    </row>
    <row r="441" spans="2:5" ht="15" x14ac:dyDescent="0.25">
      <c r="B441" s="3"/>
      <c r="C441" s="3"/>
      <c r="D441" s="3"/>
      <c r="E441" s="3"/>
    </row>
    <row r="442" spans="2:5" ht="15" x14ac:dyDescent="0.25">
      <c r="B442" s="3"/>
      <c r="C442" s="3"/>
      <c r="D442" s="3"/>
      <c r="E442" s="3"/>
    </row>
    <row r="443" spans="2:5" ht="15" x14ac:dyDescent="0.25">
      <c r="B443" s="3"/>
      <c r="C443" s="3"/>
      <c r="D443" s="3"/>
      <c r="E443" s="3"/>
    </row>
    <row r="444" spans="2:5" ht="15" x14ac:dyDescent="0.25">
      <c r="B444" s="3"/>
      <c r="C444" s="3"/>
      <c r="D444" s="3"/>
      <c r="E444" s="3"/>
    </row>
    <row r="445" spans="2:5" ht="15" x14ac:dyDescent="0.25">
      <c r="B445" s="3"/>
      <c r="C445" s="3"/>
      <c r="D445" s="3"/>
      <c r="E445" s="3"/>
    </row>
    <row r="446" spans="2:5" ht="15" x14ac:dyDescent="0.25">
      <c r="B446" s="3"/>
      <c r="C446" s="3"/>
      <c r="D446" s="3"/>
      <c r="E446" s="3"/>
    </row>
    <row r="447" spans="2:5" ht="15" x14ac:dyDescent="0.25">
      <c r="B447" s="3"/>
      <c r="C447" s="3"/>
      <c r="D447" s="3"/>
      <c r="E447" s="3"/>
    </row>
    <row r="448" spans="2:5" ht="15" x14ac:dyDescent="0.25">
      <c r="B448" s="3"/>
      <c r="C448" s="3"/>
      <c r="D448" s="3"/>
      <c r="E448" s="3"/>
    </row>
    <row r="449" spans="2:5" ht="15" x14ac:dyDescent="0.25">
      <c r="B449" s="3"/>
      <c r="C449" s="3"/>
      <c r="D449" s="3"/>
      <c r="E449" s="3"/>
    </row>
    <row r="450" spans="2:5" ht="15" x14ac:dyDescent="0.25">
      <c r="B450" s="3"/>
      <c r="C450" s="3"/>
      <c r="D450" s="3"/>
      <c r="E450" s="3"/>
    </row>
    <row r="451" spans="2:5" ht="15" x14ac:dyDescent="0.25">
      <c r="B451" s="3"/>
      <c r="C451" s="3"/>
      <c r="D451" s="3"/>
      <c r="E451" s="3"/>
    </row>
    <row r="452" spans="2:5" ht="15" x14ac:dyDescent="0.25">
      <c r="B452" s="3"/>
      <c r="C452" s="3"/>
      <c r="D452" s="3"/>
      <c r="E452" s="3"/>
    </row>
    <row r="453" spans="2:5" ht="15" x14ac:dyDescent="0.25">
      <c r="B453" s="3"/>
      <c r="C453" s="3"/>
      <c r="D453" s="3"/>
      <c r="E453" s="3"/>
    </row>
    <row r="454" spans="2:5" ht="15" x14ac:dyDescent="0.25">
      <c r="B454" s="3"/>
      <c r="C454" s="3"/>
      <c r="D454" s="3"/>
      <c r="E454" s="3"/>
    </row>
    <row r="455" spans="2:5" ht="15" x14ac:dyDescent="0.25">
      <c r="B455" s="3"/>
      <c r="C455" s="3"/>
      <c r="D455" s="3"/>
      <c r="E455" s="3"/>
    </row>
    <row r="456" spans="2:5" ht="15" x14ac:dyDescent="0.25">
      <c r="B456" s="3"/>
      <c r="C456" s="3"/>
      <c r="D456" s="3"/>
      <c r="E456" s="3"/>
    </row>
    <row r="457" spans="2:5" ht="15" x14ac:dyDescent="0.25">
      <c r="B457" s="3"/>
      <c r="C457" s="3"/>
      <c r="D457" s="3"/>
      <c r="E457" s="3"/>
    </row>
    <row r="458" spans="2:5" ht="15" x14ac:dyDescent="0.25">
      <c r="B458" s="3"/>
      <c r="C458" s="3"/>
      <c r="D458" s="3"/>
      <c r="E458" s="3"/>
    </row>
    <row r="459" spans="2:5" ht="15" x14ac:dyDescent="0.25">
      <c r="B459" s="3"/>
      <c r="C459" s="3"/>
      <c r="D459" s="3"/>
      <c r="E459" s="3"/>
    </row>
    <row r="460" spans="2:5" ht="15" x14ac:dyDescent="0.25">
      <c r="B460" s="3"/>
      <c r="C460" s="3"/>
      <c r="D460" s="3"/>
      <c r="E460" s="3"/>
    </row>
    <row r="461" spans="2:5" ht="15" x14ac:dyDescent="0.25">
      <c r="B461" s="3"/>
      <c r="C461" s="3"/>
      <c r="D461" s="3"/>
      <c r="E461" s="3"/>
    </row>
    <row r="462" spans="2:5" ht="15" x14ac:dyDescent="0.25">
      <c r="B462" s="3"/>
      <c r="C462" s="3"/>
      <c r="D462" s="3"/>
      <c r="E462" s="3"/>
    </row>
    <row r="463" spans="2:5" ht="15" x14ac:dyDescent="0.25">
      <c r="B463" s="3"/>
      <c r="C463" s="3"/>
      <c r="D463" s="3"/>
      <c r="E463" s="3"/>
    </row>
    <row r="464" spans="2:5" ht="15" x14ac:dyDescent="0.25">
      <c r="B464" s="3"/>
      <c r="C464" s="3"/>
      <c r="D464" s="3"/>
      <c r="E464" s="3"/>
    </row>
    <row r="465" spans="2:5" ht="15" x14ac:dyDescent="0.25">
      <c r="B465" s="3"/>
      <c r="C465" s="3"/>
      <c r="D465" s="3"/>
      <c r="E465" s="3"/>
    </row>
    <row r="466" spans="2:5" ht="15" x14ac:dyDescent="0.25">
      <c r="B466" s="3"/>
      <c r="C466" s="3"/>
      <c r="D466" s="3"/>
      <c r="E466" s="3"/>
    </row>
    <row r="467" spans="2:5" ht="15" x14ac:dyDescent="0.25">
      <c r="B467" s="3"/>
      <c r="C467" s="3"/>
      <c r="D467" s="3"/>
      <c r="E467" s="3"/>
    </row>
    <row r="468" spans="2:5" ht="15" x14ac:dyDescent="0.25">
      <c r="B468" s="3"/>
      <c r="C468" s="3"/>
      <c r="D468" s="3"/>
      <c r="E468" s="3"/>
    </row>
    <row r="469" spans="2:5" ht="15" x14ac:dyDescent="0.25">
      <c r="B469" s="3"/>
      <c r="C469" s="3"/>
      <c r="D469" s="3"/>
      <c r="E469" s="3"/>
    </row>
    <row r="470" spans="2:5" ht="15" x14ac:dyDescent="0.25">
      <c r="B470" s="3"/>
      <c r="C470" s="3"/>
      <c r="D470" s="3"/>
      <c r="E470" s="3"/>
    </row>
    <row r="471" spans="2:5" ht="15" x14ac:dyDescent="0.25">
      <c r="B471" s="3"/>
      <c r="C471" s="3"/>
      <c r="D471" s="3"/>
      <c r="E471" s="3"/>
    </row>
    <row r="472" spans="2:5" ht="15" x14ac:dyDescent="0.25">
      <c r="B472" s="3"/>
      <c r="C472" s="3"/>
      <c r="D472" s="3"/>
      <c r="E472" s="3"/>
    </row>
    <row r="473" spans="2:5" ht="15" x14ac:dyDescent="0.25">
      <c r="B473" s="3"/>
      <c r="C473" s="3"/>
      <c r="D473" s="3"/>
      <c r="E473" s="3"/>
    </row>
    <row r="474" spans="2:5" ht="15" x14ac:dyDescent="0.25">
      <c r="B474" s="3"/>
      <c r="C474" s="3"/>
      <c r="D474" s="3"/>
      <c r="E474" s="3"/>
    </row>
    <row r="475" spans="2:5" ht="15" x14ac:dyDescent="0.25">
      <c r="B475" s="3"/>
      <c r="C475" s="3"/>
      <c r="D475" s="3"/>
      <c r="E475" s="3"/>
    </row>
    <row r="476" spans="2:5" ht="15" x14ac:dyDescent="0.25">
      <c r="B476" s="3"/>
      <c r="C476" s="3"/>
      <c r="D476" s="3"/>
      <c r="E476" s="3"/>
    </row>
    <row r="477" spans="2:5" ht="15" x14ac:dyDescent="0.25">
      <c r="B477" s="3"/>
      <c r="C477" s="3"/>
      <c r="D477" s="3"/>
      <c r="E477" s="3"/>
    </row>
    <row r="478" spans="2:5" ht="15" x14ac:dyDescent="0.25">
      <c r="B478" s="3"/>
      <c r="C478" s="3"/>
      <c r="D478" s="3"/>
      <c r="E478" s="3"/>
    </row>
    <row r="479" spans="2:5" ht="15" x14ac:dyDescent="0.25">
      <c r="B479" s="3"/>
      <c r="C479" s="3"/>
      <c r="D479" s="3"/>
      <c r="E479" s="3"/>
    </row>
    <row r="480" spans="2:5" ht="15" x14ac:dyDescent="0.25">
      <c r="B480" s="3"/>
      <c r="C480" s="3"/>
      <c r="D480" s="3"/>
      <c r="E480" s="3"/>
    </row>
    <row r="481" spans="2:5" ht="15" x14ac:dyDescent="0.25">
      <c r="B481" s="3"/>
      <c r="C481" s="3"/>
      <c r="D481" s="3"/>
      <c r="E481" s="3"/>
    </row>
    <row r="482" spans="2:5" ht="15" x14ac:dyDescent="0.25">
      <c r="B482" s="3"/>
      <c r="C482" s="3"/>
      <c r="D482" s="3"/>
      <c r="E482" s="3"/>
    </row>
    <row r="483" spans="2:5" ht="15" x14ac:dyDescent="0.25">
      <c r="B483" s="3"/>
      <c r="C483" s="3"/>
      <c r="D483" s="3"/>
      <c r="E483" s="3"/>
    </row>
    <row r="484" spans="2:5" ht="15" x14ac:dyDescent="0.25">
      <c r="B484" s="3"/>
      <c r="C484" s="3"/>
      <c r="D484" s="3"/>
      <c r="E484" s="3"/>
    </row>
    <row r="485" spans="2:5" ht="15" x14ac:dyDescent="0.25">
      <c r="B485" s="3"/>
      <c r="C485" s="3"/>
      <c r="D485" s="3"/>
      <c r="E485" s="3"/>
    </row>
    <row r="486" spans="2:5" ht="15" x14ac:dyDescent="0.25">
      <c r="B486" s="3"/>
      <c r="C486" s="3"/>
      <c r="D486" s="3"/>
      <c r="E486" s="3"/>
    </row>
    <row r="487" spans="2:5" ht="15" x14ac:dyDescent="0.25">
      <c r="B487" s="3"/>
      <c r="C487" s="3"/>
      <c r="D487" s="3"/>
      <c r="E487" s="3"/>
    </row>
    <row r="488" spans="2:5" ht="15" x14ac:dyDescent="0.25">
      <c r="B488" s="3"/>
      <c r="C488" s="3"/>
      <c r="D488" s="3"/>
      <c r="E488" s="3"/>
    </row>
    <row r="489" spans="2:5" ht="15" x14ac:dyDescent="0.25">
      <c r="B489" s="3"/>
      <c r="C489" s="3"/>
      <c r="D489" s="3"/>
      <c r="E489" s="3"/>
    </row>
    <row r="490" spans="2:5" ht="15" x14ac:dyDescent="0.25">
      <c r="B490" s="3"/>
      <c r="C490" s="3"/>
      <c r="D490" s="3"/>
      <c r="E490" s="3"/>
    </row>
    <row r="491" spans="2:5" ht="15" x14ac:dyDescent="0.25">
      <c r="B491" s="3"/>
      <c r="C491" s="3"/>
      <c r="D491" s="3"/>
      <c r="E491" s="3"/>
    </row>
    <row r="492" spans="2:5" ht="15" x14ac:dyDescent="0.25">
      <c r="B492" s="3"/>
      <c r="C492" s="3"/>
      <c r="D492" s="3"/>
      <c r="E492" s="3"/>
    </row>
    <row r="493" spans="2:5" ht="15" x14ac:dyDescent="0.25">
      <c r="B493" s="3"/>
      <c r="C493" s="3"/>
      <c r="D493" s="3"/>
      <c r="E493" s="3"/>
    </row>
    <row r="494" spans="2:5" ht="15" x14ac:dyDescent="0.25">
      <c r="B494" s="3"/>
      <c r="C494" s="3"/>
      <c r="D494" s="3"/>
      <c r="E494" s="3"/>
    </row>
    <row r="495" spans="2:5" ht="15" x14ac:dyDescent="0.25">
      <c r="B495" s="3"/>
      <c r="C495" s="3"/>
      <c r="D495" s="3"/>
      <c r="E495" s="3"/>
    </row>
    <row r="496" spans="2:5" ht="15" x14ac:dyDescent="0.25">
      <c r="B496" s="3"/>
      <c r="C496" s="3"/>
      <c r="D496" s="3"/>
      <c r="E496" s="3"/>
    </row>
    <row r="497" spans="2:5" ht="15" x14ac:dyDescent="0.25">
      <c r="B497" s="3"/>
      <c r="C497" s="3"/>
      <c r="D497" s="3"/>
      <c r="E497" s="3"/>
    </row>
    <row r="498" spans="2:5" ht="15" x14ac:dyDescent="0.25">
      <c r="B498" s="3"/>
      <c r="C498" s="3"/>
      <c r="D498" s="3"/>
      <c r="E498" s="3"/>
    </row>
    <row r="499" spans="2:5" ht="15" x14ac:dyDescent="0.25">
      <c r="B499" s="3"/>
      <c r="C499" s="3"/>
      <c r="D499" s="3"/>
      <c r="E499" s="3"/>
    </row>
    <row r="500" spans="2:5" ht="15" x14ac:dyDescent="0.25">
      <c r="B500" s="3"/>
      <c r="C500" s="3"/>
      <c r="D500" s="3"/>
      <c r="E500" s="3"/>
    </row>
    <row r="501" spans="2:5" ht="15" x14ac:dyDescent="0.25">
      <c r="B501" s="3"/>
      <c r="C501" s="3"/>
      <c r="D501" s="3"/>
      <c r="E501" s="3"/>
    </row>
    <row r="502" spans="2:5" ht="15" x14ac:dyDescent="0.25">
      <c r="B502" s="3"/>
      <c r="C502" s="3"/>
      <c r="D502" s="3"/>
      <c r="E502" s="3"/>
    </row>
    <row r="503" spans="2:5" ht="15" x14ac:dyDescent="0.25">
      <c r="B503" s="3"/>
      <c r="C503" s="3"/>
      <c r="D503" s="3"/>
      <c r="E503" s="3"/>
    </row>
    <row r="504" spans="2:5" ht="15" x14ac:dyDescent="0.25">
      <c r="B504" s="3"/>
      <c r="C504" s="3"/>
      <c r="D504" s="3"/>
      <c r="E504" s="3"/>
    </row>
    <row r="505" spans="2:5" ht="15" x14ac:dyDescent="0.25">
      <c r="B505" s="3"/>
      <c r="C505" s="3"/>
      <c r="D505" s="3"/>
      <c r="E505" s="3"/>
    </row>
    <row r="506" spans="2:5" ht="15" x14ac:dyDescent="0.25">
      <c r="B506" s="3"/>
      <c r="C506" s="3"/>
      <c r="D506" s="3"/>
      <c r="E506" s="3"/>
    </row>
    <row r="507" spans="2:5" ht="15" x14ac:dyDescent="0.25">
      <c r="B507" s="3"/>
      <c r="C507" s="3"/>
      <c r="D507" s="3"/>
      <c r="E507" s="3"/>
    </row>
    <row r="508" spans="2:5" ht="15" x14ac:dyDescent="0.25">
      <c r="B508" s="3"/>
      <c r="C508" s="3"/>
      <c r="D508" s="3"/>
      <c r="E508" s="3"/>
    </row>
    <row r="509" spans="2:5" ht="15" x14ac:dyDescent="0.25">
      <c r="B509" s="3"/>
      <c r="C509" s="3"/>
      <c r="D509" s="3"/>
      <c r="E509" s="3"/>
    </row>
    <row r="510" spans="2:5" ht="15" x14ac:dyDescent="0.25">
      <c r="B510" s="3"/>
      <c r="C510" s="3"/>
      <c r="D510" s="3"/>
      <c r="E510" s="3"/>
    </row>
    <row r="511" spans="2:5" ht="15" x14ac:dyDescent="0.25">
      <c r="B511" s="3"/>
      <c r="C511" s="3"/>
      <c r="D511" s="3"/>
      <c r="E511" s="3"/>
    </row>
    <row r="512" spans="2:5" ht="15" x14ac:dyDescent="0.25">
      <c r="B512" s="3"/>
      <c r="C512" s="3"/>
      <c r="D512" s="3"/>
      <c r="E512" s="3"/>
    </row>
    <row r="513" spans="2:5" ht="15" x14ac:dyDescent="0.25">
      <c r="B513" s="3"/>
      <c r="C513" s="3"/>
      <c r="D513" s="3"/>
      <c r="E513" s="3"/>
    </row>
    <row r="514" spans="2:5" ht="15" x14ac:dyDescent="0.25">
      <c r="B514" s="3"/>
      <c r="C514" s="3"/>
      <c r="D514" s="3"/>
      <c r="E514" s="3"/>
    </row>
    <row r="515" spans="2:5" ht="15" x14ac:dyDescent="0.25">
      <c r="B515" s="3"/>
      <c r="C515" s="3"/>
      <c r="D515" s="3"/>
      <c r="E515" s="3"/>
    </row>
    <row r="516" spans="2:5" ht="15" x14ac:dyDescent="0.25">
      <c r="B516" s="3"/>
      <c r="C516" s="3"/>
      <c r="D516" s="3"/>
      <c r="E516" s="3"/>
    </row>
    <row r="517" spans="2:5" ht="15" x14ac:dyDescent="0.25">
      <c r="B517" s="3"/>
      <c r="C517" s="3"/>
      <c r="D517" s="3"/>
      <c r="E517" s="3"/>
    </row>
    <row r="518" spans="2:5" ht="15" x14ac:dyDescent="0.25">
      <c r="B518" s="3"/>
      <c r="C518" s="3"/>
      <c r="D518" s="3"/>
      <c r="E518" s="3"/>
    </row>
    <row r="519" spans="2:5" ht="15" x14ac:dyDescent="0.25">
      <c r="B519" s="3"/>
      <c r="C519" s="3"/>
      <c r="D519" s="3"/>
      <c r="E519" s="3"/>
    </row>
    <row r="520" spans="2:5" ht="15" x14ac:dyDescent="0.25">
      <c r="B520" s="3"/>
      <c r="C520" s="3"/>
      <c r="D520" s="3"/>
      <c r="E520" s="3"/>
    </row>
    <row r="521" spans="2:5" ht="15" x14ac:dyDescent="0.25">
      <c r="B521" s="3"/>
      <c r="C521" s="3"/>
      <c r="D521" s="3"/>
      <c r="E521" s="3"/>
    </row>
    <row r="522" spans="2:5" ht="15" x14ac:dyDescent="0.25">
      <c r="B522" s="3"/>
      <c r="C522" s="3"/>
      <c r="D522" s="3"/>
      <c r="E522" s="3"/>
    </row>
    <row r="523" spans="2:5" ht="15" x14ac:dyDescent="0.25">
      <c r="B523" s="3"/>
      <c r="C523" s="3"/>
      <c r="D523" s="3"/>
      <c r="E523" s="3"/>
    </row>
    <row r="524" spans="2:5" ht="15" x14ac:dyDescent="0.25">
      <c r="B524" s="3"/>
      <c r="C524" s="3"/>
      <c r="D524" s="3"/>
      <c r="E524" s="3"/>
    </row>
    <row r="525" spans="2:5" ht="15" x14ac:dyDescent="0.25">
      <c r="B525" s="3"/>
      <c r="C525" s="3"/>
      <c r="D525" s="3"/>
      <c r="E525" s="3"/>
    </row>
    <row r="526" spans="2:5" ht="15" x14ac:dyDescent="0.25">
      <c r="B526" s="3"/>
      <c r="C526" s="3"/>
      <c r="D526" s="3"/>
      <c r="E526" s="3"/>
    </row>
    <row r="527" spans="2:5" ht="15" x14ac:dyDescent="0.25">
      <c r="B527" s="3"/>
      <c r="C527" s="3"/>
      <c r="D527" s="3"/>
      <c r="E527" s="3"/>
    </row>
    <row r="528" spans="2:5" ht="15" x14ac:dyDescent="0.25">
      <c r="B528" s="3"/>
      <c r="C528" s="3"/>
      <c r="D528" s="3"/>
      <c r="E528" s="3"/>
    </row>
    <row r="529" spans="2:5" ht="15" x14ac:dyDescent="0.25">
      <c r="B529" s="3"/>
      <c r="C529" s="3"/>
      <c r="D529" s="3"/>
      <c r="E529" s="3"/>
    </row>
    <row r="530" spans="2:5" ht="15" x14ac:dyDescent="0.25">
      <c r="B530" s="3"/>
      <c r="C530" s="3"/>
      <c r="D530" s="3"/>
      <c r="E530" s="3"/>
    </row>
    <row r="531" spans="2:5" ht="15" x14ac:dyDescent="0.25">
      <c r="B531" s="3"/>
      <c r="C531" s="3"/>
      <c r="D531" s="3"/>
      <c r="E531" s="3"/>
    </row>
    <row r="532" spans="2:5" ht="15" x14ac:dyDescent="0.25">
      <c r="B532" s="3"/>
      <c r="C532" s="3"/>
      <c r="D532" s="3"/>
      <c r="E532" s="3"/>
    </row>
    <row r="533" spans="2:5" ht="15" x14ac:dyDescent="0.25">
      <c r="B533" s="3"/>
      <c r="C533" s="3"/>
      <c r="D533" s="3"/>
      <c r="E533" s="3"/>
    </row>
    <row r="534" spans="2:5" ht="15" x14ac:dyDescent="0.25">
      <c r="B534" s="3"/>
      <c r="C534" s="3"/>
      <c r="D534" s="3"/>
      <c r="E534" s="3"/>
    </row>
    <row r="535" spans="2:5" ht="15" x14ac:dyDescent="0.25">
      <c r="B535" s="3"/>
      <c r="C535" s="3"/>
      <c r="D535" s="3"/>
      <c r="E535" s="3"/>
    </row>
    <row r="536" spans="2:5" ht="15" x14ac:dyDescent="0.25">
      <c r="B536" s="3"/>
      <c r="C536" s="3"/>
      <c r="D536" s="3"/>
      <c r="E536" s="3"/>
    </row>
    <row r="537" spans="2:5" ht="15" x14ac:dyDescent="0.25">
      <c r="B537" s="3"/>
      <c r="C537" s="3"/>
      <c r="D537" s="3"/>
      <c r="E537" s="3"/>
    </row>
    <row r="538" spans="2:5" ht="15" x14ac:dyDescent="0.25">
      <c r="B538" s="3"/>
      <c r="C538" s="3"/>
      <c r="D538" s="3"/>
      <c r="E538" s="3"/>
    </row>
    <row r="539" spans="2:5" ht="15" x14ac:dyDescent="0.25">
      <c r="B539" s="3"/>
      <c r="C539" s="3"/>
      <c r="D539" s="3"/>
      <c r="E539" s="3"/>
    </row>
    <row r="540" spans="2:5" ht="15" x14ac:dyDescent="0.25">
      <c r="B540" s="3"/>
      <c r="C540" s="3"/>
      <c r="D540" s="3"/>
      <c r="E540" s="3"/>
    </row>
    <row r="541" spans="2:5" ht="15" x14ac:dyDescent="0.25">
      <c r="B541" s="3"/>
      <c r="C541" s="3"/>
      <c r="D541" s="3"/>
      <c r="E541" s="3"/>
    </row>
    <row r="542" spans="2:5" ht="15" x14ac:dyDescent="0.25">
      <c r="B542" s="3"/>
      <c r="C542" s="3"/>
      <c r="D542" s="3"/>
      <c r="E542" s="3"/>
    </row>
    <row r="543" spans="2:5" ht="15" x14ac:dyDescent="0.25">
      <c r="B543" s="3"/>
      <c r="C543" s="3"/>
      <c r="D543" s="3"/>
      <c r="E543" s="3"/>
    </row>
    <row r="544" spans="2:5" ht="15" x14ac:dyDescent="0.25">
      <c r="B544" s="3"/>
      <c r="C544" s="3"/>
      <c r="D544" s="3"/>
      <c r="E544" s="3"/>
    </row>
    <row r="545" spans="2:5" ht="15" x14ac:dyDescent="0.25">
      <c r="B545" s="3"/>
      <c r="C545" s="3"/>
      <c r="D545" s="3"/>
      <c r="E545" s="3"/>
    </row>
    <row r="546" spans="2:5" ht="15" x14ac:dyDescent="0.25">
      <c r="B546" s="3"/>
      <c r="C546" s="3"/>
      <c r="D546" s="3"/>
      <c r="E546" s="3"/>
    </row>
    <row r="547" spans="2:5" ht="15" x14ac:dyDescent="0.25">
      <c r="B547" s="3"/>
      <c r="C547" s="3"/>
      <c r="D547" s="3"/>
      <c r="E547" s="3"/>
    </row>
    <row r="548" spans="2:5" ht="15" x14ac:dyDescent="0.25">
      <c r="B548" s="3"/>
      <c r="C548" s="3"/>
      <c r="D548" s="3"/>
      <c r="E548" s="3"/>
    </row>
    <row r="549" spans="2:5" ht="15" x14ac:dyDescent="0.25">
      <c r="B549" s="3"/>
      <c r="C549" s="3"/>
      <c r="D549" s="3"/>
      <c r="E549" s="3"/>
    </row>
    <row r="550" spans="2:5" ht="15" x14ac:dyDescent="0.25">
      <c r="B550" s="3"/>
      <c r="C550" s="3"/>
      <c r="D550" s="3"/>
      <c r="E550" s="3"/>
    </row>
    <row r="551" spans="2:5" ht="15" x14ac:dyDescent="0.25">
      <c r="B551" s="3"/>
      <c r="C551" s="3"/>
      <c r="D551" s="3"/>
      <c r="E551" s="3"/>
    </row>
    <row r="552" spans="2:5" ht="15" x14ac:dyDescent="0.25">
      <c r="B552" s="3"/>
      <c r="C552" s="3"/>
      <c r="D552" s="3"/>
      <c r="E552" s="3"/>
    </row>
    <row r="553" spans="2:5" ht="15" x14ac:dyDescent="0.25">
      <c r="B553" s="3"/>
      <c r="C553" s="3"/>
      <c r="D553" s="3"/>
      <c r="E553" s="3"/>
    </row>
    <row r="554" spans="2:5" ht="15" x14ac:dyDescent="0.25">
      <c r="B554" s="3"/>
      <c r="C554" s="3"/>
      <c r="D554" s="3"/>
      <c r="E554" s="3"/>
    </row>
    <row r="555" spans="2:5" ht="15" x14ac:dyDescent="0.25">
      <c r="B555" s="3"/>
      <c r="C555" s="3"/>
      <c r="D555" s="3"/>
      <c r="E555" s="3"/>
    </row>
    <row r="556" spans="2:5" ht="15" x14ac:dyDescent="0.25">
      <c r="B556" s="3"/>
      <c r="C556" s="3"/>
      <c r="D556" s="3"/>
      <c r="E556" s="3"/>
    </row>
    <row r="557" spans="2:5" ht="15" x14ac:dyDescent="0.25">
      <c r="B557" s="3"/>
      <c r="C557" s="3"/>
      <c r="D557" s="3"/>
      <c r="E557" s="3"/>
    </row>
    <row r="558" spans="2:5" ht="15" x14ac:dyDescent="0.25">
      <c r="B558" s="3"/>
      <c r="C558" s="3"/>
      <c r="D558" s="3"/>
      <c r="E558" s="3"/>
    </row>
    <row r="559" spans="2:5" ht="15" x14ac:dyDescent="0.25">
      <c r="B559" s="3"/>
      <c r="C559" s="3"/>
      <c r="D559" s="3"/>
      <c r="E559" s="3"/>
    </row>
    <row r="560" spans="2:5" ht="15" x14ac:dyDescent="0.25">
      <c r="B560" s="3"/>
      <c r="C560" s="3"/>
      <c r="D560" s="3"/>
      <c r="E560" s="3"/>
    </row>
    <row r="561" spans="2:5" ht="15" x14ac:dyDescent="0.25">
      <c r="B561" s="3"/>
      <c r="C561" s="3"/>
      <c r="D561" s="3"/>
      <c r="E561" s="3"/>
    </row>
    <row r="562" spans="2:5" ht="15" x14ac:dyDescent="0.25">
      <c r="B562" s="3"/>
      <c r="C562" s="3"/>
      <c r="D562" s="3"/>
      <c r="E562" s="3"/>
    </row>
    <row r="563" spans="2:5" ht="15" x14ac:dyDescent="0.25">
      <c r="B563" s="3"/>
      <c r="C563" s="3"/>
      <c r="D563" s="3"/>
      <c r="E563" s="3"/>
    </row>
    <row r="564" spans="2:5" ht="15" x14ac:dyDescent="0.25">
      <c r="B564" s="3"/>
      <c r="C564" s="3"/>
      <c r="D564" s="3"/>
      <c r="E564" s="3"/>
    </row>
    <row r="565" spans="2:5" ht="15" x14ac:dyDescent="0.25">
      <c r="B565" s="3"/>
      <c r="C565" s="3"/>
      <c r="D565" s="3"/>
      <c r="E565" s="3"/>
    </row>
    <row r="566" spans="2:5" ht="15" x14ac:dyDescent="0.25">
      <c r="B566" s="3"/>
      <c r="C566" s="3"/>
      <c r="D566" s="3"/>
      <c r="E566" s="3"/>
    </row>
    <row r="567" spans="2:5" ht="15" x14ac:dyDescent="0.25">
      <c r="B567" s="3"/>
      <c r="C567" s="3"/>
      <c r="D567" s="3"/>
      <c r="E567" s="3"/>
    </row>
    <row r="568" spans="2:5" ht="15" x14ac:dyDescent="0.25">
      <c r="B568" s="3"/>
      <c r="C568" s="3"/>
      <c r="D568" s="3"/>
      <c r="E568" s="3"/>
    </row>
    <row r="569" spans="2:5" ht="15" x14ac:dyDescent="0.25">
      <c r="B569" s="3"/>
      <c r="C569" s="3"/>
      <c r="D569" s="3"/>
      <c r="E569" s="3"/>
    </row>
    <row r="570" spans="2:5" ht="15" x14ac:dyDescent="0.25">
      <c r="B570" s="3"/>
      <c r="C570" s="3"/>
      <c r="D570" s="3"/>
      <c r="E570" s="3"/>
    </row>
    <row r="571" spans="2:5" ht="15" x14ac:dyDescent="0.25">
      <c r="B571" s="3"/>
      <c r="C571" s="3"/>
      <c r="D571" s="3"/>
      <c r="E571" s="3"/>
    </row>
    <row r="572" spans="2:5" ht="15" x14ac:dyDescent="0.25">
      <c r="B572" s="3"/>
      <c r="C572" s="3"/>
      <c r="D572" s="3"/>
      <c r="E572" s="3"/>
    </row>
    <row r="573" spans="2:5" ht="15" x14ac:dyDescent="0.25">
      <c r="B573" s="3"/>
      <c r="C573" s="3"/>
      <c r="D573" s="3"/>
      <c r="E573" s="3"/>
    </row>
    <row r="574" spans="2:5" ht="15" x14ac:dyDescent="0.25">
      <c r="B574" s="3"/>
      <c r="C574" s="3"/>
      <c r="D574" s="3"/>
      <c r="E574" s="3"/>
    </row>
    <row r="575" spans="2:5" ht="15" x14ac:dyDescent="0.25">
      <c r="B575" s="3"/>
      <c r="C575" s="3"/>
      <c r="D575" s="3"/>
      <c r="E575" s="3"/>
    </row>
    <row r="576" spans="2:5" ht="15" x14ac:dyDescent="0.25">
      <c r="B576" s="3"/>
      <c r="C576" s="3"/>
      <c r="D576" s="3"/>
      <c r="E576" s="3"/>
    </row>
    <row r="577" spans="2:5" ht="15" x14ac:dyDescent="0.25">
      <c r="B577" s="3"/>
      <c r="C577" s="3"/>
      <c r="D577" s="3"/>
      <c r="E577" s="3"/>
    </row>
    <row r="578" spans="2:5" ht="15" x14ac:dyDescent="0.25">
      <c r="B578" s="3"/>
      <c r="C578" s="3"/>
      <c r="D578" s="3"/>
      <c r="E578" s="3"/>
    </row>
    <row r="579" spans="2:5" ht="15" x14ac:dyDescent="0.25">
      <c r="B579" s="3"/>
      <c r="C579" s="3"/>
      <c r="D579" s="3"/>
      <c r="E579" s="3"/>
    </row>
    <row r="580" spans="2:5" ht="15" x14ac:dyDescent="0.25">
      <c r="B580" s="3"/>
      <c r="C580" s="3"/>
      <c r="D580" s="3"/>
      <c r="E580" s="3"/>
    </row>
    <row r="581" spans="2:5" ht="15" x14ac:dyDescent="0.25">
      <c r="B581" s="3"/>
      <c r="C581" s="3"/>
      <c r="D581" s="3"/>
      <c r="E581" s="3"/>
    </row>
    <row r="582" spans="2:5" ht="15" x14ac:dyDescent="0.25">
      <c r="B582" s="3"/>
      <c r="C582" s="3"/>
      <c r="D582" s="3"/>
      <c r="E582" s="3"/>
    </row>
    <row r="583" spans="2:5" ht="15" x14ac:dyDescent="0.25">
      <c r="B583" s="3"/>
      <c r="C583" s="3"/>
      <c r="D583" s="3"/>
      <c r="E583" s="3"/>
    </row>
    <row r="584" spans="2:5" ht="15" x14ac:dyDescent="0.25">
      <c r="B584" s="3"/>
      <c r="C584" s="3"/>
      <c r="D584" s="3"/>
      <c r="E584" s="3"/>
    </row>
    <row r="585" spans="2:5" ht="15" x14ac:dyDescent="0.25">
      <c r="B585" s="3"/>
      <c r="C585" s="3"/>
      <c r="D585" s="3"/>
      <c r="E585" s="3"/>
    </row>
    <row r="586" spans="2:5" ht="15" x14ac:dyDescent="0.25">
      <c r="B586" s="3"/>
      <c r="C586" s="3"/>
      <c r="D586" s="3"/>
      <c r="E586" s="3"/>
    </row>
    <row r="587" spans="2:5" ht="15" x14ac:dyDescent="0.25">
      <c r="B587" s="3"/>
      <c r="C587" s="3"/>
      <c r="D587" s="3"/>
      <c r="E587" s="3"/>
    </row>
    <row r="588" spans="2:5" ht="15" x14ac:dyDescent="0.25">
      <c r="B588" s="3"/>
      <c r="C588" s="3"/>
      <c r="D588" s="3"/>
      <c r="E588" s="3"/>
    </row>
    <row r="589" spans="2:5" ht="15" x14ac:dyDescent="0.25">
      <c r="B589" s="3"/>
      <c r="C589" s="3"/>
      <c r="D589" s="3"/>
      <c r="E589" s="3"/>
    </row>
    <row r="590" spans="2:5" ht="15" x14ac:dyDescent="0.25">
      <c r="B590" s="3"/>
      <c r="C590" s="3"/>
      <c r="D590" s="3"/>
      <c r="E590" s="3"/>
    </row>
    <row r="591" spans="2:5" ht="15" x14ac:dyDescent="0.25">
      <c r="B591" s="3"/>
      <c r="C591" s="3"/>
      <c r="D591" s="3"/>
      <c r="E591" s="3"/>
    </row>
    <row r="592" spans="2:5" ht="15" x14ac:dyDescent="0.25">
      <c r="B592" s="3"/>
      <c r="C592" s="3"/>
      <c r="D592" s="3"/>
      <c r="E592" s="3"/>
    </row>
    <row r="593" spans="2:5" ht="15" x14ac:dyDescent="0.25">
      <c r="B593" s="3"/>
      <c r="C593" s="3"/>
      <c r="D593" s="3"/>
      <c r="E593" s="3"/>
    </row>
    <row r="594" spans="2:5" ht="15" x14ac:dyDescent="0.25">
      <c r="B594" s="3"/>
      <c r="C594" s="3"/>
      <c r="D594" s="3"/>
      <c r="E594" s="3"/>
    </row>
    <row r="595" spans="2:5" ht="15" x14ac:dyDescent="0.25">
      <c r="B595" s="3"/>
      <c r="C595" s="3"/>
      <c r="D595" s="3"/>
      <c r="E595" s="3"/>
    </row>
    <row r="596" spans="2:5" ht="15" x14ac:dyDescent="0.25">
      <c r="B596" s="3"/>
      <c r="C596" s="3"/>
      <c r="D596" s="3"/>
      <c r="E596" s="3"/>
    </row>
    <row r="597" spans="2:5" ht="15" x14ac:dyDescent="0.25">
      <c r="B597" s="3"/>
      <c r="C597" s="3"/>
      <c r="D597" s="3"/>
      <c r="E597" s="3"/>
    </row>
    <row r="598" spans="2:5" ht="15" x14ac:dyDescent="0.25">
      <c r="B598" s="3"/>
      <c r="C598" s="3"/>
      <c r="D598" s="3"/>
      <c r="E598" s="3"/>
    </row>
    <row r="599" spans="2:5" ht="15" x14ac:dyDescent="0.25">
      <c r="B599" s="3"/>
      <c r="C599" s="3"/>
      <c r="D599" s="3"/>
      <c r="E599" s="3"/>
    </row>
    <row r="600" spans="2:5" ht="15" x14ac:dyDescent="0.25">
      <c r="B600" s="3"/>
      <c r="C600" s="3"/>
      <c r="D600" s="3"/>
      <c r="E600" s="3"/>
    </row>
    <row r="601" spans="2:5" ht="15" x14ac:dyDescent="0.25">
      <c r="B601" s="3"/>
      <c r="C601" s="3"/>
      <c r="D601" s="3"/>
      <c r="E601" s="3"/>
    </row>
    <row r="602" spans="2:5" ht="15" x14ac:dyDescent="0.25">
      <c r="B602" s="3"/>
      <c r="C602" s="3"/>
      <c r="D602" s="3"/>
      <c r="E602" s="3"/>
    </row>
    <row r="603" spans="2:5" ht="15" x14ac:dyDescent="0.25">
      <c r="B603" s="3"/>
      <c r="C603" s="3"/>
      <c r="D603" s="3"/>
      <c r="E603" s="3"/>
    </row>
    <row r="604" spans="2:5" ht="15" x14ac:dyDescent="0.25">
      <c r="B604" s="3"/>
      <c r="C604" s="3"/>
      <c r="D604" s="3"/>
      <c r="E604" s="3"/>
    </row>
    <row r="605" spans="2:5" ht="15" x14ac:dyDescent="0.25">
      <c r="B605" s="3"/>
      <c r="C605" s="3"/>
      <c r="D605" s="3"/>
      <c r="E605" s="3"/>
    </row>
    <row r="606" spans="2:5" ht="15" x14ac:dyDescent="0.25">
      <c r="B606" s="3"/>
      <c r="C606" s="3"/>
      <c r="D606" s="3"/>
      <c r="E606" s="3"/>
    </row>
    <row r="607" spans="2:5" ht="15" x14ac:dyDescent="0.25">
      <c r="B607" s="3"/>
      <c r="C607" s="3"/>
      <c r="D607" s="3"/>
      <c r="E607" s="3"/>
    </row>
    <row r="608" spans="2:5" ht="15" x14ac:dyDescent="0.25">
      <c r="B608" s="3"/>
      <c r="C608" s="3"/>
      <c r="D608" s="3"/>
      <c r="E608" s="3"/>
    </row>
    <row r="609" spans="2:5" ht="15" x14ac:dyDescent="0.25">
      <c r="B609" s="3"/>
      <c r="C609" s="3"/>
      <c r="D609" s="3"/>
      <c r="E609" s="3"/>
    </row>
    <row r="610" spans="2:5" ht="15" x14ac:dyDescent="0.25">
      <c r="B610" s="3"/>
      <c r="C610" s="3"/>
      <c r="D610" s="3"/>
      <c r="E610" s="3"/>
    </row>
    <row r="611" spans="2:5" ht="15" x14ac:dyDescent="0.25">
      <c r="B611" s="3"/>
      <c r="C611" s="3"/>
      <c r="D611" s="3"/>
      <c r="E611" s="3"/>
    </row>
    <row r="612" spans="2:5" ht="15" x14ac:dyDescent="0.25">
      <c r="B612" s="3"/>
      <c r="C612" s="3"/>
      <c r="D612" s="3"/>
      <c r="E612" s="3"/>
    </row>
    <row r="613" spans="2:5" ht="15" x14ac:dyDescent="0.25">
      <c r="B613" s="3"/>
      <c r="C613" s="3"/>
      <c r="D613" s="3"/>
      <c r="E613" s="3"/>
    </row>
    <row r="614" spans="2:5" ht="15" x14ac:dyDescent="0.25">
      <c r="B614" s="3"/>
      <c r="C614" s="3"/>
      <c r="D614" s="3"/>
      <c r="E614" s="3"/>
    </row>
    <row r="615" spans="2:5" ht="15" x14ac:dyDescent="0.25">
      <c r="B615" s="3"/>
      <c r="C615" s="3"/>
      <c r="D615" s="3"/>
      <c r="E615" s="3"/>
    </row>
    <row r="616" spans="2:5" ht="15" x14ac:dyDescent="0.25">
      <c r="B616" s="3"/>
      <c r="C616" s="3"/>
      <c r="D616" s="3"/>
      <c r="E616" s="3"/>
    </row>
    <row r="617" spans="2:5" ht="15" x14ac:dyDescent="0.25">
      <c r="B617" s="3"/>
      <c r="C617" s="3"/>
      <c r="D617" s="3"/>
      <c r="E617" s="3"/>
    </row>
    <row r="618" spans="2:5" ht="15" x14ac:dyDescent="0.25">
      <c r="B618" s="3"/>
      <c r="C618" s="3"/>
      <c r="D618" s="3"/>
      <c r="E618" s="3"/>
    </row>
    <row r="619" spans="2:5" ht="15" x14ac:dyDescent="0.25">
      <c r="B619" s="3"/>
      <c r="C619" s="3"/>
      <c r="D619" s="3"/>
      <c r="E619" s="3"/>
    </row>
    <row r="620" spans="2:5" ht="15" x14ac:dyDescent="0.25">
      <c r="B620" s="3"/>
      <c r="C620" s="3"/>
      <c r="D620" s="3"/>
      <c r="E620" s="3"/>
    </row>
    <row r="621" spans="2:5" ht="15" x14ac:dyDescent="0.25">
      <c r="B621" s="3"/>
      <c r="C621" s="3"/>
      <c r="D621" s="3"/>
      <c r="E621" s="3"/>
    </row>
    <row r="622" spans="2:5" ht="15" x14ac:dyDescent="0.25">
      <c r="B622" s="3"/>
      <c r="C622" s="3"/>
      <c r="D622" s="3"/>
      <c r="E622" s="3"/>
    </row>
    <row r="623" spans="2:5" ht="15" x14ac:dyDescent="0.25">
      <c r="B623" s="3"/>
      <c r="C623" s="3"/>
      <c r="D623" s="3"/>
      <c r="E623" s="3"/>
    </row>
    <row r="624" spans="2:5" ht="15" x14ac:dyDescent="0.25">
      <c r="B624" s="3"/>
      <c r="C624" s="3"/>
      <c r="D624" s="3"/>
      <c r="E624" s="3"/>
    </row>
    <row r="625" spans="2:5" ht="15" x14ac:dyDescent="0.25">
      <c r="B625" s="3"/>
      <c r="C625" s="3"/>
      <c r="D625" s="3"/>
      <c r="E625" s="3"/>
    </row>
    <row r="626" spans="2:5" ht="15" x14ac:dyDescent="0.25">
      <c r="B626" s="3"/>
      <c r="C626" s="3"/>
      <c r="D626" s="3"/>
      <c r="E626" s="3"/>
    </row>
    <row r="627" spans="2:5" ht="15" x14ac:dyDescent="0.25">
      <c r="B627" s="3"/>
      <c r="C627" s="3"/>
      <c r="D627" s="3"/>
      <c r="E627" s="3"/>
    </row>
    <row r="628" spans="2:5" ht="15" x14ac:dyDescent="0.25">
      <c r="B628" s="3"/>
      <c r="C628" s="3"/>
      <c r="D628" s="3"/>
      <c r="E628" s="3"/>
    </row>
    <row r="629" spans="2:5" ht="15" x14ac:dyDescent="0.25">
      <c r="B629" s="3"/>
      <c r="C629" s="3"/>
      <c r="D629" s="3"/>
      <c r="E629" s="3"/>
    </row>
    <row r="630" spans="2:5" ht="15" x14ac:dyDescent="0.25">
      <c r="B630" s="3"/>
      <c r="C630" s="3"/>
      <c r="D630" s="3"/>
      <c r="E630" s="3"/>
    </row>
    <row r="631" spans="2:5" ht="15" x14ac:dyDescent="0.25">
      <c r="B631" s="3"/>
      <c r="C631" s="3"/>
      <c r="D631" s="3"/>
      <c r="E631" s="3"/>
    </row>
    <row r="632" spans="2:5" ht="15" x14ac:dyDescent="0.25">
      <c r="B632" s="3"/>
      <c r="C632" s="3"/>
      <c r="D632" s="3"/>
      <c r="E632" s="3"/>
    </row>
    <row r="633" spans="2:5" ht="15" x14ac:dyDescent="0.25">
      <c r="B633" s="3"/>
      <c r="C633" s="3"/>
      <c r="D633" s="3"/>
      <c r="E633" s="3"/>
    </row>
    <row r="634" spans="2:5" ht="15" x14ac:dyDescent="0.25">
      <c r="B634" s="3"/>
      <c r="C634" s="3"/>
      <c r="D634" s="3"/>
      <c r="E634" s="3"/>
    </row>
    <row r="635" spans="2:5" ht="15" x14ac:dyDescent="0.25">
      <c r="B635" s="3"/>
      <c r="C635" s="3"/>
      <c r="D635" s="3"/>
      <c r="E635" s="3"/>
    </row>
    <row r="636" spans="2:5" ht="15" x14ac:dyDescent="0.25">
      <c r="B636" s="3"/>
      <c r="C636" s="3"/>
      <c r="D636" s="3"/>
      <c r="E636" s="3"/>
    </row>
    <row r="637" spans="2:5" ht="15" x14ac:dyDescent="0.25">
      <c r="B637" s="3"/>
      <c r="C637" s="3"/>
      <c r="D637" s="3"/>
      <c r="E637" s="3"/>
    </row>
    <row r="638" spans="2:5" ht="15" x14ac:dyDescent="0.25">
      <c r="B638" s="3"/>
      <c r="C638" s="3"/>
      <c r="D638" s="3"/>
      <c r="E638" s="3"/>
    </row>
    <row r="639" spans="2:5" ht="15" x14ac:dyDescent="0.25">
      <c r="B639" s="3"/>
      <c r="C639" s="3"/>
      <c r="D639" s="3"/>
      <c r="E639" s="3"/>
    </row>
    <row r="640" spans="2:5" ht="15" x14ac:dyDescent="0.25">
      <c r="B640" s="3"/>
      <c r="C640" s="3"/>
      <c r="D640" s="3"/>
      <c r="E640" s="3"/>
    </row>
    <row r="641" spans="2:5" ht="15" x14ac:dyDescent="0.25">
      <c r="B641" s="3"/>
      <c r="C641" s="3"/>
      <c r="D641" s="3"/>
      <c r="E641" s="3"/>
    </row>
    <row r="642" spans="2:5" ht="15" x14ac:dyDescent="0.25">
      <c r="B642" s="3"/>
      <c r="C642" s="3"/>
      <c r="D642" s="3"/>
      <c r="E642" s="3"/>
    </row>
    <row r="643" spans="2:5" ht="15" x14ac:dyDescent="0.25">
      <c r="B643" s="3"/>
      <c r="C643" s="3"/>
      <c r="D643" s="3"/>
      <c r="E643" s="3"/>
    </row>
    <row r="644" spans="2:5" ht="15" x14ac:dyDescent="0.25">
      <c r="B644" s="3"/>
      <c r="C644" s="3"/>
      <c r="D644" s="3"/>
      <c r="E644" s="3"/>
    </row>
    <row r="645" spans="2:5" ht="15" x14ac:dyDescent="0.25">
      <c r="B645" s="3"/>
      <c r="C645" s="3"/>
      <c r="D645" s="3"/>
      <c r="E645" s="3"/>
    </row>
    <row r="646" spans="2:5" ht="15" x14ac:dyDescent="0.25">
      <c r="B646" s="3"/>
      <c r="C646" s="3"/>
      <c r="D646" s="3"/>
      <c r="E646" s="3"/>
    </row>
    <row r="647" spans="2:5" ht="15" x14ac:dyDescent="0.25">
      <c r="B647" s="3"/>
      <c r="C647" s="3"/>
      <c r="D647" s="3"/>
      <c r="E647" s="3"/>
    </row>
    <row r="648" spans="2:5" ht="15" x14ac:dyDescent="0.25">
      <c r="B648" s="3"/>
      <c r="C648" s="3"/>
      <c r="D648" s="3"/>
      <c r="E648" s="3"/>
    </row>
    <row r="649" spans="2:5" ht="15" x14ac:dyDescent="0.25">
      <c r="B649" s="3"/>
      <c r="C649" s="3"/>
      <c r="D649" s="3"/>
      <c r="E649" s="3"/>
    </row>
    <row r="650" spans="2:5" ht="15" x14ac:dyDescent="0.25">
      <c r="B650" s="3"/>
      <c r="C650" s="3"/>
      <c r="D650" s="3"/>
      <c r="E650" s="3"/>
    </row>
    <row r="651" spans="2:5" ht="15" x14ac:dyDescent="0.25">
      <c r="B651" s="3"/>
      <c r="C651" s="3"/>
      <c r="D651" s="3"/>
      <c r="E651" s="3"/>
    </row>
    <row r="652" spans="2:5" ht="15" x14ac:dyDescent="0.25">
      <c r="B652" s="3"/>
      <c r="C652" s="3"/>
      <c r="D652" s="3"/>
      <c r="E652" s="3"/>
    </row>
    <row r="653" spans="2:5" ht="15" x14ac:dyDescent="0.25">
      <c r="B653" s="3"/>
      <c r="C653" s="3"/>
      <c r="D653" s="3"/>
      <c r="E653" s="3"/>
    </row>
    <row r="654" spans="2:5" ht="15" x14ac:dyDescent="0.25">
      <c r="B654" s="3"/>
      <c r="C654" s="3"/>
      <c r="D654" s="3"/>
      <c r="E654" s="3"/>
    </row>
    <row r="655" spans="2:5" ht="15" x14ac:dyDescent="0.25">
      <c r="B655" s="3"/>
      <c r="C655" s="3"/>
      <c r="D655" s="3"/>
      <c r="E655" s="3"/>
    </row>
    <row r="656" spans="2:5" ht="15" x14ac:dyDescent="0.25">
      <c r="B656" s="3"/>
      <c r="C656" s="3"/>
      <c r="D656" s="3"/>
      <c r="E656" s="3"/>
    </row>
    <row r="657" spans="2:5" ht="15" x14ac:dyDescent="0.25">
      <c r="B657" s="3"/>
      <c r="C657" s="3"/>
      <c r="D657" s="3"/>
      <c r="E657" s="3"/>
    </row>
    <row r="658" spans="2:5" ht="15" x14ac:dyDescent="0.25">
      <c r="B658" s="3"/>
      <c r="C658" s="3"/>
      <c r="D658" s="3"/>
      <c r="E658" s="3"/>
    </row>
    <row r="659" spans="2:5" ht="15" x14ac:dyDescent="0.25">
      <c r="B659" s="3"/>
      <c r="C659" s="3"/>
      <c r="D659" s="3"/>
      <c r="E659" s="3"/>
    </row>
    <row r="660" spans="2:5" ht="15" x14ac:dyDescent="0.25">
      <c r="B660" s="3"/>
      <c r="C660" s="3"/>
      <c r="D660" s="3"/>
      <c r="E660" s="3"/>
    </row>
    <row r="661" spans="2:5" ht="15" x14ac:dyDescent="0.25">
      <c r="B661" s="3"/>
      <c r="C661" s="3"/>
      <c r="D661" s="3"/>
      <c r="E661" s="3"/>
    </row>
    <row r="662" spans="2:5" ht="15" x14ac:dyDescent="0.25">
      <c r="B662" s="3"/>
      <c r="C662" s="3"/>
      <c r="D662" s="3"/>
      <c r="E662" s="3"/>
    </row>
    <row r="663" spans="2:5" ht="15" x14ac:dyDescent="0.25">
      <c r="B663" s="3"/>
      <c r="C663" s="3"/>
      <c r="D663" s="3"/>
      <c r="E663" s="3"/>
    </row>
    <row r="664" spans="2:5" ht="15" x14ac:dyDescent="0.25">
      <c r="B664" s="3"/>
      <c r="C664" s="3"/>
      <c r="D664" s="3"/>
      <c r="E664" s="3"/>
    </row>
    <row r="665" spans="2:5" ht="15" x14ac:dyDescent="0.25">
      <c r="B665" s="3"/>
      <c r="C665" s="3"/>
      <c r="D665" s="3"/>
      <c r="E665" s="3"/>
    </row>
    <row r="666" spans="2:5" ht="15" x14ac:dyDescent="0.25">
      <c r="B666" s="3"/>
      <c r="C666" s="3"/>
      <c r="D666" s="3"/>
      <c r="E666" s="3"/>
    </row>
    <row r="667" spans="2:5" ht="15" x14ac:dyDescent="0.25">
      <c r="B667" s="3"/>
      <c r="C667" s="3"/>
      <c r="D667" s="3"/>
      <c r="E667" s="3"/>
    </row>
    <row r="668" spans="2:5" ht="15" x14ac:dyDescent="0.25">
      <c r="B668" s="3"/>
      <c r="C668" s="3"/>
      <c r="D668" s="3"/>
      <c r="E668" s="3"/>
    </row>
    <row r="669" spans="2:5" ht="15" x14ac:dyDescent="0.25">
      <c r="B669" s="3"/>
      <c r="C669" s="3"/>
      <c r="D669" s="3"/>
      <c r="E669" s="3"/>
    </row>
    <row r="670" spans="2:5" ht="15" x14ac:dyDescent="0.25">
      <c r="B670" s="3"/>
      <c r="C670" s="3"/>
      <c r="D670" s="3"/>
      <c r="E670" s="3"/>
    </row>
    <row r="671" spans="2:5" ht="15" x14ac:dyDescent="0.25">
      <c r="B671" s="3"/>
      <c r="C671" s="3"/>
      <c r="D671" s="3"/>
      <c r="E671" s="3"/>
    </row>
    <row r="672" spans="2:5" ht="15" x14ac:dyDescent="0.25">
      <c r="B672" s="3"/>
      <c r="C672" s="3"/>
      <c r="D672" s="3"/>
      <c r="E672" s="3"/>
    </row>
    <row r="673" spans="2:5" ht="15" x14ac:dyDescent="0.25">
      <c r="B673" s="3"/>
      <c r="C673" s="3"/>
      <c r="D673" s="3"/>
      <c r="E673" s="3"/>
    </row>
    <row r="674" spans="2:5" ht="15" x14ac:dyDescent="0.25">
      <c r="B674" s="3"/>
      <c r="C674" s="3"/>
      <c r="D674" s="3"/>
      <c r="E674" s="3"/>
    </row>
    <row r="675" spans="2:5" ht="15" x14ac:dyDescent="0.25">
      <c r="B675" s="3"/>
      <c r="C675" s="3"/>
      <c r="D675" s="3"/>
      <c r="E675" s="3"/>
    </row>
    <row r="676" spans="2:5" ht="15" x14ac:dyDescent="0.25">
      <c r="B676" s="3"/>
      <c r="C676" s="3"/>
      <c r="D676" s="3"/>
      <c r="E676" s="3"/>
    </row>
    <row r="677" spans="2:5" ht="15" x14ac:dyDescent="0.25">
      <c r="B677" s="3"/>
      <c r="C677" s="3"/>
      <c r="D677" s="3"/>
      <c r="E677" s="3"/>
    </row>
    <row r="678" spans="2:5" ht="15" x14ac:dyDescent="0.25">
      <c r="B678" s="3"/>
      <c r="C678" s="3"/>
      <c r="D678" s="3"/>
      <c r="E678" s="3"/>
    </row>
    <row r="679" spans="2:5" ht="15" x14ac:dyDescent="0.25">
      <c r="B679" s="3"/>
      <c r="C679" s="3"/>
      <c r="D679" s="3"/>
      <c r="E679" s="3"/>
    </row>
    <row r="680" spans="2:5" ht="15" x14ac:dyDescent="0.25">
      <c r="B680" s="3"/>
      <c r="C680" s="3"/>
      <c r="D680" s="3"/>
      <c r="E680" s="3"/>
    </row>
    <row r="681" spans="2:5" ht="15" x14ac:dyDescent="0.25">
      <c r="B681" s="3"/>
      <c r="C681" s="3"/>
      <c r="D681" s="3"/>
      <c r="E681" s="3"/>
    </row>
    <row r="682" spans="2:5" ht="15" x14ac:dyDescent="0.25">
      <c r="B682" s="3"/>
      <c r="C682" s="3"/>
      <c r="D682" s="3"/>
      <c r="E682" s="3"/>
    </row>
    <row r="683" spans="2:5" ht="15" x14ac:dyDescent="0.25">
      <c r="B683" s="3"/>
      <c r="C683" s="3"/>
      <c r="D683" s="3"/>
      <c r="E683" s="3"/>
    </row>
    <row r="684" spans="2:5" ht="15" x14ac:dyDescent="0.25">
      <c r="B684" s="3"/>
      <c r="C684" s="3"/>
      <c r="D684" s="3"/>
      <c r="E684" s="3"/>
    </row>
    <row r="685" spans="2:5" ht="15" x14ac:dyDescent="0.25">
      <c r="B685" s="3"/>
      <c r="C685" s="3"/>
      <c r="D685" s="3"/>
      <c r="E685" s="3"/>
    </row>
    <row r="686" spans="2:5" ht="15" x14ac:dyDescent="0.25">
      <c r="B686" s="3"/>
      <c r="C686" s="3"/>
      <c r="D686" s="3"/>
      <c r="E686" s="3"/>
    </row>
    <row r="687" spans="2:5" ht="15" x14ac:dyDescent="0.25">
      <c r="B687" s="3"/>
      <c r="C687" s="3"/>
      <c r="D687" s="3"/>
      <c r="E687" s="3"/>
    </row>
    <row r="688" spans="2:5" ht="15" x14ac:dyDescent="0.25">
      <c r="B688" s="3"/>
      <c r="C688" s="3"/>
      <c r="D688" s="3"/>
      <c r="E688" s="3"/>
    </row>
    <row r="689" spans="2:5" ht="15" x14ac:dyDescent="0.25">
      <c r="B689" s="3"/>
      <c r="C689" s="3"/>
      <c r="D689" s="3"/>
      <c r="E689" s="3"/>
    </row>
    <row r="690" spans="2:5" ht="15" x14ac:dyDescent="0.25">
      <c r="B690" s="3"/>
      <c r="C690" s="3"/>
      <c r="D690" s="3"/>
      <c r="E690" s="3"/>
    </row>
    <row r="691" spans="2:5" ht="15" x14ac:dyDescent="0.25">
      <c r="B691" s="3"/>
      <c r="C691" s="3"/>
      <c r="D691" s="3"/>
      <c r="E691" s="3"/>
    </row>
    <row r="692" spans="2:5" ht="15" x14ac:dyDescent="0.25">
      <c r="B692" s="3"/>
      <c r="C692" s="3"/>
      <c r="D692" s="3"/>
      <c r="E692" s="3"/>
    </row>
    <row r="693" spans="2:5" ht="15" x14ac:dyDescent="0.25">
      <c r="B693" s="3"/>
      <c r="C693" s="3"/>
      <c r="D693" s="3"/>
      <c r="E693" s="3"/>
    </row>
    <row r="694" spans="2:5" ht="15" x14ac:dyDescent="0.25">
      <c r="B694" s="3"/>
      <c r="C694" s="3"/>
      <c r="D694" s="3"/>
      <c r="E694" s="3"/>
    </row>
    <row r="695" spans="2:5" ht="15" x14ac:dyDescent="0.25">
      <c r="B695" s="3"/>
      <c r="C695" s="3"/>
      <c r="D695" s="3"/>
      <c r="E695" s="3"/>
    </row>
    <row r="696" spans="2:5" ht="15" x14ac:dyDescent="0.25">
      <c r="B696" s="3"/>
      <c r="C696" s="3"/>
      <c r="D696" s="3"/>
      <c r="E696" s="3"/>
    </row>
    <row r="697" spans="2:5" ht="15" x14ac:dyDescent="0.25">
      <c r="B697" s="3"/>
      <c r="C697" s="3"/>
      <c r="D697" s="3"/>
      <c r="E697" s="3"/>
    </row>
    <row r="698" spans="2:5" ht="15" x14ac:dyDescent="0.25">
      <c r="B698" s="3"/>
      <c r="C698" s="3"/>
      <c r="D698" s="3"/>
      <c r="E698" s="3"/>
    </row>
    <row r="699" spans="2:5" ht="15" x14ac:dyDescent="0.25">
      <c r="B699" s="3"/>
      <c r="C699" s="3"/>
      <c r="D699" s="3"/>
      <c r="E699" s="3"/>
    </row>
    <row r="700" spans="2:5" ht="15" x14ac:dyDescent="0.25">
      <c r="B700" s="3"/>
      <c r="C700" s="3"/>
      <c r="D700" s="3"/>
      <c r="E700" s="3"/>
    </row>
    <row r="701" spans="2:5" ht="15" x14ac:dyDescent="0.25">
      <c r="B701" s="3"/>
      <c r="C701" s="3"/>
      <c r="D701" s="3"/>
      <c r="E701" s="3"/>
    </row>
    <row r="702" spans="2:5" ht="15" x14ac:dyDescent="0.25">
      <c r="B702" s="3"/>
      <c r="C702" s="3"/>
      <c r="D702" s="3"/>
      <c r="E702" s="3"/>
    </row>
    <row r="703" spans="2:5" ht="15" x14ac:dyDescent="0.25">
      <c r="B703" s="3"/>
      <c r="C703" s="3"/>
      <c r="D703" s="3"/>
      <c r="E703" s="3"/>
    </row>
    <row r="704" spans="2:5" ht="15" x14ac:dyDescent="0.25">
      <c r="B704" s="3"/>
      <c r="C704" s="3"/>
      <c r="D704" s="3"/>
      <c r="E704" s="3"/>
    </row>
    <row r="705" spans="2:5" ht="15" x14ac:dyDescent="0.25">
      <c r="B705" s="3"/>
      <c r="C705" s="3"/>
      <c r="D705" s="3"/>
      <c r="E705" s="3"/>
    </row>
    <row r="706" spans="2:5" ht="15" x14ac:dyDescent="0.25">
      <c r="B706" s="3"/>
      <c r="C706" s="3"/>
      <c r="D706" s="3"/>
      <c r="E706" s="3"/>
    </row>
    <row r="707" spans="2:5" ht="15" x14ac:dyDescent="0.25">
      <c r="B707" s="3"/>
      <c r="C707" s="3"/>
      <c r="D707" s="3"/>
      <c r="E707" s="3"/>
    </row>
    <row r="708" spans="2:5" ht="15" x14ac:dyDescent="0.25">
      <c r="B708" s="3"/>
      <c r="C708" s="3"/>
      <c r="D708" s="3"/>
      <c r="E708" s="3"/>
    </row>
    <row r="709" spans="2:5" ht="15" x14ac:dyDescent="0.25">
      <c r="B709" s="3"/>
      <c r="C709" s="3"/>
      <c r="D709" s="3"/>
      <c r="E709" s="3"/>
    </row>
    <row r="710" spans="2:5" ht="15" x14ac:dyDescent="0.25">
      <c r="B710" s="3"/>
      <c r="C710" s="3"/>
      <c r="D710" s="3"/>
      <c r="E710" s="3"/>
    </row>
    <row r="711" spans="2:5" ht="15" x14ac:dyDescent="0.25">
      <c r="B711" s="3"/>
      <c r="C711" s="3"/>
      <c r="D711" s="3"/>
      <c r="E711" s="3"/>
    </row>
    <row r="712" spans="2:5" ht="15" x14ac:dyDescent="0.25">
      <c r="B712" s="3"/>
      <c r="C712" s="3"/>
      <c r="D712" s="3"/>
      <c r="E712" s="3"/>
    </row>
    <row r="713" spans="2:5" ht="15" x14ac:dyDescent="0.25">
      <c r="B713" s="3"/>
      <c r="C713" s="3"/>
      <c r="D713" s="3"/>
      <c r="E713" s="3"/>
    </row>
    <row r="714" spans="2:5" ht="15" x14ac:dyDescent="0.25">
      <c r="B714" s="3"/>
      <c r="C714" s="3"/>
      <c r="D714" s="3"/>
      <c r="E714" s="3"/>
    </row>
    <row r="715" spans="2:5" ht="15" x14ac:dyDescent="0.25">
      <c r="B715" s="3"/>
      <c r="C715" s="3"/>
      <c r="D715" s="3"/>
      <c r="E715" s="3"/>
    </row>
    <row r="716" spans="2:5" ht="15" x14ac:dyDescent="0.25">
      <c r="B716" s="3"/>
      <c r="C716" s="3"/>
      <c r="D716" s="3"/>
      <c r="E716" s="3"/>
    </row>
    <row r="717" spans="2:5" ht="15" x14ac:dyDescent="0.25">
      <c r="B717" s="3"/>
      <c r="C717" s="3"/>
      <c r="D717" s="3"/>
      <c r="E717" s="3"/>
    </row>
    <row r="718" spans="2:5" ht="15" x14ac:dyDescent="0.25">
      <c r="B718" s="3"/>
      <c r="C718" s="3"/>
      <c r="D718" s="3"/>
      <c r="E718" s="3"/>
    </row>
    <row r="719" spans="2:5" ht="15" x14ac:dyDescent="0.25">
      <c r="B719" s="3"/>
      <c r="C719" s="3"/>
      <c r="D719" s="3"/>
      <c r="E719" s="3"/>
    </row>
    <row r="720" spans="2:5" ht="15" x14ac:dyDescent="0.25">
      <c r="B720" s="3"/>
      <c r="C720" s="3"/>
      <c r="D720" s="3"/>
      <c r="E720" s="3"/>
    </row>
    <row r="721" spans="2:5" ht="15" x14ac:dyDescent="0.25">
      <c r="B721" s="3"/>
      <c r="C721" s="3"/>
      <c r="D721" s="3"/>
      <c r="E721" s="3"/>
    </row>
    <row r="722" spans="2:5" ht="15" x14ac:dyDescent="0.25">
      <c r="B722" s="3"/>
      <c r="C722" s="3"/>
      <c r="D722" s="3"/>
      <c r="E722" s="3"/>
    </row>
    <row r="723" spans="2:5" ht="15" x14ac:dyDescent="0.25">
      <c r="B723" s="3"/>
      <c r="C723" s="3"/>
      <c r="D723" s="3"/>
      <c r="E723" s="3"/>
    </row>
    <row r="724" spans="2:5" ht="15" x14ac:dyDescent="0.25">
      <c r="B724" s="3"/>
      <c r="C724" s="3"/>
      <c r="D724" s="3"/>
      <c r="E724" s="3"/>
    </row>
    <row r="725" spans="2:5" ht="15" x14ac:dyDescent="0.25">
      <c r="B725" s="3"/>
      <c r="C725" s="3"/>
      <c r="D725" s="3"/>
      <c r="E725" s="3"/>
    </row>
    <row r="726" spans="2:5" ht="15" x14ac:dyDescent="0.25">
      <c r="B726" s="3"/>
      <c r="C726" s="3"/>
      <c r="D726" s="3"/>
      <c r="E726" s="3"/>
    </row>
    <row r="727" spans="2:5" ht="15" x14ac:dyDescent="0.25">
      <c r="B727" s="3"/>
      <c r="C727" s="3"/>
      <c r="D727" s="3"/>
      <c r="E727" s="3"/>
    </row>
    <row r="728" spans="2:5" ht="15" x14ac:dyDescent="0.25">
      <c r="B728" s="3"/>
      <c r="C728" s="3"/>
      <c r="D728" s="3"/>
      <c r="E728" s="3"/>
    </row>
    <row r="729" spans="2:5" ht="15" x14ac:dyDescent="0.25">
      <c r="B729" s="3"/>
      <c r="C729" s="3"/>
      <c r="D729" s="3"/>
      <c r="E729" s="3"/>
    </row>
    <row r="730" spans="2:5" ht="15" x14ac:dyDescent="0.25">
      <c r="B730" s="3"/>
      <c r="C730" s="3"/>
      <c r="D730" s="3"/>
      <c r="E730" s="3"/>
    </row>
    <row r="731" spans="2:5" ht="15" x14ac:dyDescent="0.25">
      <c r="B731" s="3"/>
      <c r="C731" s="3"/>
      <c r="D731" s="3"/>
      <c r="E731" s="3"/>
    </row>
    <row r="732" spans="2:5" ht="15" x14ac:dyDescent="0.25">
      <c r="B732" s="3"/>
      <c r="C732" s="3"/>
      <c r="D732" s="3"/>
      <c r="E732" s="3"/>
    </row>
    <row r="733" spans="2:5" ht="15" x14ac:dyDescent="0.25">
      <c r="B733" s="3"/>
      <c r="C733" s="3"/>
      <c r="D733" s="3"/>
      <c r="E733" s="3"/>
    </row>
    <row r="734" spans="2:5" ht="15" x14ac:dyDescent="0.25">
      <c r="B734" s="3"/>
      <c r="C734" s="3"/>
      <c r="D734" s="3"/>
      <c r="E734" s="3"/>
    </row>
    <row r="735" spans="2:5" ht="15" x14ac:dyDescent="0.25">
      <c r="B735" s="3"/>
      <c r="C735" s="3"/>
      <c r="D735" s="3"/>
      <c r="E735" s="3"/>
    </row>
    <row r="736" spans="2:5" ht="15" x14ac:dyDescent="0.25">
      <c r="B736" s="3"/>
      <c r="C736" s="3"/>
      <c r="D736" s="3"/>
      <c r="E736" s="3"/>
    </row>
    <row r="737" spans="2:5" ht="15" x14ac:dyDescent="0.25">
      <c r="B737" s="3"/>
      <c r="C737" s="3"/>
      <c r="D737" s="3"/>
      <c r="E737" s="3"/>
    </row>
    <row r="738" spans="2:5" ht="15" x14ac:dyDescent="0.25">
      <c r="B738" s="3"/>
      <c r="C738" s="3"/>
      <c r="D738" s="3"/>
      <c r="E738" s="3"/>
    </row>
    <row r="739" spans="2:5" ht="15" x14ac:dyDescent="0.25">
      <c r="B739" s="3"/>
      <c r="C739" s="3"/>
      <c r="D739" s="3"/>
      <c r="E739" s="3"/>
    </row>
    <row r="740" spans="2:5" ht="15" x14ac:dyDescent="0.25">
      <c r="B740" s="3"/>
      <c r="C740" s="3"/>
      <c r="D740" s="3"/>
      <c r="E740" s="3"/>
    </row>
    <row r="741" spans="2:5" ht="15" x14ac:dyDescent="0.25">
      <c r="B741" s="3"/>
      <c r="C741" s="3"/>
      <c r="D741" s="3"/>
      <c r="E741" s="3"/>
    </row>
    <row r="742" spans="2:5" ht="15" x14ac:dyDescent="0.25">
      <c r="B742" s="3"/>
      <c r="C742" s="3"/>
      <c r="D742" s="3"/>
      <c r="E742" s="3"/>
    </row>
    <row r="743" spans="2:5" ht="15" x14ac:dyDescent="0.25">
      <c r="B743" s="3"/>
      <c r="C743" s="3"/>
      <c r="D743" s="3"/>
      <c r="E743" s="3"/>
    </row>
    <row r="744" spans="2:5" ht="15" x14ac:dyDescent="0.25">
      <c r="B744" s="3"/>
      <c r="C744" s="3"/>
      <c r="D744" s="3"/>
      <c r="E744" s="3"/>
    </row>
    <row r="745" spans="2:5" ht="15" x14ac:dyDescent="0.25">
      <c r="B745" s="3"/>
      <c r="C745" s="3"/>
      <c r="D745" s="3"/>
      <c r="E745" s="3"/>
    </row>
    <row r="746" spans="2:5" ht="15" x14ac:dyDescent="0.25">
      <c r="B746" s="3"/>
      <c r="C746" s="3"/>
      <c r="D746" s="3"/>
      <c r="E746" s="3"/>
    </row>
    <row r="747" spans="2:5" ht="15" x14ac:dyDescent="0.25">
      <c r="B747" s="3"/>
      <c r="C747" s="3"/>
      <c r="D747" s="3"/>
      <c r="E747" s="3"/>
    </row>
    <row r="748" spans="2:5" ht="15" x14ac:dyDescent="0.25">
      <c r="B748" s="3"/>
      <c r="C748" s="3"/>
      <c r="D748" s="3"/>
      <c r="E748" s="3"/>
    </row>
    <row r="749" spans="2:5" ht="15" x14ac:dyDescent="0.25">
      <c r="B749" s="3"/>
      <c r="C749" s="3"/>
      <c r="D749" s="3"/>
      <c r="E749" s="3"/>
    </row>
    <row r="750" spans="2:5" ht="15" x14ac:dyDescent="0.25">
      <c r="B750" s="3"/>
      <c r="C750" s="3"/>
      <c r="D750" s="3"/>
      <c r="E750" s="3"/>
    </row>
    <row r="751" spans="2:5" ht="15" x14ac:dyDescent="0.25">
      <c r="B751" s="3"/>
      <c r="C751" s="3"/>
      <c r="D751" s="3"/>
      <c r="E751" s="3"/>
    </row>
    <row r="752" spans="2:5" ht="15" x14ac:dyDescent="0.25">
      <c r="B752" s="3"/>
      <c r="C752" s="3"/>
      <c r="D752" s="3"/>
      <c r="E752" s="3"/>
    </row>
    <row r="753" spans="2:5" ht="15" x14ac:dyDescent="0.25">
      <c r="B753" s="3"/>
      <c r="C753" s="3"/>
      <c r="D753" s="3"/>
      <c r="E753" s="3"/>
    </row>
    <row r="754" spans="2:5" ht="15" x14ac:dyDescent="0.25">
      <c r="B754" s="3"/>
      <c r="C754" s="3"/>
      <c r="D754" s="3"/>
      <c r="E754" s="3"/>
    </row>
    <row r="755" spans="2:5" ht="15" x14ac:dyDescent="0.25">
      <c r="B755" s="3"/>
      <c r="C755" s="3"/>
      <c r="D755" s="3"/>
      <c r="E755" s="3"/>
    </row>
    <row r="756" spans="2:5" ht="15" x14ac:dyDescent="0.25">
      <c r="B756" s="3"/>
      <c r="C756" s="3"/>
      <c r="D756" s="3"/>
      <c r="E756" s="3"/>
    </row>
    <row r="757" spans="2:5" ht="15" x14ac:dyDescent="0.25">
      <c r="B757" s="3"/>
      <c r="C757" s="3"/>
      <c r="D757" s="3"/>
      <c r="E757" s="3"/>
    </row>
    <row r="758" spans="2:5" ht="15" x14ac:dyDescent="0.25">
      <c r="B758" s="3"/>
      <c r="C758" s="3"/>
      <c r="D758" s="3"/>
      <c r="E758" s="3"/>
    </row>
    <row r="759" spans="2:5" ht="15" x14ac:dyDescent="0.25">
      <c r="B759" s="3"/>
      <c r="C759" s="3"/>
      <c r="D759" s="3"/>
      <c r="E759" s="3"/>
    </row>
    <row r="760" spans="2:5" ht="15" x14ac:dyDescent="0.25">
      <c r="B760" s="3"/>
      <c r="C760" s="3"/>
      <c r="D760" s="3"/>
      <c r="E760" s="3"/>
    </row>
    <row r="761" spans="2:5" ht="15" x14ac:dyDescent="0.25">
      <c r="B761" s="3"/>
      <c r="C761" s="3"/>
      <c r="D761" s="3"/>
      <c r="E761" s="3"/>
    </row>
    <row r="762" spans="2:5" ht="15" x14ac:dyDescent="0.25">
      <c r="B762" s="3"/>
      <c r="C762" s="3"/>
      <c r="D762" s="3"/>
      <c r="E762" s="3"/>
    </row>
    <row r="763" spans="2:5" ht="15" x14ac:dyDescent="0.25">
      <c r="B763" s="3"/>
      <c r="C763" s="3"/>
      <c r="D763" s="3"/>
      <c r="E763" s="3"/>
    </row>
    <row r="764" spans="2:5" ht="15" x14ac:dyDescent="0.25">
      <c r="B764" s="3"/>
      <c r="C764" s="3"/>
      <c r="D764" s="3"/>
      <c r="E764" s="3"/>
    </row>
    <row r="765" spans="2:5" ht="15" x14ac:dyDescent="0.25">
      <c r="B765" s="3"/>
      <c r="C765" s="3"/>
      <c r="D765" s="3"/>
      <c r="E765" s="3"/>
    </row>
    <row r="766" spans="2:5" ht="15" x14ac:dyDescent="0.25">
      <c r="B766" s="3"/>
      <c r="C766" s="3"/>
      <c r="D766" s="3"/>
      <c r="E766" s="3"/>
    </row>
    <row r="767" spans="2:5" ht="15" x14ac:dyDescent="0.25">
      <c r="B767" s="3"/>
      <c r="C767" s="3"/>
      <c r="D767" s="3"/>
      <c r="E767" s="3"/>
    </row>
    <row r="768" spans="2:5" ht="15" x14ac:dyDescent="0.25">
      <c r="B768" s="3"/>
      <c r="C768" s="3"/>
      <c r="D768" s="3"/>
      <c r="E768" s="3"/>
    </row>
    <row r="769" spans="2:5" ht="15" x14ac:dyDescent="0.25">
      <c r="B769" s="3"/>
      <c r="C769" s="3"/>
      <c r="D769" s="3"/>
      <c r="E769" s="3"/>
    </row>
    <row r="770" spans="2:5" ht="15" x14ac:dyDescent="0.25">
      <c r="B770" s="3"/>
      <c r="C770" s="3"/>
      <c r="D770" s="3"/>
      <c r="E770" s="3"/>
    </row>
    <row r="771" spans="2:5" ht="15" x14ac:dyDescent="0.25">
      <c r="B771" s="3"/>
      <c r="C771" s="3"/>
      <c r="D771" s="3"/>
      <c r="E771" s="3"/>
    </row>
    <row r="772" spans="2:5" ht="15" x14ac:dyDescent="0.25">
      <c r="B772" s="3"/>
      <c r="C772" s="3"/>
      <c r="D772" s="3"/>
      <c r="E772" s="3"/>
    </row>
    <row r="773" spans="2:5" ht="15" x14ac:dyDescent="0.25">
      <c r="B773" s="3"/>
      <c r="C773" s="3"/>
      <c r="D773" s="3"/>
      <c r="E773" s="3"/>
    </row>
    <row r="774" spans="2:5" ht="15" x14ac:dyDescent="0.25">
      <c r="B774" s="3"/>
      <c r="C774" s="3"/>
      <c r="D774" s="3"/>
      <c r="E774" s="3"/>
    </row>
    <row r="775" spans="2:5" ht="15" x14ac:dyDescent="0.25">
      <c r="B775" s="3"/>
      <c r="C775" s="3"/>
      <c r="D775" s="3"/>
      <c r="E775" s="3"/>
    </row>
    <row r="776" spans="2:5" ht="15" x14ac:dyDescent="0.25">
      <c r="B776" s="3"/>
      <c r="C776" s="3"/>
      <c r="D776" s="3"/>
      <c r="E776" s="3"/>
    </row>
    <row r="777" spans="2:5" ht="15" x14ac:dyDescent="0.25">
      <c r="B777" s="3"/>
      <c r="C777" s="3"/>
      <c r="D777" s="3"/>
      <c r="E777" s="3"/>
    </row>
    <row r="778" spans="2:5" ht="15" x14ac:dyDescent="0.25">
      <c r="B778" s="3"/>
      <c r="C778" s="3"/>
      <c r="D778" s="3"/>
      <c r="E778" s="3"/>
    </row>
    <row r="779" spans="2:5" ht="15" x14ac:dyDescent="0.25">
      <c r="B779" s="3"/>
      <c r="C779" s="3"/>
      <c r="D779" s="3"/>
      <c r="E779" s="3"/>
    </row>
    <row r="780" spans="2:5" ht="15" x14ac:dyDescent="0.25">
      <c r="B780" s="3"/>
      <c r="C780" s="3"/>
      <c r="D780" s="3"/>
      <c r="E780" s="3"/>
    </row>
    <row r="781" spans="2:5" ht="15" x14ac:dyDescent="0.25">
      <c r="B781" s="3"/>
      <c r="C781" s="3"/>
      <c r="D781" s="3"/>
      <c r="E781" s="3"/>
    </row>
    <row r="782" spans="2:5" ht="15" x14ac:dyDescent="0.25">
      <c r="B782" s="3"/>
      <c r="C782" s="3"/>
      <c r="D782" s="3"/>
      <c r="E782" s="3"/>
    </row>
    <row r="783" spans="2:5" ht="15" x14ac:dyDescent="0.25">
      <c r="B783" s="3"/>
      <c r="C783" s="3"/>
      <c r="D783" s="3"/>
      <c r="E783" s="3"/>
    </row>
    <row r="784" spans="2:5" ht="15" x14ac:dyDescent="0.25">
      <c r="B784" s="3"/>
      <c r="C784" s="3"/>
      <c r="D784" s="3"/>
      <c r="E784" s="3"/>
    </row>
    <row r="785" spans="2:5" ht="15" x14ac:dyDescent="0.25">
      <c r="B785" s="3"/>
      <c r="C785" s="3"/>
      <c r="D785" s="3"/>
      <c r="E785" s="3"/>
    </row>
    <row r="786" spans="2:5" ht="15" x14ac:dyDescent="0.25">
      <c r="B786" s="3"/>
      <c r="C786" s="3"/>
      <c r="D786" s="3"/>
      <c r="E786" s="3"/>
    </row>
    <row r="787" spans="2:5" ht="15" x14ac:dyDescent="0.25">
      <c r="B787" s="3"/>
      <c r="C787" s="3"/>
      <c r="D787" s="3"/>
      <c r="E787" s="3"/>
    </row>
    <row r="788" spans="2:5" ht="15" x14ac:dyDescent="0.25">
      <c r="B788" s="3"/>
      <c r="C788" s="3"/>
      <c r="D788" s="3"/>
      <c r="E788" s="3"/>
    </row>
    <row r="789" spans="2:5" ht="15" x14ac:dyDescent="0.25">
      <c r="B789" s="3"/>
      <c r="C789" s="3"/>
      <c r="D789" s="3"/>
      <c r="E789" s="3"/>
    </row>
    <row r="790" spans="2:5" ht="15" x14ac:dyDescent="0.25">
      <c r="B790" s="3"/>
      <c r="C790" s="3"/>
      <c r="D790" s="3"/>
      <c r="E790" s="3"/>
    </row>
    <row r="791" spans="2:5" ht="15" x14ac:dyDescent="0.25">
      <c r="B791" s="3"/>
      <c r="C791" s="3"/>
      <c r="D791" s="3"/>
      <c r="E791" s="3"/>
    </row>
    <row r="792" spans="2:5" ht="15" x14ac:dyDescent="0.25">
      <c r="B792" s="3"/>
      <c r="C792" s="3"/>
      <c r="D792" s="3"/>
      <c r="E792" s="3"/>
    </row>
    <row r="793" spans="2:5" ht="15" x14ac:dyDescent="0.25">
      <c r="B793" s="3"/>
      <c r="C793" s="3"/>
      <c r="D793" s="3"/>
      <c r="E793" s="3"/>
    </row>
    <row r="794" spans="2:5" ht="15" x14ac:dyDescent="0.25">
      <c r="B794" s="3"/>
      <c r="C794" s="3"/>
      <c r="D794" s="3"/>
      <c r="E794" s="3"/>
    </row>
    <row r="795" spans="2:5" ht="15" x14ac:dyDescent="0.25">
      <c r="B795" s="3"/>
      <c r="C795" s="3"/>
      <c r="D795" s="3"/>
      <c r="E795" s="3"/>
    </row>
    <row r="796" spans="2:5" ht="15" x14ac:dyDescent="0.25">
      <c r="B796" s="3"/>
      <c r="C796" s="3"/>
      <c r="D796" s="3"/>
      <c r="E796" s="3"/>
    </row>
    <row r="797" spans="2:5" ht="15" x14ac:dyDescent="0.25">
      <c r="B797" s="3"/>
      <c r="C797" s="3"/>
      <c r="D797" s="3"/>
      <c r="E797" s="3"/>
    </row>
    <row r="798" spans="2:5" ht="15" x14ac:dyDescent="0.25">
      <c r="B798" s="3"/>
      <c r="C798" s="3"/>
      <c r="D798" s="3"/>
      <c r="E798" s="3"/>
    </row>
    <row r="799" spans="2:5" ht="15" x14ac:dyDescent="0.25">
      <c r="B799" s="3"/>
      <c r="C799" s="3"/>
      <c r="D799" s="3"/>
      <c r="E799" s="3"/>
    </row>
    <row r="800" spans="2:5" ht="15" x14ac:dyDescent="0.25">
      <c r="B800" s="3"/>
      <c r="C800" s="3"/>
      <c r="D800" s="3"/>
      <c r="E800" s="3"/>
    </row>
    <row r="801" spans="2:5" ht="15" x14ac:dyDescent="0.25">
      <c r="B801" s="3"/>
      <c r="C801" s="3"/>
      <c r="D801" s="3"/>
      <c r="E801" s="3"/>
    </row>
    <row r="802" spans="2:5" ht="15" x14ac:dyDescent="0.25">
      <c r="B802" s="3"/>
      <c r="C802" s="3"/>
      <c r="D802" s="3"/>
      <c r="E802" s="3"/>
    </row>
    <row r="803" spans="2:5" ht="15" x14ac:dyDescent="0.25">
      <c r="B803" s="3"/>
      <c r="C803" s="3"/>
      <c r="D803" s="3"/>
      <c r="E803" s="3"/>
    </row>
    <row r="804" spans="2:5" ht="15" x14ac:dyDescent="0.25">
      <c r="B804" s="3"/>
      <c r="C804" s="3"/>
      <c r="D804" s="3"/>
      <c r="E804" s="3"/>
    </row>
    <row r="805" spans="2:5" ht="15" x14ac:dyDescent="0.25">
      <c r="B805" s="3"/>
      <c r="C805" s="3"/>
      <c r="D805" s="3"/>
      <c r="E805" s="3"/>
    </row>
    <row r="806" spans="2:5" ht="15" x14ac:dyDescent="0.25">
      <c r="B806" s="3"/>
      <c r="C806" s="3"/>
      <c r="D806" s="3"/>
      <c r="E806" s="3"/>
    </row>
    <row r="807" spans="2:5" ht="15" x14ac:dyDescent="0.25">
      <c r="B807" s="3"/>
      <c r="C807" s="3"/>
      <c r="D807" s="3"/>
      <c r="E807" s="3"/>
    </row>
    <row r="808" spans="2:5" ht="15" x14ac:dyDescent="0.25">
      <c r="B808" s="3"/>
      <c r="C808" s="3"/>
      <c r="D808" s="3"/>
      <c r="E808" s="3"/>
    </row>
    <row r="809" spans="2:5" ht="15" x14ac:dyDescent="0.25">
      <c r="B809" s="3"/>
      <c r="C809" s="3"/>
      <c r="D809" s="3"/>
      <c r="E809" s="3"/>
    </row>
    <row r="810" spans="2:5" ht="15" x14ac:dyDescent="0.25">
      <c r="B810" s="3"/>
      <c r="C810" s="3"/>
      <c r="D810" s="3"/>
      <c r="E810" s="3"/>
    </row>
    <row r="811" spans="2:5" ht="15" x14ac:dyDescent="0.25">
      <c r="B811" s="3"/>
      <c r="C811" s="3"/>
      <c r="D811" s="3"/>
      <c r="E811" s="3"/>
    </row>
    <row r="812" spans="2:5" ht="15" x14ac:dyDescent="0.25">
      <c r="B812" s="3"/>
      <c r="C812" s="3"/>
      <c r="D812" s="3"/>
      <c r="E812" s="3"/>
    </row>
    <row r="813" spans="2:5" ht="15" x14ac:dyDescent="0.25">
      <c r="B813" s="3"/>
      <c r="C813" s="3"/>
      <c r="D813" s="3"/>
      <c r="E813" s="3"/>
    </row>
    <row r="814" spans="2:5" ht="15" x14ac:dyDescent="0.25">
      <c r="B814" s="3"/>
      <c r="C814" s="3"/>
      <c r="D814" s="3"/>
      <c r="E814" s="3"/>
    </row>
    <row r="815" spans="2:5" ht="15" x14ac:dyDescent="0.25">
      <c r="B815" s="3"/>
      <c r="C815" s="3"/>
      <c r="D815" s="3"/>
      <c r="E815" s="3"/>
    </row>
    <row r="816" spans="2:5" ht="15" x14ac:dyDescent="0.25">
      <c r="B816" s="3"/>
      <c r="C816" s="3"/>
      <c r="D816" s="3"/>
      <c r="E816" s="3"/>
    </row>
    <row r="817" spans="2:5" ht="15" x14ac:dyDescent="0.25">
      <c r="B817" s="3"/>
      <c r="C817" s="3"/>
      <c r="D817" s="3"/>
      <c r="E817" s="3"/>
    </row>
    <row r="818" spans="2:5" ht="15" x14ac:dyDescent="0.25">
      <c r="B818" s="3"/>
      <c r="C818" s="3"/>
      <c r="D818" s="3"/>
      <c r="E818" s="3"/>
    </row>
    <row r="819" spans="2:5" ht="15" x14ac:dyDescent="0.25">
      <c r="B819" s="3"/>
      <c r="C819" s="3"/>
      <c r="D819" s="3"/>
      <c r="E819" s="3"/>
    </row>
    <row r="820" spans="2:5" ht="15" x14ac:dyDescent="0.25">
      <c r="B820" s="3"/>
      <c r="C820" s="3"/>
      <c r="D820" s="3"/>
      <c r="E820" s="3"/>
    </row>
    <row r="821" spans="2:5" ht="15" x14ac:dyDescent="0.25">
      <c r="B821" s="3"/>
      <c r="C821" s="3"/>
      <c r="D821" s="3"/>
      <c r="E821" s="3"/>
    </row>
    <row r="822" spans="2:5" ht="15" x14ac:dyDescent="0.25">
      <c r="B822" s="3"/>
      <c r="C822" s="3"/>
      <c r="D822" s="3"/>
      <c r="E822" s="3"/>
    </row>
    <row r="823" spans="2:5" ht="15" x14ac:dyDescent="0.25">
      <c r="B823" s="3"/>
      <c r="C823" s="3"/>
      <c r="D823" s="3"/>
      <c r="E823" s="3"/>
    </row>
    <row r="824" spans="2:5" ht="15" x14ac:dyDescent="0.25">
      <c r="B824" s="3"/>
      <c r="C824" s="3"/>
      <c r="D824" s="3"/>
      <c r="E824" s="3"/>
    </row>
    <row r="825" spans="2:5" ht="15" x14ac:dyDescent="0.25">
      <c r="B825" s="3"/>
      <c r="C825" s="3"/>
      <c r="D825" s="3"/>
      <c r="E825" s="3"/>
    </row>
    <row r="826" spans="2:5" ht="15" x14ac:dyDescent="0.25">
      <c r="B826" s="3"/>
      <c r="C826" s="3"/>
      <c r="D826" s="3"/>
      <c r="E826" s="3"/>
    </row>
    <row r="827" spans="2:5" ht="15" x14ac:dyDescent="0.25">
      <c r="B827" s="3"/>
      <c r="C827" s="3"/>
      <c r="D827" s="3"/>
      <c r="E827" s="3"/>
    </row>
    <row r="828" spans="2:5" ht="15" x14ac:dyDescent="0.25">
      <c r="B828" s="3"/>
      <c r="C828" s="3"/>
      <c r="D828" s="3"/>
      <c r="E828" s="3"/>
    </row>
    <row r="829" spans="2:5" ht="15" x14ac:dyDescent="0.25">
      <c r="B829" s="3"/>
      <c r="C829" s="3"/>
      <c r="D829" s="3"/>
      <c r="E829" s="3"/>
    </row>
    <row r="830" spans="2:5" ht="15" x14ac:dyDescent="0.25">
      <c r="B830" s="3"/>
      <c r="C830" s="3"/>
      <c r="D830" s="3"/>
      <c r="E830" s="3"/>
    </row>
    <row r="831" spans="2:5" ht="15" x14ac:dyDescent="0.25">
      <c r="B831" s="3"/>
      <c r="C831" s="3"/>
      <c r="D831" s="3"/>
      <c r="E831" s="3"/>
    </row>
    <row r="832" spans="2:5" ht="15" x14ac:dyDescent="0.25">
      <c r="B832" s="3"/>
      <c r="C832" s="3"/>
      <c r="D832" s="3"/>
      <c r="E832" s="3"/>
    </row>
    <row r="833" spans="2:5" ht="15" x14ac:dyDescent="0.25">
      <c r="B833" s="3"/>
      <c r="C833" s="3"/>
      <c r="D833" s="3"/>
      <c r="E833" s="3"/>
    </row>
    <row r="834" spans="2:5" ht="15" x14ac:dyDescent="0.25">
      <c r="B834" s="3"/>
      <c r="C834" s="3"/>
      <c r="D834" s="3"/>
      <c r="E834" s="3"/>
    </row>
    <row r="835" spans="2:5" ht="15" x14ac:dyDescent="0.25">
      <c r="B835" s="3"/>
      <c r="C835" s="3"/>
      <c r="D835" s="3"/>
      <c r="E835" s="3"/>
    </row>
    <row r="836" spans="2:5" ht="15" x14ac:dyDescent="0.25">
      <c r="B836" s="3"/>
      <c r="C836" s="3"/>
      <c r="D836" s="3"/>
      <c r="E836" s="3"/>
    </row>
    <row r="837" spans="2:5" ht="15" x14ac:dyDescent="0.25">
      <c r="B837" s="3"/>
      <c r="C837" s="3"/>
      <c r="D837" s="3"/>
      <c r="E837" s="3"/>
    </row>
    <row r="838" spans="2:5" ht="15" x14ac:dyDescent="0.25">
      <c r="B838" s="3"/>
      <c r="C838" s="3"/>
      <c r="D838" s="3"/>
      <c r="E838" s="3"/>
    </row>
    <row r="839" spans="2:5" ht="15" x14ac:dyDescent="0.25">
      <c r="B839" s="3"/>
      <c r="C839" s="3"/>
      <c r="D839" s="3"/>
      <c r="E839" s="3"/>
    </row>
    <row r="840" spans="2:5" ht="15" x14ac:dyDescent="0.25">
      <c r="B840" s="3"/>
      <c r="C840" s="3"/>
      <c r="D840" s="3"/>
      <c r="E840" s="3"/>
    </row>
    <row r="841" spans="2:5" ht="15" x14ac:dyDescent="0.25">
      <c r="B841" s="3"/>
      <c r="C841" s="3"/>
      <c r="D841" s="3"/>
      <c r="E841" s="3"/>
    </row>
    <row r="842" spans="2:5" ht="15" x14ac:dyDescent="0.25">
      <c r="B842" s="3"/>
      <c r="C842" s="3"/>
      <c r="D842" s="3"/>
      <c r="E842" s="3"/>
    </row>
    <row r="843" spans="2:5" ht="15" x14ac:dyDescent="0.25">
      <c r="B843" s="3"/>
      <c r="C843" s="3"/>
      <c r="D843" s="3"/>
      <c r="E843" s="3"/>
    </row>
    <row r="844" spans="2:5" ht="15" x14ac:dyDescent="0.25">
      <c r="B844" s="3"/>
      <c r="C844" s="3"/>
      <c r="D844" s="3"/>
      <c r="E844" s="3"/>
    </row>
    <row r="845" spans="2:5" ht="15" x14ac:dyDescent="0.25">
      <c r="B845" s="3"/>
      <c r="C845" s="3"/>
      <c r="D845" s="3"/>
      <c r="E845" s="3"/>
    </row>
    <row r="846" spans="2:5" ht="15" x14ac:dyDescent="0.25">
      <c r="B846" s="3"/>
      <c r="C846" s="3"/>
      <c r="D846" s="3"/>
      <c r="E846" s="3"/>
    </row>
    <row r="847" spans="2:5" ht="15" x14ac:dyDescent="0.25">
      <c r="B847" s="3"/>
      <c r="C847" s="3"/>
      <c r="D847" s="3"/>
      <c r="E847" s="3"/>
    </row>
    <row r="848" spans="2:5" ht="15" x14ac:dyDescent="0.25">
      <c r="B848" s="3"/>
      <c r="C848" s="3"/>
      <c r="D848" s="3"/>
      <c r="E848" s="3"/>
    </row>
    <row r="849" spans="2:5" ht="15" x14ac:dyDescent="0.25">
      <c r="B849" s="3"/>
      <c r="C849" s="3"/>
      <c r="D849" s="3"/>
      <c r="E849" s="3"/>
    </row>
    <row r="850" spans="2:5" ht="15" x14ac:dyDescent="0.25">
      <c r="B850" s="3"/>
      <c r="C850" s="3"/>
      <c r="D850" s="3"/>
      <c r="E850" s="3"/>
    </row>
    <row r="851" spans="2:5" ht="15" x14ac:dyDescent="0.25">
      <c r="B851" s="3"/>
      <c r="C851" s="3"/>
      <c r="D851" s="3"/>
      <c r="E851" s="3"/>
    </row>
    <row r="852" spans="2:5" ht="15" x14ac:dyDescent="0.25">
      <c r="B852" s="3"/>
      <c r="C852" s="3"/>
      <c r="D852" s="3"/>
      <c r="E852" s="3"/>
    </row>
    <row r="853" spans="2:5" ht="15" x14ac:dyDescent="0.25">
      <c r="B853" s="3"/>
      <c r="C853" s="3"/>
      <c r="D853" s="3"/>
      <c r="E853" s="3"/>
    </row>
    <row r="854" spans="2:5" ht="15" x14ac:dyDescent="0.25">
      <c r="B854" s="3"/>
      <c r="C854" s="3"/>
      <c r="D854" s="3"/>
      <c r="E854" s="3"/>
    </row>
    <row r="855" spans="2:5" ht="15" x14ac:dyDescent="0.25">
      <c r="B855" s="3"/>
      <c r="C855" s="3"/>
      <c r="D855" s="3"/>
      <c r="E855" s="3"/>
    </row>
    <row r="856" spans="2:5" ht="15" x14ac:dyDescent="0.25">
      <c r="B856" s="3"/>
      <c r="C856" s="3"/>
      <c r="D856" s="3"/>
      <c r="E856" s="3"/>
    </row>
    <row r="857" spans="2:5" ht="15" x14ac:dyDescent="0.25">
      <c r="B857" s="3"/>
      <c r="C857" s="3"/>
      <c r="D857" s="3"/>
      <c r="E857" s="3"/>
    </row>
    <row r="858" spans="2:5" ht="15" x14ac:dyDescent="0.25">
      <c r="B858" s="3"/>
      <c r="C858" s="3"/>
      <c r="D858" s="3"/>
      <c r="E858" s="3"/>
    </row>
    <row r="859" spans="2:5" ht="15" x14ac:dyDescent="0.25">
      <c r="B859" s="3"/>
      <c r="C859" s="3"/>
      <c r="D859" s="3"/>
      <c r="E859" s="3"/>
    </row>
    <row r="860" spans="2:5" ht="15" x14ac:dyDescent="0.25">
      <c r="B860" s="3"/>
      <c r="C860" s="3"/>
      <c r="D860" s="3"/>
      <c r="E860" s="3"/>
    </row>
    <row r="861" spans="2:5" ht="15" x14ac:dyDescent="0.25">
      <c r="B861" s="3"/>
      <c r="C861" s="3"/>
      <c r="D861" s="3"/>
      <c r="E861" s="3"/>
    </row>
    <row r="862" spans="2:5" ht="15" x14ac:dyDescent="0.25">
      <c r="B862" s="3"/>
      <c r="C862" s="3"/>
      <c r="D862" s="3"/>
      <c r="E862" s="3"/>
    </row>
    <row r="863" spans="2:5" ht="15" x14ac:dyDescent="0.25">
      <c r="B863" s="3"/>
      <c r="C863" s="3"/>
      <c r="D863" s="3"/>
      <c r="E863" s="3"/>
    </row>
    <row r="864" spans="2:5" ht="15" x14ac:dyDescent="0.25">
      <c r="B864" s="3"/>
      <c r="C864" s="3"/>
      <c r="D864" s="3"/>
      <c r="E864" s="3"/>
    </row>
    <row r="865" spans="2:5" ht="15" x14ac:dyDescent="0.25">
      <c r="B865" s="3"/>
      <c r="C865" s="3"/>
      <c r="D865" s="3"/>
      <c r="E865" s="3"/>
    </row>
    <row r="866" spans="2:5" ht="15" x14ac:dyDescent="0.25">
      <c r="B866" s="3"/>
      <c r="C866" s="3"/>
      <c r="D866" s="3"/>
      <c r="E866" s="3"/>
    </row>
    <row r="867" spans="2:5" ht="15" x14ac:dyDescent="0.25">
      <c r="B867" s="3"/>
      <c r="C867" s="3"/>
      <c r="D867" s="3"/>
      <c r="E867" s="3"/>
    </row>
    <row r="868" spans="2:5" ht="15" x14ac:dyDescent="0.25">
      <c r="B868" s="3"/>
      <c r="C868" s="3"/>
      <c r="D868" s="3"/>
      <c r="E868" s="3"/>
    </row>
    <row r="869" spans="2:5" ht="15" x14ac:dyDescent="0.25">
      <c r="B869" s="3"/>
      <c r="C869" s="3"/>
      <c r="D869" s="3"/>
      <c r="E869" s="3"/>
    </row>
    <row r="870" spans="2:5" ht="15" x14ac:dyDescent="0.25">
      <c r="B870" s="3"/>
      <c r="C870" s="3"/>
      <c r="D870" s="3"/>
      <c r="E870" s="3"/>
    </row>
    <row r="871" spans="2:5" ht="15" x14ac:dyDescent="0.25">
      <c r="B871" s="3"/>
      <c r="C871" s="3"/>
      <c r="D871" s="3"/>
      <c r="E871" s="3"/>
    </row>
    <row r="872" spans="2:5" ht="15" x14ac:dyDescent="0.25">
      <c r="B872" s="3"/>
      <c r="C872" s="3"/>
      <c r="D872" s="3"/>
      <c r="E872" s="3"/>
    </row>
    <row r="873" spans="2:5" ht="15" x14ac:dyDescent="0.25">
      <c r="B873" s="3"/>
      <c r="C873" s="3"/>
      <c r="D873" s="3"/>
      <c r="E873" s="3"/>
    </row>
    <row r="874" spans="2:5" ht="15" x14ac:dyDescent="0.25">
      <c r="B874" s="3"/>
      <c r="C874" s="3"/>
      <c r="D874" s="3"/>
      <c r="E874" s="3"/>
    </row>
    <row r="875" spans="2:5" ht="15" x14ac:dyDescent="0.25">
      <c r="B875" s="3"/>
      <c r="C875" s="3"/>
      <c r="D875" s="3"/>
      <c r="E875" s="3"/>
    </row>
    <row r="876" spans="2:5" ht="15" x14ac:dyDescent="0.25">
      <c r="B876" s="3"/>
      <c r="C876" s="3"/>
      <c r="D876" s="3"/>
      <c r="E876" s="3"/>
    </row>
    <row r="877" spans="2:5" ht="15" x14ac:dyDescent="0.25">
      <c r="B877" s="3"/>
      <c r="C877" s="3"/>
      <c r="D877" s="3"/>
      <c r="E877" s="3"/>
    </row>
    <row r="878" spans="2:5" ht="15" x14ac:dyDescent="0.25">
      <c r="B878" s="3"/>
      <c r="C878" s="3"/>
      <c r="D878" s="3"/>
      <c r="E878" s="3"/>
    </row>
    <row r="879" spans="2:5" ht="15" x14ac:dyDescent="0.25">
      <c r="B879" s="3"/>
      <c r="C879" s="3"/>
      <c r="D879" s="3"/>
      <c r="E879" s="3"/>
    </row>
    <row r="880" spans="2:5" ht="15" x14ac:dyDescent="0.25">
      <c r="B880" s="3"/>
      <c r="C880" s="3"/>
      <c r="D880" s="3"/>
      <c r="E880" s="3"/>
    </row>
    <row r="881" spans="2:5" ht="15" x14ac:dyDescent="0.25">
      <c r="B881" s="3"/>
      <c r="C881" s="3"/>
      <c r="D881" s="3"/>
      <c r="E881" s="3"/>
    </row>
    <row r="882" spans="2:5" ht="15" x14ac:dyDescent="0.25">
      <c r="B882" s="3"/>
      <c r="C882" s="3"/>
      <c r="D882" s="3"/>
      <c r="E882" s="3"/>
    </row>
    <row r="883" spans="2:5" ht="15" x14ac:dyDescent="0.25">
      <c r="B883" s="3"/>
      <c r="C883" s="3"/>
      <c r="D883" s="3"/>
      <c r="E883" s="3"/>
    </row>
    <row r="884" spans="2:5" ht="15" x14ac:dyDescent="0.25">
      <c r="B884" s="3"/>
      <c r="C884" s="3"/>
      <c r="D884" s="3"/>
      <c r="E884" s="3"/>
    </row>
    <row r="885" spans="2:5" ht="15" x14ac:dyDescent="0.25">
      <c r="B885" s="3"/>
      <c r="C885" s="3"/>
      <c r="D885" s="3"/>
      <c r="E885" s="3"/>
    </row>
    <row r="886" spans="2:5" ht="15" x14ac:dyDescent="0.25">
      <c r="B886" s="3"/>
      <c r="C886" s="3"/>
      <c r="D886" s="3"/>
      <c r="E886" s="3"/>
    </row>
    <row r="887" spans="2:5" ht="15" x14ac:dyDescent="0.25">
      <c r="B887" s="3"/>
      <c r="C887" s="3"/>
      <c r="D887" s="3"/>
      <c r="E887" s="3"/>
    </row>
    <row r="888" spans="2:5" ht="15" x14ac:dyDescent="0.25">
      <c r="B888" s="3"/>
      <c r="C888" s="3"/>
      <c r="D888" s="3"/>
      <c r="E888" s="3"/>
    </row>
    <row r="889" spans="2:5" ht="15" x14ac:dyDescent="0.25">
      <c r="B889" s="3"/>
      <c r="C889" s="3"/>
      <c r="D889" s="3"/>
      <c r="E889" s="3"/>
    </row>
    <row r="890" spans="2:5" ht="15" x14ac:dyDescent="0.25">
      <c r="B890" s="3"/>
      <c r="C890" s="3"/>
      <c r="D890" s="3"/>
      <c r="E890" s="3"/>
    </row>
    <row r="891" spans="2:5" ht="15" x14ac:dyDescent="0.25">
      <c r="B891" s="3"/>
      <c r="C891" s="3"/>
      <c r="D891" s="3"/>
      <c r="E891" s="3"/>
    </row>
    <row r="892" spans="2:5" ht="15" x14ac:dyDescent="0.25">
      <c r="B892" s="3"/>
      <c r="C892" s="3"/>
      <c r="D892" s="3"/>
      <c r="E892" s="3"/>
    </row>
    <row r="893" spans="2:5" ht="15" x14ac:dyDescent="0.25">
      <c r="B893" s="3"/>
      <c r="C893" s="3"/>
      <c r="D893" s="3"/>
      <c r="E893" s="3"/>
    </row>
    <row r="894" spans="2:5" ht="15" x14ac:dyDescent="0.25">
      <c r="B894" s="3"/>
      <c r="C894" s="3"/>
      <c r="D894" s="3"/>
      <c r="E894" s="3"/>
    </row>
    <row r="895" spans="2:5" ht="15" x14ac:dyDescent="0.25">
      <c r="B895" s="3"/>
      <c r="C895" s="3"/>
      <c r="D895" s="3"/>
      <c r="E895" s="3"/>
    </row>
    <row r="896" spans="2:5" ht="15" x14ac:dyDescent="0.25">
      <c r="B896" s="3"/>
      <c r="C896" s="3"/>
      <c r="D896" s="3"/>
      <c r="E896" s="3"/>
    </row>
    <row r="897" spans="2:5" ht="15" x14ac:dyDescent="0.25">
      <c r="B897" s="3"/>
      <c r="C897" s="3"/>
      <c r="D897" s="3"/>
      <c r="E897" s="3"/>
    </row>
    <row r="898" spans="2:5" ht="15" x14ac:dyDescent="0.25">
      <c r="B898" s="3"/>
      <c r="C898" s="3"/>
      <c r="D898" s="3"/>
      <c r="E898" s="3"/>
    </row>
    <row r="899" spans="2:5" ht="15" x14ac:dyDescent="0.25">
      <c r="B899" s="3"/>
      <c r="C899" s="3"/>
      <c r="D899" s="3"/>
      <c r="E899" s="3"/>
    </row>
    <row r="900" spans="2:5" ht="15" x14ac:dyDescent="0.25">
      <c r="B900" s="3"/>
      <c r="C900" s="3"/>
      <c r="D900" s="3"/>
      <c r="E900" s="3"/>
    </row>
    <row r="901" spans="2:5" ht="15" x14ac:dyDescent="0.25">
      <c r="B901" s="3"/>
      <c r="C901" s="3"/>
      <c r="D901" s="3"/>
      <c r="E901" s="3"/>
    </row>
    <row r="902" spans="2:5" ht="15" x14ac:dyDescent="0.25">
      <c r="B902" s="3"/>
      <c r="C902" s="3"/>
      <c r="D902" s="3"/>
      <c r="E902" s="3"/>
    </row>
    <row r="903" spans="2:5" ht="15" x14ac:dyDescent="0.25">
      <c r="B903" s="3"/>
      <c r="C903" s="3"/>
      <c r="D903" s="3"/>
      <c r="E903" s="3"/>
    </row>
    <row r="904" spans="2:5" ht="15" x14ac:dyDescent="0.25">
      <c r="B904" s="3"/>
      <c r="C904" s="3"/>
      <c r="D904" s="3"/>
      <c r="E904" s="3"/>
    </row>
    <row r="905" spans="2:5" ht="15" x14ac:dyDescent="0.25">
      <c r="B905" s="3"/>
      <c r="C905" s="3"/>
      <c r="D905" s="3"/>
      <c r="E905" s="3"/>
    </row>
    <row r="906" spans="2:5" ht="15" x14ac:dyDescent="0.25">
      <c r="B906" s="3"/>
      <c r="C906" s="3"/>
      <c r="D906" s="3"/>
      <c r="E906" s="3"/>
    </row>
    <row r="907" spans="2:5" ht="15" x14ac:dyDescent="0.25">
      <c r="B907" s="3"/>
      <c r="C907" s="3"/>
      <c r="D907" s="3"/>
      <c r="E907" s="3"/>
    </row>
    <row r="908" spans="2:5" ht="15" x14ac:dyDescent="0.25">
      <c r="B908" s="3"/>
      <c r="C908" s="3"/>
      <c r="D908" s="3"/>
      <c r="E908" s="3"/>
    </row>
    <row r="909" spans="2:5" ht="15" x14ac:dyDescent="0.25">
      <c r="B909" s="3"/>
      <c r="C909" s="3"/>
      <c r="D909" s="3"/>
      <c r="E909" s="3"/>
    </row>
    <row r="910" spans="2:5" ht="15" x14ac:dyDescent="0.25">
      <c r="B910" s="3"/>
      <c r="C910" s="3"/>
      <c r="D910" s="3"/>
      <c r="E910" s="3"/>
    </row>
    <row r="911" spans="2:5" ht="15" x14ac:dyDescent="0.25">
      <c r="B911" s="3"/>
      <c r="C911" s="3"/>
      <c r="D911" s="3"/>
      <c r="E911" s="3"/>
    </row>
    <row r="912" spans="2:5" ht="15" x14ac:dyDescent="0.25">
      <c r="B912" s="3"/>
      <c r="C912" s="3"/>
      <c r="D912" s="3"/>
      <c r="E912" s="3"/>
    </row>
    <row r="913" spans="2:5" ht="15" x14ac:dyDescent="0.25">
      <c r="B913" s="3"/>
      <c r="C913" s="3"/>
      <c r="D913" s="3"/>
      <c r="E913" s="3"/>
    </row>
    <row r="914" spans="2:5" ht="15" x14ac:dyDescent="0.25">
      <c r="B914" s="3"/>
      <c r="C914" s="3"/>
      <c r="D914" s="3"/>
      <c r="E914" s="3"/>
    </row>
    <row r="915" spans="2:5" ht="15" x14ac:dyDescent="0.25">
      <c r="B915" s="3"/>
      <c r="C915" s="3"/>
      <c r="D915" s="3"/>
      <c r="E915" s="3"/>
    </row>
    <row r="916" spans="2:5" ht="15" x14ac:dyDescent="0.25">
      <c r="B916" s="3"/>
      <c r="C916" s="3"/>
      <c r="D916" s="3"/>
      <c r="E916" s="3"/>
    </row>
    <row r="917" spans="2:5" ht="15" x14ac:dyDescent="0.25">
      <c r="B917" s="3"/>
      <c r="C917" s="3"/>
      <c r="D917" s="3"/>
      <c r="E917" s="3"/>
    </row>
    <row r="918" spans="2:5" ht="15" x14ac:dyDescent="0.25">
      <c r="B918" s="3"/>
      <c r="C918" s="3"/>
      <c r="D918" s="3"/>
      <c r="E918" s="3"/>
    </row>
    <row r="919" spans="2:5" ht="15" x14ac:dyDescent="0.25">
      <c r="B919" s="3"/>
      <c r="C919" s="3"/>
      <c r="D919" s="3"/>
      <c r="E919" s="3"/>
    </row>
    <row r="920" spans="2:5" ht="15" x14ac:dyDescent="0.25">
      <c r="B920" s="3"/>
      <c r="C920" s="3"/>
      <c r="D920" s="3"/>
      <c r="E920" s="3"/>
    </row>
    <row r="921" spans="2:5" ht="15" x14ac:dyDescent="0.25">
      <c r="B921" s="3"/>
      <c r="C921" s="3"/>
      <c r="D921" s="3"/>
      <c r="E921" s="3"/>
    </row>
    <row r="922" spans="2:5" ht="15" x14ac:dyDescent="0.25">
      <c r="B922" s="3"/>
      <c r="C922" s="3"/>
      <c r="D922" s="3"/>
      <c r="E922" s="3"/>
    </row>
    <row r="923" spans="2:5" ht="15" x14ac:dyDescent="0.25">
      <c r="B923" s="3"/>
      <c r="C923" s="3"/>
      <c r="D923" s="3"/>
      <c r="E923" s="3"/>
    </row>
    <row r="924" spans="2:5" ht="15" x14ac:dyDescent="0.25">
      <c r="B924" s="3"/>
      <c r="C924" s="3"/>
      <c r="D924" s="3"/>
      <c r="E924" s="3"/>
    </row>
    <row r="925" spans="2:5" ht="15" x14ac:dyDescent="0.25">
      <c r="B925" s="3"/>
      <c r="C925" s="3"/>
      <c r="D925" s="3"/>
      <c r="E925" s="3"/>
    </row>
    <row r="926" spans="2:5" ht="15" x14ac:dyDescent="0.25">
      <c r="B926" s="3"/>
      <c r="C926" s="3"/>
      <c r="D926" s="3"/>
      <c r="E926" s="3"/>
    </row>
    <row r="927" spans="2:5" ht="15" x14ac:dyDescent="0.25">
      <c r="B927" s="3"/>
      <c r="C927" s="3"/>
      <c r="D927" s="3"/>
      <c r="E927" s="3"/>
    </row>
    <row r="928" spans="2:5" ht="15" x14ac:dyDescent="0.25">
      <c r="B928" s="3"/>
      <c r="C928" s="3"/>
      <c r="D928" s="3"/>
      <c r="E928" s="3"/>
    </row>
    <row r="929" spans="2:5" ht="15" x14ac:dyDescent="0.25">
      <c r="B929" s="3"/>
      <c r="C929" s="3"/>
      <c r="D929" s="3"/>
      <c r="E929" s="3"/>
    </row>
    <row r="930" spans="2:5" ht="15" x14ac:dyDescent="0.25">
      <c r="B930" s="3"/>
      <c r="C930" s="3"/>
      <c r="D930" s="3"/>
      <c r="E930" s="3"/>
    </row>
    <row r="931" spans="2:5" ht="15" x14ac:dyDescent="0.25">
      <c r="B931" s="3"/>
      <c r="C931" s="3"/>
      <c r="D931" s="3"/>
      <c r="E931" s="3"/>
    </row>
    <row r="932" spans="2:5" ht="15" x14ac:dyDescent="0.25">
      <c r="B932" s="3"/>
      <c r="C932" s="3"/>
      <c r="D932" s="3"/>
      <c r="E932" s="3"/>
    </row>
    <row r="933" spans="2:5" ht="15" x14ac:dyDescent="0.25">
      <c r="B933" s="3"/>
      <c r="C933" s="3"/>
      <c r="D933" s="3"/>
      <c r="E933" s="3"/>
    </row>
    <row r="934" spans="2:5" ht="15" x14ac:dyDescent="0.25">
      <c r="B934" s="3"/>
      <c r="C934" s="3"/>
      <c r="D934" s="3"/>
      <c r="E934" s="3"/>
    </row>
    <row r="935" spans="2:5" ht="15" x14ac:dyDescent="0.25">
      <c r="B935" s="3"/>
      <c r="C935" s="3"/>
      <c r="D935" s="3"/>
      <c r="E935" s="3"/>
    </row>
    <row r="936" spans="2:5" ht="15" x14ac:dyDescent="0.25">
      <c r="B936" s="3"/>
      <c r="C936" s="3"/>
      <c r="D936" s="3"/>
      <c r="E936" s="3"/>
    </row>
    <row r="937" spans="2:5" ht="15" x14ac:dyDescent="0.25">
      <c r="B937" s="3"/>
      <c r="C937" s="3"/>
      <c r="D937" s="3"/>
      <c r="E937" s="3"/>
    </row>
    <row r="938" spans="2:5" ht="15" x14ac:dyDescent="0.25">
      <c r="B938" s="3"/>
      <c r="C938" s="3"/>
      <c r="D938" s="3"/>
      <c r="E938" s="3"/>
    </row>
    <row r="939" spans="2:5" ht="15" x14ac:dyDescent="0.25">
      <c r="B939" s="3"/>
      <c r="C939" s="3"/>
      <c r="D939" s="3"/>
      <c r="E939" s="3"/>
    </row>
    <row r="940" spans="2:5" ht="15" x14ac:dyDescent="0.25">
      <c r="B940" s="3"/>
      <c r="C940" s="3"/>
      <c r="D940" s="3"/>
      <c r="E940" s="3"/>
    </row>
    <row r="941" spans="2:5" ht="15" x14ac:dyDescent="0.25">
      <c r="B941" s="3"/>
      <c r="C941" s="3"/>
      <c r="D941" s="3"/>
      <c r="E941" s="3"/>
    </row>
    <row r="942" spans="2:5" ht="15" x14ac:dyDescent="0.25">
      <c r="B942" s="3"/>
      <c r="C942" s="3"/>
      <c r="D942" s="3"/>
      <c r="E942" s="3"/>
    </row>
    <row r="943" spans="2:5" ht="15" x14ac:dyDescent="0.25">
      <c r="B943" s="3"/>
      <c r="C943" s="3"/>
      <c r="D943" s="3"/>
      <c r="E943" s="3"/>
    </row>
    <row r="944" spans="2:5" ht="15" x14ac:dyDescent="0.25">
      <c r="B944" s="3"/>
      <c r="C944" s="3"/>
      <c r="D944" s="3"/>
      <c r="E944" s="3"/>
    </row>
    <row r="945" spans="2:5" ht="15" x14ac:dyDescent="0.25">
      <c r="B945" s="3"/>
      <c r="C945" s="3"/>
      <c r="D945" s="3"/>
      <c r="E945" s="3"/>
    </row>
    <row r="946" spans="2:5" ht="15" x14ac:dyDescent="0.25">
      <c r="B946" s="3"/>
      <c r="C946" s="3"/>
      <c r="D946" s="3"/>
      <c r="E946" s="3"/>
    </row>
    <row r="947" spans="2:5" ht="15" x14ac:dyDescent="0.25">
      <c r="B947" s="3"/>
      <c r="C947" s="3"/>
      <c r="D947" s="3"/>
      <c r="E947" s="3"/>
    </row>
    <row r="948" spans="2:5" ht="15" x14ac:dyDescent="0.25">
      <c r="B948" s="3"/>
      <c r="C948" s="3"/>
      <c r="D948" s="3"/>
      <c r="E948" s="3"/>
    </row>
    <row r="949" spans="2:5" ht="15" x14ac:dyDescent="0.25">
      <c r="B949" s="3"/>
      <c r="C949" s="3"/>
      <c r="D949" s="3"/>
      <c r="E949" s="3"/>
    </row>
    <row r="950" spans="2:5" ht="15" x14ac:dyDescent="0.25">
      <c r="B950" s="3"/>
      <c r="C950" s="3"/>
      <c r="D950" s="3"/>
      <c r="E950" s="3"/>
    </row>
    <row r="951" spans="2:5" ht="15" x14ac:dyDescent="0.25">
      <c r="B951" s="3"/>
      <c r="C951" s="3"/>
      <c r="D951" s="3"/>
      <c r="E951" s="3"/>
    </row>
    <row r="952" spans="2:5" ht="15" x14ac:dyDescent="0.25">
      <c r="B952" s="3"/>
      <c r="C952" s="3"/>
      <c r="D952" s="3"/>
      <c r="E952" s="3"/>
    </row>
    <row r="953" spans="2:5" ht="15" x14ac:dyDescent="0.25">
      <c r="B953" s="3"/>
      <c r="C953" s="3"/>
      <c r="D953" s="3"/>
      <c r="E953" s="3"/>
    </row>
    <row r="954" spans="2:5" ht="15" x14ac:dyDescent="0.25">
      <c r="B954" s="3"/>
      <c r="C954" s="3"/>
      <c r="D954" s="3"/>
      <c r="E954" s="3"/>
    </row>
    <row r="955" spans="2:5" ht="15" x14ac:dyDescent="0.25">
      <c r="B955" s="3"/>
      <c r="C955" s="3"/>
      <c r="D955" s="3"/>
      <c r="E955" s="3"/>
    </row>
    <row r="956" spans="2:5" ht="15" x14ac:dyDescent="0.25">
      <c r="B956" s="3"/>
      <c r="C956" s="3"/>
      <c r="D956" s="3"/>
      <c r="E956" s="3"/>
    </row>
    <row r="957" spans="2:5" ht="15" x14ac:dyDescent="0.25">
      <c r="B957" s="3"/>
      <c r="C957" s="3"/>
      <c r="D957" s="3"/>
      <c r="E957" s="3"/>
    </row>
    <row r="958" spans="2:5" ht="15" x14ac:dyDescent="0.25">
      <c r="B958" s="3"/>
      <c r="C958" s="3"/>
      <c r="D958" s="3"/>
      <c r="E958" s="3"/>
    </row>
    <row r="959" spans="2:5" ht="15" x14ac:dyDescent="0.25">
      <c r="B959" s="3"/>
      <c r="C959" s="3"/>
      <c r="D959" s="3"/>
      <c r="E959" s="3"/>
    </row>
    <row r="960" spans="2:5" ht="15" x14ac:dyDescent="0.25">
      <c r="B960" s="3"/>
      <c r="C960" s="3"/>
      <c r="D960" s="3"/>
      <c r="E960" s="3"/>
    </row>
    <row r="961" spans="2:5" ht="15" x14ac:dyDescent="0.25">
      <c r="B961" s="3"/>
      <c r="C961" s="3"/>
      <c r="D961" s="3"/>
      <c r="E961" s="3"/>
    </row>
    <row r="962" spans="2:5" ht="15" x14ac:dyDescent="0.25">
      <c r="B962" s="3"/>
      <c r="C962" s="3"/>
      <c r="D962" s="3"/>
      <c r="E962" s="3"/>
    </row>
    <row r="963" spans="2:5" ht="15" x14ac:dyDescent="0.25">
      <c r="B963" s="3"/>
      <c r="C963" s="3"/>
      <c r="D963" s="3"/>
      <c r="E963" s="3"/>
    </row>
    <row r="964" spans="2:5" ht="15" x14ac:dyDescent="0.25">
      <c r="B964" s="3"/>
      <c r="C964" s="3"/>
      <c r="D964" s="3"/>
      <c r="E964" s="3"/>
    </row>
    <row r="965" spans="2:5" ht="15" x14ac:dyDescent="0.25">
      <c r="B965" s="3"/>
      <c r="C965" s="3"/>
      <c r="D965" s="3"/>
      <c r="E965" s="3"/>
    </row>
    <row r="966" spans="2:5" ht="15" x14ac:dyDescent="0.25">
      <c r="B966" s="3"/>
      <c r="C966" s="3"/>
      <c r="D966" s="3"/>
      <c r="E966" s="3"/>
    </row>
    <row r="967" spans="2:5" ht="15" x14ac:dyDescent="0.25">
      <c r="B967" s="3"/>
      <c r="C967" s="3"/>
      <c r="D967" s="3"/>
      <c r="E967" s="3"/>
    </row>
    <row r="968" spans="2:5" ht="15" x14ac:dyDescent="0.25">
      <c r="B968" s="3"/>
      <c r="C968" s="3"/>
      <c r="D968" s="3"/>
      <c r="E968" s="3"/>
    </row>
    <row r="969" spans="2:5" ht="15" x14ac:dyDescent="0.25">
      <c r="B969" s="3"/>
      <c r="C969" s="3"/>
      <c r="D969" s="3"/>
      <c r="E969" s="3"/>
    </row>
    <row r="970" spans="2:5" ht="15" x14ac:dyDescent="0.25">
      <c r="B970" s="3"/>
      <c r="C970" s="3"/>
      <c r="D970" s="3"/>
      <c r="E970" s="3"/>
    </row>
    <row r="971" spans="2:5" ht="15" x14ac:dyDescent="0.25">
      <c r="B971" s="3"/>
      <c r="C971" s="3"/>
      <c r="D971" s="3"/>
      <c r="E971" s="3"/>
    </row>
    <row r="972" spans="2:5" ht="15" x14ac:dyDescent="0.25">
      <c r="B972" s="3"/>
      <c r="C972" s="3"/>
      <c r="D972" s="3"/>
      <c r="E972" s="3"/>
    </row>
    <row r="973" spans="2:5" ht="15" x14ac:dyDescent="0.25">
      <c r="B973" s="3"/>
      <c r="C973" s="3"/>
      <c r="D973" s="3"/>
      <c r="E973" s="3"/>
    </row>
    <row r="974" spans="2:5" ht="15" x14ac:dyDescent="0.25">
      <c r="B974" s="3"/>
      <c r="C974" s="3"/>
      <c r="D974" s="3"/>
      <c r="E974" s="3"/>
    </row>
    <row r="975" spans="2:5" ht="15" x14ac:dyDescent="0.25">
      <c r="B975" s="3"/>
      <c r="C975" s="3"/>
      <c r="D975" s="3"/>
      <c r="E975" s="3"/>
    </row>
    <row r="976" spans="2:5" ht="15" x14ac:dyDescent="0.25">
      <c r="B976" s="3"/>
      <c r="C976" s="3"/>
      <c r="D976" s="3"/>
      <c r="E976" s="3"/>
    </row>
    <row r="977" spans="2:5" ht="15" x14ac:dyDescent="0.25">
      <c r="B977" s="3"/>
      <c r="C977" s="3"/>
      <c r="D977" s="3"/>
      <c r="E977" s="3"/>
    </row>
    <row r="978" spans="2:5" ht="15" x14ac:dyDescent="0.25">
      <c r="B978" s="3"/>
      <c r="C978" s="3"/>
      <c r="D978" s="3"/>
      <c r="E978" s="3"/>
    </row>
    <row r="979" spans="2:5" ht="15" x14ac:dyDescent="0.25">
      <c r="B979" s="3"/>
      <c r="C979" s="3"/>
      <c r="D979" s="3"/>
      <c r="E979" s="3"/>
    </row>
    <row r="980" spans="2:5" ht="15" x14ac:dyDescent="0.25">
      <c r="B980" s="3"/>
      <c r="C980" s="3"/>
      <c r="D980" s="3"/>
      <c r="E980" s="3"/>
    </row>
    <row r="981" spans="2:5" ht="15" x14ac:dyDescent="0.25">
      <c r="B981" s="3"/>
      <c r="C981" s="3"/>
      <c r="D981" s="3"/>
      <c r="E981" s="3"/>
    </row>
    <row r="982" spans="2:5" ht="15" x14ac:dyDescent="0.25">
      <c r="B982" s="3"/>
      <c r="C982" s="3"/>
      <c r="D982" s="3"/>
      <c r="E982" s="3"/>
    </row>
    <row r="983" spans="2:5" ht="15" x14ac:dyDescent="0.25">
      <c r="B983" s="3"/>
      <c r="C983" s="3"/>
      <c r="D983" s="3"/>
      <c r="E983" s="3"/>
    </row>
    <row r="984" spans="2:5" ht="15" x14ac:dyDescent="0.25">
      <c r="B984" s="3"/>
      <c r="C984" s="3"/>
      <c r="D984" s="3"/>
      <c r="E984" s="3"/>
    </row>
    <row r="985" spans="2:5" ht="15" x14ac:dyDescent="0.25">
      <c r="B985" s="3"/>
      <c r="C985" s="3"/>
      <c r="D985" s="3"/>
      <c r="E985" s="3"/>
    </row>
    <row r="986" spans="2:5" ht="15" x14ac:dyDescent="0.25">
      <c r="B986" s="3"/>
      <c r="C986" s="3"/>
      <c r="D986" s="3"/>
      <c r="E986" s="3"/>
    </row>
    <row r="987" spans="2:5" ht="15" x14ac:dyDescent="0.25">
      <c r="B987" s="3"/>
      <c r="C987" s="3"/>
      <c r="D987" s="3"/>
      <c r="E987" s="3"/>
    </row>
    <row r="988" spans="2:5" ht="15" x14ac:dyDescent="0.25">
      <c r="B988" s="3"/>
      <c r="C988" s="3"/>
      <c r="D988" s="3"/>
      <c r="E988" s="3"/>
    </row>
    <row r="989" spans="2:5" ht="15" x14ac:dyDescent="0.25">
      <c r="B989" s="3"/>
      <c r="C989" s="3"/>
      <c r="D989" s="3"/>
      <c r="E989" s="3"/>
    </row>
    <row r="990" spans="2:5" ht="15" x14ac:dyDescent="0.25">
      <c r="B990" s="3"/>
      <c r="C990" s="3"/>
      <c r="D990" s="3"/>
      <c r="E990" s="3"/>
    </row>
    <row r="991" spans="2:5" ht="15" x14ac:dyDescent="0.25">
      <c r="B991" s="3"/>
      <c r="C991" s="3"/>
      <c r="D991" s="3"/>
      <c r="E991" s="3"/>
    </row>
    <row r="992" spans="2:5" ht="15" x14ac:dyDescent="0.25">
      <c r="B992" s="3"/>
      <c r="C992" s="3"/>
      <c r="D992" s="3"/>
      <c r="E992" s="3"/>
    </row>
    <row r="993" spans="2:5" ht="15" x14ac:dyDescent="0.25">
      <c r="B993" s="3"/>
      <c r="C993" s="3"/>
      <c r="D993" s="3"/>
      <c r="E993" s="3"/>
    </row>
    <row r="994" spans="2:5" ht="15" x14ac:dyDescent="0.25">
      <c r="B994" s="3"/>
      <c r="C994" s="3"/>
      <c r="D994" s="3"/>
      <c r="E994" s="3"/>
    </row>
    <row r="995" spans="2:5" ht="15" x14ac:dyDescent="0.25">
      <c r="B995" s="3"/>
      <c r="C995" s="3"/>
      <c r="D995" s="3"/>
      <c r="E995" s="3"/>
    </row>
    <row r="996" spans="2:5" ht="15" x14ac:dyDescent="0.25">
      <c r="B996" s="3"/>
      <c r="C996" s="3"/>
      <c r="D996" s="3"/>
      <c r="E996" s="3"/>
    </row>
    <row r="997" spans="2:5" ht="15" x14ac:dyDescent="0.25">
      <c r="B997" s="3"/>
      <c r="C997" s="3"/>
      <c r="D997" s="3"/>
      <c r="E997" s="3"/>
    </row>
    <row r="998" spans="2:5" ht="15" x14ac:dyDescent="0.25">
      <c r="B998" s="3"/>
      <c r="C998" s="3"/>
      <c r="D998" s="3"/>
      <c r="E998" s="3"/>
    </row>
    <row r="999" spans="2:5" ht="15" x14ac:dyDescent="0.25">
      <c r="B999" s="3"/>
      <c r="C999" s="3"/>
      <c r="D999" s="3"/>
      <c r="E999" s="3"/>
    </row>
    <row r="1000" spans="2:5" ht="15" x14ac:dyDescent="0.25">
      <c r="B1000" s="3"/>
      <c r="C1000" s="3"/>
      <c r="D1000" s="3"/>
      <c r="E1000" s="3"/>
    </row>
    <row r="1001" spans="2:5" ht="15" x14ac:dyDescent="0.25">
      <c r="B1001" s="3"/>
      <c r="C1001" s="3"/>
      <c r="D1001" s="3"/>
      <c r="E1001" s="3"/>
    </row>
    <row r="1002" spans="2:5" ht="15" x14ac:dyDescent="0.25">
      <c r="B1002" s="3"/>
      <c r="C1002" s="3"/>
      <c r="D1002" s="3"/>
      <c r="E1002" s="3"/>
    </row>
    <row r="1003" spans="2:5" ht="15" x14ac:dyDescent="0.25">
      <c r="B1003" s="3"/>
      <c r="C1003" s="3"/>
      <c r="D1003" s="3"/>
      <c r="E1003" s="3"/>
    </row>
    <row r="1004" spans="2:5" ht="15" x14ac:dyDescent="0.25">
      <c r="B1004" s="3"/>
      <c r="C1004" s="3"/>
      <c r="D1004" s="3"/>
      <c r="E1004" s="3"/>
    </row>
    <row r="1005" spans="2:5" ht="15" x14ac:dyDescent="0.25">
      <c r="B1005" s="3"/>
      <c r="C1005" s="3"/>
      <c r="D1005" s="3"/>
      <c r="E1005" s="3"/>
    </row>
    <row r="1006" spans="2:5" ht="15" x14ac:dyDescent="0.25">
      <c r="B1006" s="3"/>
      <c r="C1006" s="3"/>
      <c r="D1006" s="3"/>
      <c r="E1006" s="3"/>
    </row>
    <row r="1007" spans="2:5" ht="15" x14ac:dyDescent="0.25">
      <c r="B1007" s="3"/>
      <c r="C1007" s="3"/>
      <c r="D1007" s="3"/>
      <c r="E1007" s="3"/>
    </row>
    <row r="1008" spans="2:5" ht="15" x14ac:dyDescent="0.25">
      <c r="B1008" s="3"/>
      <c r="C1008" s="3"/>
      <c r="D1008" s="3"/>
      <c r="E1008" s="3"/>
    </row>
    <row r="1009" spans="2:5" ht="15" x14ac:dyDescent="0.25">
      <c r="B1009" s="3"/>
      <c r="C1009" s="3"/>
      <c r="D1009" s="3"/>
      <c r="E1009" s="3"/>
    </row>
    <row r="1010" spans="2:5" ht="15" x14ac:dyDescent="0.25">
      <c r="B1010" s="3"/>
      <c r="C1010" s="3"/>
      <c r="D1010" s="3"/>
      <c r="E1010" s="3"/>
    </row>
    <row r="1011" spans="2:5" ht="15" x14ac:dyDescent="0.25">
      <c r="B1011" s="3"/>
      <c r="C1011" s="3"/>
      <c r="D1011" s="3"/>
      <c r="E1011" s="3"/>
    </row>
    <row r="1012" spans="2:5" ht="15" x14ac:dyDescent="0.25">
      <c r="B1012" s="3"/>
      <c r="C1012" s="3"/>
      <c r="D1012" s="3"/>
      <c r="E1012" s="3"/>
    </row>
    <row r="1013" spans="2:5" ht="15" x14ac:dyDescent="0.25">
      <c r="B1013" s="3"/>
      <c r="C1013" s="3"/>
      <c r="D1013" s="3"/>
      <c r="E1013" s="3"/>
    </row>
    <row r="1014" spans="2:5" ht="15" x14ac:dyDescent="0.25">
      <c r="B1014" s="3"/>
      <c r="C1014" s="3"/>
      <c r="D1014" s="3"/>
      <c r="E1014" s="3"/>
    </row>
    <row r="1015" spans="2:5" ht="15" x14ac:dyDescent="0.25">
      <c r="B1015" s="3"/>
      <c r="C1015" s="3"/>
      <c r="D1015" s="3"/>
      <c r="E1015" s="3"/>
    </row>
    <row r="1016" spans="2:5" ht="15" x14ac:dyDescent="0.25">
      <c r="B1016" s="3"/>
      <c r="C1016" s="3"/>
      <c r="D1016" s="3"/>
      <c r="E1016" s="3"/>
    </row>
    <row r="1017" spans="2:5" ht="15" x14ac:dyDescent="0.25">
      <c r="B1017" s="3"/>
      <c r="C1017" s="3"/>
      <c r="D1017" s="3"/>
      <c r="E1017" s="3"/>
    </row>
    <row r="1018" spans="2:5" ht="15" x14ac:dyDescent="0.25">
      <c r="B1018" s="3"/>
      <c r="C1018" s="3"/>
      <c r="D1018" s="3"/>
      <c r="E1018" s="3"/>
    </row>
    <row r="1019" spans="2:5" ht="15" x14ac:dyDescent="0.25">
      <c r="B1019" s="3"/>
      <c r="C1019" s="3"/>
      <c r="D1019" s="3"/>
      <c r="E1019" s="3"/>
    </row>
    <row r="1020" spans="2:5" ht="15" x14ac:dyDescent="0.25">
      <c r="B1020" s="3"/>
      <c r="C1020" s="3"/>
      <c r="D1020" s="3"/>
      <c r="E1020" s="3"/>
    </row>
    <row r="1021" spans="2:5" ht="15" x14ac:dyDescent="0.25">
      <c r="B1021" s="3"/>
      <c r="C1021" s="3"/>
      <c r="D1021" s="3"/>
      <c r="E1021" s="3"/>
    </row>
    <row r="1022" spans="2:5" ht="15" x14ac:dyDescent="0.25">
      <c r="B1022" s="3"/>
      <c r="C1022" s="3"/>
      <c r="D1022" s="3"/>
      <c r="E1022" s="3"/>
    </row>
    <row r="1023" spans="2:5" ht="15" x14ac:dyDescent="0.25">
      <c r="B1023" s="3"/>
      <c r="C1023" s="3"/>
      <c r="D1023" s="3"/>
      <c r="E1023" s="3"/>
    </row>
    <row r="1024" spans="2:5" ht="15" x14ac:dyDescent="0.25">
      <c r="B1024" s="3"/>
      <c r="C1024" s="3"/>
      <c r="D1024" s="3"/>
      <c r="E1024" s="3"/>
    </row>
    <row r="1025" spans="2:5" ht="15" x14ac:dyDescent="0.25">
      <c r="B1025" s="3"/>
      <c r="C1025" s="3"/>
      <c r="D1025" s="3"/>
      <c r="E1025" s="3"/>
    </row>
    <row r="1026" spans="2:5" ht="15" x14ac:dyDescent="0.25">
      <c r="B1026" s="3"/>
      <c r="C1026" s="3"/>
      <c r="D1026" s="3"/>
      <c r="E1026" s="3"/>
    </row>
    <row r="1027" spans="2:5" ht="15" x14ac:dyDescent="0.25">
      <c r="B1027" s="3"/>
      <c r="C1027" s="3"/>
      <c r="D1027" s="3"/>
      <c r="E1027" s="3"/>
    </row>
    <row r="1028" spans="2:5" ht="15" x14ac:dyDescent="0.25">
      <c r="B1028" s="3"/>
      <c r="C1028" s="3"/>
      <c r="D1028" s="3"/>
      <c r="E1028" s="3"/>
    </row>
    <row r="1029" spans="2:5" ht="15" x14ac:dyDescent="0.25">
      <c r="B1029" s="3"/>
      <c r="C1029" s="3"/>
      <c r="D1029" s="3"/>
      <c r="E1029" s="3"/>
    </row>
    <row r="1030" spans="2:5" ht="15" x14ac:dyDescent="0.25">
      <c r="B1030" s="3"/>
      <c r="C1030" s="3"/>
      <c r="D1030" s="3"/>
      <c r="E1030" s="3"/>
    </row>
    <row r="1031" spans="2:5" ht="15" x14ac:dyDescent="0.25">
      <c r="B1031" s="3"/>
      <c r="C1031" s="3"/>
      <c r="D1031" s="3"/>
      <c r="E1031" s="3"/>
    </row>
    <row r="1032" spans="2:5" ht="15" x14ac:dyDescent="0.25">
      <c r="B1032" s="3"/>
      <c r="C1032" s="3"/>
      <c r="D1032" s="3"/>
      <c r="E1032" s="3"/>
    </row>
    <row r="1033" spans="2:5" ht="15" x14ac:dyDescent="0.25">
      <c r="B1033" s="3"/>
      <c r="C1033" s="3"/>
      <c r="D1033" s="3"/>
      <c r="E1033" s="3"/>
    </row>
    <row r="1034" spans="2:5" ht="15" x14ac:dyDescent="0.25">
      <c r="B1034" s="3"/>
      <c r="C1034" s="3"/>
      <c r="D1034" s="3"/>
      <c r="E1034" s="3"/>
    </row>
    <row r="1035" spans="2:5" ht="15" x14ac:dyDescent="0.25">
      <c r="B1035" s="3"/>
      <c r="C1035" s="3"/>
      <c r="D1035" s="3"/>
      <c r="E1035" s="3"/>
    </row>
    <row r="1036" spans="2:5" ht="15" x14ac:dyDescent="0.25">
      <c r="B1036" s="3"/>
      <c r="C1036" s="3"/>
      <c r="D1036" s="3"/>
      <c r="E1036" s="3"/>
    </row>
    <row r="1037" spans="2:5" ht="15" x14ac:dyDescent="0.25">
      <c r="B1037" s="3"/>
      <c r="C1037" s="3"/>
      <c r="D1037" s="3"/>
      <c r="E1037" s="3"/>
    </row>
    <row r="1038" spans="2:5" ht="15" x14ac:dyDescent="0.25">
      <c r="B1038" s="3"/>
      <c r="C1038" s="3"/>
      <c r="D1038" s="3"/>
      <c r="E1038" s="3"/>
    </row>
    <row r="1039" spans="2:5" ht="15" x14ac:dyDescent="0.25">
      <c r="B1039" s="3"/>
      <c r="C1039" s="3"/>
      <c r="D1039" s="3"/>
      <c r="E1039" s="3"/>
    </row>
    <row r="1040" spans="2:5" ht="15" x14ac:dyDescent="0.25">
      <c r="B1040" s="3"/>
      <c r="C1040" s="3"/>
      <c r="D1040" s="3"/>
      <c r="E1040" s="3"/>
    </row>
    <row r="1041" spans="2:5" ht="15" x14ac:dyDescent="0.25">
      <c r="B1041" s="3"/>
      <c r="C1041" s="3"/>
      <c r="D1041" s="3"/>
      <c r="E1041" s="3"/>
    </row>
    <row r="1042" spans="2:5" ht="15" x14ac:dyDescent="0.25">
      <c r="B1042" s="3"/>
      <c r="C1042" s="3"/>
      <c r="D1042" s="3"/>
      <c r="E1042" s="3"/>
    </row>
    <row r="1043" spans="2:5" ht="15" x14ac:dyDescent="0.25">
      <c r="B1043" s="3"/>
      <c r="C1043" s="3"/>
      <c r="D1043" s="3"/>
      <c r="E1043" s="3"/>
    </row>
    <row r="1044" spans="2:5" ht="15" x14ac:dyDescent="0.25">
      <c r="B1044" s="3"/>
      <c r="C1044" s="3"/>
      <c r="D1044" s="3"/>
      <c r="E1044" s="3"/>
    </row>
    <row r="1045" spans="2:5" ht="15" x14ac:dyDescent="0.25">
      <c r="B1045" s="3"/>
      <c r="C1045" s="3"/>
      <c r="D1045" s="3"/>
      <c r="E1045" s="3"/>
    </row>
    <row r="1046" spans="2:5" ht="15" x14ac:dyDescent="0.25">
      <c r="B1046" s="3"/>
      <c r="C1046" s="3"/>
      <c r="D1046" s="3"/>
      <c r="E1046" s="3"/>
    </row>
    <row r="1047" spans="2:5" ht="15" x14ac:dyDescent="0.25">
      <c r="B1047" s="3"/>
      <c r="C1047" s="3"/>
      <c r="D1047" s="3"/>
      <c r="E1047" s="3"/>
    </row>
    <row r="1048" spans="2:5" ht="15" x14ac:dyDescent="0.25">
      <c r="B1048" s="3"/>
      <c r="C1048" s="3"/>
      <c r="D1048" s="3"/>
      <c r="E1048" s="3"/>
    </row>
    <row r="1049" spans="2:5" ht="15" x14ac:dyDescent="0.25">
      <c r="B1049" s="3"/>
      <c r="C1049" s="3"/>
      <c r="D1049" s="3"/>
      <c r="E1049" s="3"/>
    </row>
    <row r="1050" spans="2:5" ht="15" x14ac:dyDescent="0.25">
      <c r="B1050" s="3"/>
      <c r="C1050" s="3"/>
      <c r="D1050" s="3"/>
      <c r="E1050" s="3"/>
    </row>
    <row r="1051" spans="2:5" ht="15" x14ac:dyDescent="0.25">
      <c r="B1051" s="3"/>
      <c r="C1051" s="3"/>
      <c r="D1051" s="3"/>
      <c r="E1051" s="3"/>
    </row>
    <row r="1052" spans="2:5" ht="15" x14ac:dyDescent="0.25">
      <c r="B1052" s="3"/>
      <c r="C1052" s="3"/>
      <c r="D1052" s="3"/>
      <c r="E1052" s="3"/>
    </row>
    <row r="1053" spans="2:5" ht="15" x14ac:dyDescent="0.25">
      <c r="B1053" s="3"/>
      <c r="C1053" s="3"/>
      <c r="D1053" s="3"/>
      <c r="E1053" s="3"/>
    </row>
    <row r="1054" spans="2:5" ht="15" x14ac:dyDescent="0.25">
      <c r="B1054" s="3"/>
      <c r="C1054" s="3"/>
      <c r="D1054" s="3"/>
      <c r="E1054" s="3"/>
    </row>
    <row r="1055" spans="2:5" ht="15" x14ac:dyDescent="0.25">
      <c r="B1055" s="3"/>
      <c r="C1055" s="3"/>
      <c r="D1055" s="3"/>
      <c r="E1055" s="3"/>
    </row>
    <row r="1056" spans="2:5" ht="15" x14ac:dyDescent="0.25">
      <c r="B1056" s="3"/>
      <c r="C1056" s="3"/>
      <c r="D1056" s="3"/>
      <c r="E1056" s="3"/>
    </row>
    <row r="1057" spans="2:5" ht="15" x14ac:dyDescent="0.25">
      <c r="B1057" s="3"/>
      <c r="C1057" s="3"/>
      <c r="D1057" s="3"/>
      <c r="E1057" s="3"/>
    </row>
    <row r="1058" spans="2:5" ht="15" x14ac:dyDescent="0.25">
      <c r="B1058" s="3"/>
      <c r="C1058" s="3"/>
      <c r="D1058" s="3"/>
      <c r="E1058" s="3"/>
    </row>
    <row r="1059" spans="2:5" ht="15" x14ac:dyDescent="0.25">
      <c r="B1059" s="3"/>
      <c r="C1059" s="3"/>
      <c r="D1059" s="3"/>
      <c r="E1059" s="3"/>
    </row>
    <row r="1060" spans="2:5" ht="15" x14ac:dyDescent="0.25">
      <c r="B1060" s="3"/>
      <c r="C1060" s="3"/>
      <c r="D1060" s="3"/>
      <c r="E1060" s="3"/>
    </row>
    <row r="1061" spans="2:5" ht="15" x14ac:dyDescent="0.25">
      <c r="B1061" s="3"/>
      <c r="C1061" s="3"/>
      <c r="D1061" s="3"/>
      <c r="E1061" s="3"/>
    </row>
    <row r="1062" spans="2:5" ht="15" x14ac:dyDescent="0.25">
      <c r="B1062" s="3"/>
      <c r="C1062" s="3"/>
      <c r="D1062" s="3"/>
      <c r="E1062" s="3"/>
    </row>
    <row r="1063" spans="2:5" ht="15" x14ac:dyDescent="0.25">
      <c r="B1063" s="3"/>
      <c r="C1063" s="3"/>
      <c r="D1063" s="3"/>
      <c r="E1063" s="3"/>
    </row>
    <row r="1064" spans="2:5" ht="15" x14ac:dyDescent="0.25">
      <c r="B1064" s="3"/>
      <c r="C1064" s="3"/>
      <c r="D1064" s="3"/>
      <c r="E1064" s="3"/>
    </row>
    <row r="1065" spans="2:5" ht="15" x14ac:dyDescent="0.25">
      <c r="B1065" s="3"/>
      <c r="C1065" s="3"/>
      <c r="D1065" s="3"/>
      <c r="E1065" s="3"/>
    </row>
    <row r="1066" spans="2:5" ht="15" x14ac:dyDescent="0.25">
      <c r="B1066" s="3"/>
      <c r="C1066" s="3"/>
      <c r="D1066" s="3"/>
      <c r="E1066" s="3"/>
    </row>
    <row r="1067" spans="2:5" ht="15" x14ac:dyDescent="0.25">
      <c r="B1067" s="3"/>
      <c r="C1067" s="3"/>
      <c r="D1067" s="3"/>
      <c r="E1067" s="3"/>
    </row>
    <row r="1068" spans="2:5" ht="15" x14ac:dyDescent="0.25">
      <c r="B1068" s="3"/>
      <c r="C1068" s="3"/>
      <c r="D1068" s="3"/>
      <c r="E1068" s="3"/>
    </row>
    <row r="1069" spans="2:5" ht="15" x14ac:dyDescent="0.25">
      <c r="B1069" s="3"/>
      <c r="C1069" s="3"/>
      <c r="D1069" s="3"/>
      <c r="E1069" s="3"/>
    </row>
    <row r="1070" spans="2:5" ht="15" x14ac:dyDescent="0.25">
      <c r="B1070" s="3"/>
      <c r="C1070" s="3"/>
      <c r="D1070" s="3"/>
      <c r="E1070" s="3"/>
    </row>
    <row r="1071" spans="2:5" ht="15" x14ac:dyDescent="0.25">
      <c r="B1071" s="3"/>
      <c r="C1071" s="3"/>
      <c r="D1071" s="3"/>
      <c r="E1071" s="3"/>
    </row>
    <row r="1072" spans="2:5" ht="15" x14ac:dyDescent="0.25">
      <c r="B1072" s="3"/>
      <c r="C1072" s="3"/>
      <c r="D1072" s="3"/>
      <c r="E1072" s="3"/>
    </row>
    <row r="1073" spans="2:5" ht="15" x14ac:dyDescent="0.25">
      <c r="B1073" s="3"/>
      <c r="C1073" s="3"/>
      <c r="D1073" s="3"/>
      <c r="E1073" s="3"/>
    </row>
    <row r="1074" spans="2:5" ht="15" x14ac:dyDescent="0.25">
      <c r="B1074" s="3"/>
      <c r="C1074" s="3"/>
      <c r="D1074" s="3"/>
      <c r="E1074" s="3"/>
    </row>
    <row r="1075" spans="2:5" ht="15" x14ac:dyDescent="0.25">
      <c r="B1075" s="3"/>
      <c r="C1075" s="3"/>
      <c r="D1075" s="3"/>
      <c r="E1075" s="3"/>
    </row>
    <row r="1076" spans="2:5" ht="15" x14ac:dyDescent="0.25">
      <c r="B1076" s="3"/>
      <c r="C1076" s="3"/>
      <c r="D1076" s="3"/>
      <c r="E1076" s="3"/>
    </row>
    <row r="1077" spans="2:5" ht="15" x14ac:dyDescent="0.25">
      <c r="B1077" s="3"/>
      <c r="C1077" s="3"/>
      <c r="D1077" s="3"/>
      <c r="E1077" s="3"/>
    </row>
    <row r="1078" spans="2:5" ht="15" x14ac:dyDescent="0.25">
      <c r="B1078" s="3"/>
      <c r="C1078" s="3"/>
      <c r="D1078" s="3"/>
      <c r="E1078" s="3"/>
    </row>
    <row r="1079" spans="2:5" ht="15" x14ac:dyDescent="0.25">
      <c r="B1079" s="3"/>
      <c r="C1079" s="3"/>
      <c r="D1079" s="3"/>
      <c r="E1079" s="3"/>
    </row>
    <row r="1080" spans="2:5" ht="15" x14ac:dyDescent="0.25">
      <c r="B1080" s="3"/>
      <c r="C1080" s="3"/>
      <c r="D1080" s="3"/>
      <c r="E1080" s="3"/>
    </row>
    <row r="1081" spans="2:5" ht="15" x14ac:dyDescent="0.25">
      <c r="B1081" s="3"/>
      <c r="C1081" s="3"/>
      <c r="D1081" s="3"/>
      <c r="E1081" s="3"/>
    </row>
    <row r="1082" spans="2:5" ht="15" x14ac:dyDescent="0.25">
      <c r="B1082" s="3"/>
      <c r="C1082" s="3"/>
      <c r="D1082" s="3"/>
      <c r="E1082" s="3"/>
    </row>
    <row r="1083" spans="2:5" ht="15" x14ac:dyDescent="0.25">
      <c r="B1083" s="3"/>
      <c r="C1083" s="3"/>
      <c r="D1083" s="3"/>
      <c r="E1083" s="3"/>
    </row>
    <row r="1084" spans="2:5" ht="15" x14ac:dyDescent="0.25">
      <c r="B1084" s="3"/>
      <c r="C1084" s="3"/>
      <c r="D1084" s="3"/>
      <c r="E1084" s="3"/>
    </row>
    <row r="1085" spans="2:5" ht="15" x14ac:dyDescent="0.25">
      <c r="B1085" s="3"/>
      <c r="C1085" s="3"/>
      <c r="D1085" s="3"/>
      <c r="E1085" s="3"/>
    </row>
    <row r="1086" spans="2:5" ht="15" x14ac:dyDescent="0.25">
      <c r="B1086" s="3"/>
      <c r="C1086" s="3"/>
      <c r="D1086" s="3"/>
      <c r="E1086" s="3"/>
    </row>
    <row r="1087" spans="2:5" ht="15" x14ac:dyDescent="0.25">
      <c r="B1087" s="3"/>
      <c r="C1087" s="3"/>
      <c r="D1087" s="3"/>
      <c r="E1087" s="3"/>
    </row>
    <row r="1088" spans="2:5" ht="15" x14ac:dyDescent="0.25">
      <c r="B1088" s="3"/>
      <c r="C1088" s="3"/>
      <c r="D1088" s="3"/>
      <c r="E1088" s="3"/>
    </row>
    <row r="1089" spans="2:5" ht="15" x14ac:dyDescent="0.25">
      <c r="B1089" s="3"/>
      <c r="C1089" s="3"/>
      <c r="D1089" s="3"/>
      <c r="E1089" s="3"/>
    </row>
    <row r="1090" spans="2:5" ht="15" x14ac:dyDescent="0.25">
      <c r="B1090" s="3"/>
      <c r="C1090" s="3"/>
      <c r="D1090" s="3"/>
      <c r="E1090" s="3"/>
    </row>
    <row r="1091" spans="2:5" ht="15" x14ac:dyDescent="0.25">
      <c r="B1091" s="3"/>
      <c r="C1091" s="3"/>
      <c r="D1091" s="3"/>
      <c r="E1091" s="3"/>
    </row>
    <row r="1092" spans="2:5" ht="15" x14ac:dyDescent="0.25">
      <c r="B1092" s="3"/>
      <c r="C1092" s="3"/>
      <c r="D1092" s="3"/>
      <c r="E1092" s="3"/>
    </row>
    <row r="1093" spans="2:5" ht="15" x14ac:dyDescent="0.25">
      <c r="B1093" s="3"/>
      <c r="C1093" s="3"/>
      <c r="D1093" s="3"/>
      <c r="E1093" s="3"/>
    </row>
    <row r="1094" spans="2:5" ht="15" x14ac:dyDescent="0.25">
      <c r="B1094" s="3"/>
      <c r="C1094" s="3"/>
      <c r="D1094" s="3"/>
      <c r="E1094" s="3"/>
    </row>
    <row r="1095" spans="2:5" ht="15" x14ac:dyDescent="0.25">
      <c r="B1095" s="3"/>
      <c r="C1095" s="3"/>
      <c r="D1095" s="3"/>
      <c r="E1095" s="3"/>
    </row>
    <row r="1096" spans="2:5" ht="15" x14ac:dyDescent="0.25">
      <c r="B1096" s="3"/>
      <c r="C1096" s="3"/>
      <c r="D1096" s="3"/>
      <c r="E1096" s="3"/>
    </row>
    <row r="1097" spans="2:5" ht="15" x14ac:dyDescent="0.25">
      <c r="B1097" s="3"/>
      <c r="C1097" s="3"/>
      <c r="D1097" s="3"/>
      <c r="E1097" s="3"/>
    </row>
    <row r="1098" spans="2:5" ht="15" x14ac:dyDescent="0.25">
      <c r="B1098" s="3"/>
      <c r="C1098" s="3"/>
      <c r="D1098" s="3"/>
      <c r="E1098" s="3"/>
    </row>
    <row r="1099" spans="2:5" ht="15" x14ac:dyDescent="0.25">
      <c r="B1099" s="3"/>
      <c r="C1099" s="3"/>
      <c r="D1099" s="3"/>
      <c r="E1099" s="3"/>
    </row>
    <row r="1100" spans="2:5" ht="15" x14ac:dyDescent="0.25">
      <c r="B1100" s="3"/>
      <c r="C1100" s="3"/>
      <c r="D1100" s="3"/>
      <c r="E1100" s="3"/>
    </row>
    <row r="1101" spans="2:5" ht="15" x14ac:dyDescent="0.25">
      <c r="B1101" s="3"/>
      <c r="C1101" s="3"/>
      <c r="D1101" s="3"/>
      <c r="E1101" s="3"/>
    </row>
    <row r="1102" spans="2:5" ht="15" x14ac:dyDescent="0.25">
      <c r="B1102" s="3"/>
      <c r="C1102" s="3"/>
      <c r="D1102" s="3"/>
      <c r="E1102" s="3"/>
    </row>
    <row r="1103" spans="2:5" ht="15" x14ac:dyDescent="0.25">
      <c r="B1103" s="3"/>
      <c r="C1103" s="3"/>
      <c r="D1103" s="3"/>
      <c r="E1103" s="3"/>
    </row>
    <row r="1104" spans="2:5" ht="15" x14ac:dyDescent="0.25">
      <c r="B1104" s="3"/>
      <c r="C1104" s="3"/>
      <c r="D1104" s="3"/>
      <c r="E1104" s="3"/>
    </row>
    <row r="1105" spans="2:5" ht="15" x14ac:dyDescent="0.25">
      <c r="B1105" s="3"/>
      <c r="C1105" s="3"/>
      <c r="D1105" s="3"/>
      <c r="E1105" s="3"/>
    </row>
    <row r="1106" spans="2:5" ht="15" x14ac:dyDescent="0.25">
      <c r="B1106" s="3"/>
      <c r="C1106" s="3"/>
      <c r="D1106" s="3"/>
      <c r="E1106" s="3"/>
    </row>
    <row r="1107" spans="2:5" ht="15" x14ac:dyDescent="0.25">
      <c r="B1107" s="3"/>
      <c r="C1107" s="3"/>
      <c r="D1107" s="3"/>
      <c r="E1107" s="3"/>
    </row>
    <row r="1108" spans="2:5" ht="15" x14ac:dyDescent="0.25">
      <c r="B1108" s="3"/>
      <c r="C1108" s="3"/>
      <c r="D1108" s="3"/>
      <c r="E1108" s="3"/>
    </row>
    <row r="1109" spans="2:5" ht="15" x14ac:dyDescent="0.25">
      <c r="B1109" s="3"/>
      <c r="C1109" s="3"/>
      <c r="D1109" s="3"/>
      <c r="E1109" s="3"/>
    </row>
    <row r="1110" spans="2:5" ht="15" x14ac:dyDescent="0.25">
      <c r="B1110" s="3"/>
      <c r="C1110" s="3"/>
      <c r="D1110" s="3"/>
      <c r="E1110" s="3"/>
    </row>
    <row r="1111" spans="2:5" ht="15" x14ac:dyDescent="0.25">
      <c r="B1111" s="3"/>
      <c r="C1111" s="3"/>
      <c r="D1111" s="3"/>
      <c r="E1111" s="3"/>
    </row>
    <row r="1112" spans="2:5" ht="15" x14ac:dyDescent="0.25">
      <c r="B1112" s="3"/>
      <c r="C1112" s="3"/>
      <c r="D1112" s="3"/>
      <c r="E1112" s="3"/>
    </row>
    <row r="1113" spans="2:5" ht="15" x14ac:dyDescent="0.25">
      <c r="B1113" s="3"/>
      <c r="C1113" s="3"/>
      <c r="D1113" s="3"/>
      <c r="E1113" s="3"/>
    </row>
    <row r="1114" spans="2:5" ht="15" x14ac:dyDescent="0.25">
      <c r="B1114" s="3"/>
      <c r="C1114" s="3"/>
      <c r="D1114" s="3"/>
      <c r="E1114" s="3"/>
    </row>
    <row r="1115" spans="2:5" ht="15" x14ac:dyDescent="0.25">
      <c r="B1115" s="3"/>
      <c r="C1115" s="3"/>
      <c r="D1115" s="3"/>
      <c r="E1115" s="3"/>
    </row>
    <row r="1116" spans="2:5" ht="15" x14ac:dyDescent="0.25">
      <c r="B1116" s="3"/>
      <c r="C1116" s="3"/>
      <c r="D1116" s="3"/>
      <c r="E1116" s="3"/>
    </row>
    <row r="1117" spans="2:5" ht="15" x14ac:dyDescent="0.25">
      <c r="B1117" s="3"/>
      <c r="C1117" s="3"/>
      <c r="D1117" s="3"/>
      <c r="E1117" s="3"/>
    </row>
    <row r="1118" spans="2:5" ht="15" x14ac:dyDescent="0.25">
      <c r="B1118" s="3"/>
      <c r="C1118" s="3"/>
      <c r="D1118" s="3"/>
      <c r="E1118" s="3"/>
    </row>
    <row r="1119" spans="2:5" ht="15" x14ac:dyDescent="0.25">
      <c r="B1119" s="3"/>
      <c r="C1119" s="3"/>
      <c r="D1119" s="3"/>
      <c r="E1119" s="3"/>
    </row>
    <row r="1120" spans="2:5" ht="15" x14ac:dyDescent="0.25">
      <c r="B1120" s="3"/>
      <c r="C1120" s="3"/>
      <c r="D1120" s="3"/>
      <c r="E1120" s="3"/>
    </row>
    <row r="1121" spans="2:5" ht="15" x14ac:dyDescent="0.25">
      <c r="B1121" s="3"/>
      <c r="C1121" s="3"/>
      <c r="D1121" s="3"/>
      <c r="E1121" s="3"/>
    </row>
    <row r="1122" spans="2:5" ht="15" x14ac:dyDescent="0.25">
      <c r="B1122" s="3"/>
      <c r="C1122" s="3"/>
      <c r="D1122" s="3"/>
      <c r="E1122" s="3"/>
    </row>
    <row r="1123" spans="2:5" ht="15" x14ac:dyDescent="0.25">
      <c r="B1123" s="3"/>
      <c r="C1123" s="3"/>
      <c r="D1123" s="3"/>
      <c r="E1123" s="3"/>
    </row>
    <row r="1124" spans="2:5" ht="15" x14ac:dyDescent="0.25">
      <c r="B1124" s="3"/>
      <c r="C1124" s="3"/>
      <c r="D1124" s="3"/>
      <c r="E1124" s="3"/>
    </row>
    <row r="1125" spans="2:5" ht="15" x14ac:dyDescent="0.25">
      <c r="B1125" s="3"/>
      <c r="C1125" s="3"/>
      <c r="D1125" s="3"/>
      <c r="E1125" s="3"/>
    </row>
    <row r="1126" spans="2:5" ht="15" x14ac:dyDescent="0.25">
      <c r="B1126" s="3"/>
      <c r="C1126" s="3"/>
      <c r="D1126" s="3"/>
      <c r="E1126" s="3"/>
    </row>
    <row r="1127" spans="2:5" ht="15" x14ac:dyDescent="0.25">
      <c r="B1127" s="3"/>
      <c r="C1127" s="3"/>
      <c r="D1127" s="3"/>
      <c r="E1127" s="3"/>
    </row>
    <row r="1128" spans="2:5" ht="15" x14ac:dyDescent="0.25">
      <c r="B1128" s="3"/>
      <c r="C1128" s="3"/>
      <c r="D1128" s="3"/>
      <c r="E1128" s="3"/>
    </row>
    <row r="1129" spans="2:5" ht="15" x14ac:dyDescent="0.25">
      <c r="B1129" s="3"/>
      <c r="C1129" s="3"/>
      <c r="D1129" s="3"/>
      <c r="E1129" s="3"/>
    </row>
    <row r="1130" spans="2:5" ht="15" x14ac:dyDescent="0.25">
      <c r="B1130" s="3"/>
      <c r="C1130" s="3"/>
      <c r="D1130" s="3"/>
      <c r="E1130" s="3"/>
    </row>
    <row r="1131" spans="2:5" ht="15" x14ac:dyDescent="0.25">
      <c r="B1131" s="3"/>
      <c r="C1131" s="3"/>
      <c r="D1131" s="3"/>
      <c r="E1131" s="3"/>
    </row>
    <row r="1132" spans="2:5" ht="15" x14ac:dyDescent="0.25">
      <c r="B1132" s="3"/>
      <c r="C1132" s="3"/>
      <c r="D1132" s="3"/>
      <c r="E1132" s="3"/>
    </row>
    <row r="1133" spans="2:5" ht="15" x14ac:dyDescent="0.25">
      <c r="B1133" s="3"/>
      <c r="C1133" s="3"/>
      <c r="D1133" s="3"/>
      <c r="E1133" s="3"/>
    </row>
    <row r="1134" spans="2:5" ht="15" x14ac:dyDescent="0.25">
      <c r="B1134" s="3"/>
      <c r="C1134" s="3"/>
      <c r="D1134" s="3"/>
      <c r="E1134" s="3"/>
    </row>
    <row r="1135" spans="2:5" ht="15" x14ac:dyDescent="0.25">
      <c r="B1135" s="3"/>
      <c r="C1135" s="3"/>
      <c r="D1135" s="3"/>
      <c r="E1135" s="3"/>
    </row>
    <row r="1136" spans="2:5" ht="15" x14ac:dyDescent="0.25">
      <c r="B1136" s="3"/>
      <c r="C1136" s="3"/>
      <c r="D1136" s="3"/>
      <c r="E1136" s="3"/>
    </row>
    <row r="1137" spans="2:5" ht="15" x14ac:dyDescent="0.25">
      <c r="B1137" s="3"/>
      <c r="C1137" s="3"/>
      <c r="D1137" s="3"/>
      <c r="E1137" s="3"/>
    </row>
    <row r="1138" spans="2:5" ht="15" x14ac:dyDescent="0.25">
      <c r="B1138" s="3"/>
      <c r="C1138" s="3"/>
      <c r="D1138" s="3"/>
      <c r="E1138" s="3"/>
    </row>
    <row r="1139" spans="2:5" ht="15" x14ac:dyDescent="0.25">
      <c r="B1139" s="3"/>
      <c r="C1139" s="3"/>
      <c r="D1139" s="3"/>
      <c r="E1139" s="3"/>
    </row>
    <row r="1140" spans="2:5" ht="15" x14ac:dyDescent="0.25">
      <c r="B1140" s="3"/>
      <c r="C1140" s="3"/>
      <c r="D1140" s="3"/>
      <c r="E1140" s="3"/>
    </row>
    <row r="1141" spans="2:5" ht="15" x14ac:dyDescent="0.25">
      <c r="B1141" s="3"/>
      <c r="C1141" s="3"/>
      <c r="D1141" s="3"/>
      <c r="E1141" s="3"/>
    </row>
    <row r="1142" spans="2:5" ht="15" x14ac:dyDescent="0.25">
      <c r="B1142" s="3"/>
      <c r="C1142" s="3"/>
      <c r="D1142" s="3"/>
      <c r="E1142" s="3"/>
    </row>
    <row r="1143" spans="2:5" ht="15" x14ac:dyDescent="0.25">
      <c r="B1143" s="3"/>
      <c r="C1143" s="3"/>
      <c r="D1143" s="3"/>
      <c r="E1143" s="3"/>
    </row>
    <row r="1144" spans="2:5" ht="15" x14ac:dyDescent="0.25">
      <c r="B1144" s="3"/>
      <c r="C1144" s="3"/>
      <c r="D1144" s="3"/>
      <c r="E1144" s="3"/>
    </row>
    <row r="1145" spans="2:5" ht="15" x14ac:dyDescent="0.25">
      <c r="B1145" s="3"/>
      <c r="C1145" s="3"/>
      <c r="D1145" s="3"/>
      <c r="E1145" s="3"/>
    </row>
    <row r="1146" spans="2:5" ht="15" x14ac:dyDescent="0.25">
      <c r="B1146" s="3"/>
      <c r="C1146" s="3"/>
      <c r="D1146" s="3"/>
      <c r="E1146" s="3"/>
    </row>
    <row r="1147" spans="2:5" ht="15" x14ac:dyDescent="0.25">
      <c r="B1147" s="3"/>
      <c r="C1147" s="3"/>
      <c r="D1147" s="3"/>
      <c r="E1147" s="3"/>
    </row>
    <row r="1148" spans="2:5" ht="15" x14ac:dyDescent="0.25">
      <c r="B1148" s="3"/>
      <c r="C1148" s="3"/>
      <c r="D1148" s="3"/>
      <c r="E1148" s="3"/>
    </row>
    <row r="1149" spans="2:5" ht="15" x14ac:dyDescent="0.25">
      <c r="B1149" s="3"/>
      <c r="C1149" s="3"/>
      <c r="D1149" s="3"/>
      <c r="E1149" s="3"/>
    </row>
    <row r="1150" spans="2:5" ht="15" x14ac:dyDescent="0.25">
      <c r="B1150" s="3"/>
      <c r="C1150" s="3"/>
      <c r="D1150" s="3"/>
      <c r="E1150" s="3"/>
    </row>
    <row r="1151" spans="2:5" ht="15" x14ac:dyDescent="0.25">
      <c r="B1151" s="3"/>
      <c r="C1151" s="3"/>
      <c r="D1151" s="3"/>
      <c r="E1151" s="3"/>
    </row>
    <row r="1152" spans="2:5" ht="15" x14ac:dyDescent="0.25">
      <c r="B1152" s="3"/>
      <c r="C1152" s="3"/>
      <c r="D1152" s="3"/>
      <c r="E1152" s="3"/>
    </row>
    <row r="1153" spans="2:5" ht="15" x14ac:dyDescent="0.25">
      <c r="B1153" s="3"/>
      <c r="C1153" s="3"/>
      <c r="D1153" s="3"/>
      <c r="E1153" s="3"/>
    </row>
    <row r="1154" spans="2:5" ht="15" x14ac:dyDescent="0.25">
      <c r="B1154" s="3"/>
      <c r="C1154" s="3"/>
      <c r="D1154" s="3"/>
      <c r="E1154" s="3"/>
    </row>
    <row r="1155" spans="2:5" ht="15" x14ac:dyDescent="0.25">
      <c r="B1155" s="3"/>
      <c r="C1155" s="3"/>
      <c r="D1155" s="3"/>
      <c r="E1155" s="3"/>
    </row>
    <row r="1156" spans="2:5" ht="15" x14ac:dyDescent="0.25">
      <c r="B1156" s="3"/>
      <c r="C1156" s="3"/>
      <c r="D1156" s="3"/>
      <c r="E1156" s="3"/>
    </row>
    <row r="1157" spans="2:5" ht="15" x14ac:dyDescent="0.25">
      <c r="B1157" s="3"/>
      <c r="C1157" s="3"/>
      <c r="D1157" s="3"/>
      <c r="E1157" s="3"/>
    </row>
    <row r="1158" spans="2:5" ht="15" x14ac:dyDescent="0.25">
      <c r="B1158" s="3"/>
      <c r="C1158" s="3"/>
      <c r="D1158" s="3"/>
      <c r="E1158" s="3"/>
    </row>
    <row r="1159" spans="2:5" ht="15" x14ac:dyDescent="0.25">
      <c r="B1159" s="3"/>
      <c r="C1159" s="3"/>
      <c r="D1159" s="3"/>
      <c r="E1159" s="3"/>
    </row>
    <row r="1160" spans="2:5" ht="15" x14ac:dyDescent="0.25">
      <c r="B1160" s="3"/>
      <c r="C1160" s="3"/>
      <c r="D1160" s="3"/>
      <c r="E1160" s="3"/>
    </row>
    <row r="1161" spans="2:5" ht="15" x14ac:dyDescent="0.25">
      <c r="B1161" s="3"/>
      <c r="C1161" s="3"/>
      <c r="D1161" s="3"/>
      <c r="E1161" s="3"/>
    </row>
    <row r="1162" spans="2:5" ht="15" x14ac:dyDescent="0.25">
      <c r="B1162" s="3"/>
      <c r="C1162" s="3"/>
      <c r="D1162" s="3"/>
      <c r="E1162" s="3"/>
    </row>
    <row r="1163" spans="2:5" ht="15" x14ac:dyDescent="0.25">
      <c r="B1163" s="3"/>
      <c r="C1163" s="3"/>
      <c r="D1163" s="3"/>
      <c r="E1163" s="3"/>
    </row>
    <row r="1164" spans="2:5" ht="15" x14ac:dyDescent="0.25">
      <c r="B1164" s="3"/>
      <c r="C1164" s="3"/>
      <c r="D1164" s="3"/>
      <c r="E1164" s="3"/>
    </row>
    <row r="1165" spans="2:5" ht="15" x14ac:dyDescent="0.25">
      <c r="B1165" s="3"/>
      <c r="C1165" s="3"/>
      <c r="D1165" s="3"/>
      <c r="E1165" s="3"/>
    </row>
    <row r="1166" spans="2:5" ht="15" x14ac:dyDescent="0.25">
      <c r="B1166" s="3"/>
      <c r="C1166" s="3"/>
      <c r="D1166" s="3"/>
      <c r="E1166" s="3"/>
    </row>
    <row r="1167" spans="2:5" ht="15" x14ac:dyDescent="0.25">
      <c r="B1167" s="3"/>
      <c r="C1167" s="3"/>
      <c r="D1167" s="3"/>
      <c r="E1167" s="3"/>
    </row>
    <row r="1168" spans="2:5" ht="15" x14ac:dyDescent="0.25">
      <c r="B1168" s="3"/>
      <c r="C1168" s="3"/>
      <c r="D1168" s="3"/>
      <c r="E1168" s="3"/>
    </row>
    <row r="1169" spans="2:5" ht="15" x14ac:dyDescent="0.25">
      <c r="B1169" s="3"/>
      <c r="C1169" s="3"/>
      <c r="D1169" s="3"/>
      <c r="E1169" s="3"/>
    </row>
    <row r="1170" spans="2:5" ht="15" x14ac:dyDescent="0.25">
      <c r="B1170" s="3"/>
      <c r="C1170" s="3"/>
      <c r="D1170" s="3"/>
      <c r="E1170" s="3"/>
    </row>
    <row r="1171" spans="2:5" ht="15" x14ac:dyDescent="0.25">
      <c r="B1171" s="3"/>
      <c r="C1171" s="3"/>
      <c r="D1171" s="3"/>
      <c r="E1171" s="3"/>
    </row>
    <row r="1172" spans="2:5" ht="15" x14ac:dyDescent="0.25">
      <c r="B1172" s="3"/>
      <c r="C1172" s="3"/>
      <c r="D1172" s="3"/>
      <c r="E1172" s="3"/>
    </row>
    <row r="1173" spans="2:5" ht="15" x14ac:dyDescent="0.25">
      <c r="B1173" s="3"/>
      <c r="C1173" s="3"/>
      <c r="D1173" s="3"/>
      <c r="E1173" s="3"/>
    </row>
    <row r="1174" spans="2:5" ht="15" x14ac:dyDescent="0.25">
      <c r="B1174" s="3"/>
      <c r="C1174" s="3"/>
      <c r="D1174" s="3"/>
      <c r="E1174" s="3"/>
    </row>
    <row r="1175" spans="2:5" ht="15" x14ac:dyDescent="0.25">
      <c r="B1175" s="3"/>
      <c r="C1175" s="3"/>
      <c r="D1175" s="3"/>
      <c r="E1175" s="3"/>
    </row>
    <row r="1176" spans="2:5" ht="15" x14ac:dyDescent="0.25">
      <c r="B1176" s="3"/>
      <c r="C1176" s="3"/>
      <c r="D1176" s="3"/>
      <c r="E1176" s="3"/>
    </row>
    <row r="1177" spans="2:5" ht="15" x14ac:dyDescent="0.25">
      <c r="B1177" s="3"/>
      <c r="C1177" s="3"/>
      <c r="D1177" s="3"/>
      <c r="E1177" s="3"/>
    </row>
    <row r="1178" spans="2:5" ht="15" x14ac:dyDescent="0.25">
      <c r="B1178" s="3"/>
      <c r="C1178" s="3"/>
      <c r="D1178" s="3"/>
      <c r="E1178" s="3"/>
    </row>
    <row r="1179" spans="2:5" ht="15" x14ac:dyDescent="0.25">
      <c r="B1179" s="3"/>
      <c r="C1179" s="3"/>
      <c r="D1179" s="3"/>
      <c r="E1179" s="3"/>
    </row>
    <row r="1180" spans="2:5" ht="15" x14ac:dyDescent="0.25">
      <c r="B1180" s="3"/>
      <c r="C1180" s="3"/>
      <c r="D1180" s="3"/>
      <c r="E1180" s="3"/>
    </row>
    <row r="1181" spans="2:5" ht="15" x14ac:dyDescent="0.25">
      <c r="B1181" s="3"/>
      <c r="C1181" s="3"/>
      <c r="D1181" s="3"/>
      <c r="E1181" s="3"/>
    </row>
    <row r="1182" spans="2:5" ht="15" x14ac:dyDescent="0.25">
      <c r="B1182" s="3"/>
      <c r="C1182" s="3"/>
      <c r="D1182" s="3"/>
      <c r="E1182" s="3"/>
    </row>
    <row r="1183" spans="2:5" ht="15" x14ac:dyDescent="0.25">
      <c r="B1183" s="3"/>
      <c r="C1183" s="3"/>
      <c r="D1183" s="3"/>
      <c r="E1183" s="3"/>
    </row>
    <row r="1184" spans="2:5" ht="15" x14ac:dyDescent="0.25">
      <c r="B1184" s="3"/>
      <c r="C1184" s="3"/>
      <c r="D1184" s="3"/>
      <c r="E1184" s="3"/>
    </row>
    <row r="1185" spans="2:5" ht="15" x14ac:dyDescent="0.25">
      <c r="B1185" s="3"/>
      <c r="C1185" s="3"/>
      <c r="D1185" s="3"/>
      <c r="E1185" s="3"/>
    </row>
    <row r="1186" spans="2:5" ht="15" x14ac:dyDescent="0.25">
      <c r="B1186" s="3"/>
      <c r="C1186" s="3"/>
      <c r="D1186" s="3"/>
      <c r="E1186" s="3"/>
    </row>
    <row r="1187" spans="2:5" ht="15" x14ac:dyDescent="0.25">
      <c r="B1187" s="3"/>
      <c r="C1187" s="3"/>
      <c r="D1187" s="3"/>
      <c r="E1187" s="3"/>
    </row>
    <row r="1188" spans="2:5" ht="15" x14ac:dyDescent="0.25">
      <c r="B1188" s="3"/>
      <c r="C1188" s="3"/>
      <c r="D1188" s="3"/>
      <c r="E1188" s="3"/>
    </row>
    <row r="1189" spans="2:5" ht="15" x14ac:dyDescent="0.25">
      <c r="B1189" s="3"/>
      <c r="C1189" s="3"/>
      <c r="D1189" s="3"/>
      <c r="E1189" s="3"/>
    </row>
    <row r="1190" spans="2:5" ht="15" x14ac:dyDescent="0.25">
      <c r="B1190" s="3"/>
      <c r="C1190" s="3"/>
      <c r="D1190" s="3"/>
      <c r="E1190" s="3"/>
    </row>
    <row r="1191" spans="2:5" ht="15" x14ac:dyDescent="0.25">
      <c r="B1191" s="3"/>
      <c r="C1191" s="3"/>
      <c r="D1191" s="3"/>
      <c r="E1191" s="3"/>
    </row>
    <row r="1192" spans="2:5" ht="15" x14ac:dyDescent="0.25">
      <c r="B1192" s="3"/>
      <c r="C1192" s="3"/>
      <c r="D1192" s="3"/>
      <c r="E1192" s="3"/>
    </row>
    <row r="1193" spans="2:5" ht="15" x14ac:dyDescent="0.25">
      <c r="B1193" s="3"/>
      <c r="C1193" s="3"/>
      <c r="D1193" s="3"/>
      <c r="E1193" s="3"/>
    </row>
    <row r="1194" spans="2:5" ht="15" x14ac:dyDescent="0.25">
      <c r="B1194" s="3"/>
      <c r="C1194" s="3"/>
      <c r="D1194" s="3"/>
      <c r="E1194" s="3"/>
    </row>
    <row r="1195" spans="2:5" ht="15" x14ac:dyDescent="0.25">
      <c r="B1195" s="3"/>
      <c r="C1195" s="3"/>
      <c r="D1195" s="3"/>
      <c r="E1195" s="3"/>
    </row>
    <row r="1196" spans="2:5" ht="15" x14ac:dyDescent="0.25">
      <c r="B1196" s="3"/>
      <c r="C1196" s="3"/>
      <c r="D1196" s="3"/>
      <c r="E1196" s="3"/>
    </row>
    <row r="1197" spans="2:5" ht="15" x14ac:dyDescent="0.25">
      <c r="B1197" s="3"/>
      <c r="C1197" s="3"/>
      <c r="D1197" s="3"/>
      <c r="E1197" s="3"/>
    </row>
    <row r="1198" spans="2:5" ht="15" x14ac:dyDescent="0.25">
      <c r="B1198" s="3"/>
      <c r="C1198" s="3"/>
      <c r="D1198" s="3"/>
      <c r="E1198" s="3"/>
    </row>
    <row r="1199" spans="2:5" ht="15" x14ac:dyDescent="0.25">
      <c r="B1199" s="3"/>
      <c r="C1199" s="3"/>
      <c r="D1199" s="3"/>
      <c r="E1199" s="3"/>
    </row>
    <row r="1200" spans="2:5" ht="15" x14ac:dyDescent="0.25">
      <c r="B1200" s="3"/>
      <c r="C1200" s="3"/>
      <c r="D1200" s="3"/>
      <c r="E1200" s="3"/>
    </row>
    <row r="1201" spans="2:5" ht="15" x14ac:dyDescent="0.25">
      <c r="B1201" s="3"/>
      <c r="C1201" s="3"/>
      <c r="D1201" s="3"/>
      <c r="E1201" s="3"/>
    </row>
    <row r="1202" spans="2:5" ht="15" x14ac:dyDescent="0.25">
      <c r="B1202" s="3"/>
      <c r="C1202" s="3"/>
      <c r="D1202" s="3"/>
      <c r="E1202" s="3"/>
    </row>
    <row r="1203" spans="2:5" ht="15" x14ac:dyDescent="0.25">
      <c r="B1203" s="3"/>
      <c r="C1203" s="3"/>
      <c r="D1203" s="3"/>
      <c r="E1203" s="3"/>
    </row>
    <row r="1204" spans="2:5" ht="15" x14ac:dyDescent="0.25">
      <c r="B1204" s="3"/>
      <c r="C1204" s="3"/>
      <c r="D1204" s="3"/>
      <c r="E1204" s="3"/>
    </row>
    <row r="1205" spans="2:5" ht="15" x14ac:dyDescent="0.25">
      <c r="B1205" s="3"/>
      <c r="C1205" s="3"/>
      <c r="D1205" s="3"/>
      <c r="E1205" s="3"/>
    </row>
    <row r="1206" spans="2:5" ht="15" x14ac:dyDescent="0.25">
      <c r="B1206" s="3"/>
      <c r="C1206" s="3"/>
      <c r="D1206" s="3"/>
      <c r="E1206" s="3"/>
    </row>
    <row r="1207" spans="2:5" ht="15" x14ac:dyDescent="0.25">
      <c r="B1207" s="3"/>
      <c r="C1207" s="3"/>
      <c r="D1207" s="3"/>
      <c r="E1207" s="3"/>
    </row>
    <row r="1208" spans="2:5" ht="15" x14ac:dyDescent="0.25">
      <c r="B1208" s="3"/>
      <c r="C1208" s="3"/>
      <c r="D1208" s="3"/>
      <c r="E1208" s="3"/>
    </row>
    <row r="1209" spans="2:5" ht="15" x14ac:dyDescent="0.25">
      <c r="B1209" s="3"/>
      <c r="C1209" s="3"/>
      <c r="D1209" s="3"/>
      <c r="E1209" s="3"/>
    </row>
    <row r="1210" spans="2:5" ht="15" x14ac:dyDescent="0.25">
      <c r="B1210" s="3"/>
      <c r="C1210" s="3"/>
      <c r="D1210" s="3"/>
      <c r="E1210" s="3"/>
    </row>
    <row r="1211" spans="2:5" ht="15" x14ac:dyDescent="0.25">
      <c r="B1211" s="3"/>
      <c r="C1211" s="3"/>
      <c r="D1211" s="3"/>
      <c r="E1211" s="3"/>
    </row>
    <row r="1212" spans="2:5" ht="15" x14ac:dyDescent="0.25">
      <c r="B1212" s="3"/>
      <c r="C1212" s="3"/>
      <c r="D1212" s="3"/>
      <c r="E1212" s="3"/>
    </row>
    <row r="1213" spans="2:5" ht="15" x14ac:dyDescent="0.25">
      <c r="B1213" s="3"/>
      <c r="C1213" s="3"/>
      <c r="D1213" s="3"/>
      <c r="E1213" s="3"/>
    </row>
    <row r="1214" spans="2:5" ht="15" x14ac:dyDescent="0.25">
      <c r="B1214" s="3"/>
      <c r="C1214" s="3"/>
      <c r="D1214" s="3"/>
      <c r="E1214" s="3"/>
    </row>
    <row r="1215" spans="2:5" ht="15" x14ac:dyDescent="0.25">
      <c r="B1215" s="3"/>
      <c r="C1215" s="3"/>
      <c r="D1215" s="3"/>
      <c r="E1215" s="3"/>
    </row>
    <row r="1216" spans="2:5" ht="15" x14ac:dyDescent="0.25">
      <c r="B1216" s="3"/>
      <c r="C1216" s="3"/>
      <c r="D1216" s="3"/>
      <c r="E1216" s="3"/>
    </row>
    <row r="1217" spans="2:5" ht="15" x14ac:dyDescent="0.25">
      <c r="B1217" s="3"/>
      <c r="C1217" s="3"/>
      <c r="D1217" s="3"/>
      <c r="E1217" s="3"/>
    </row>
    <row r="1218" spans="2:5" ht="15" x14ac:dyDescent="0.25">
      <c r="B1218" s="3"/>
      <c r="C1218" s="3"/>
      <c r="D1218" s="3"/>
      <c r="E1218" s="3"/>
    </row>
    <row r="1219" spans="2:5" ht="15" x14ac:dyDescent="0.25">
      <c r="B1219" s="3"/>
      <c r="C1219" s="3"/>
      <c r="D1219" s="3"/>
      <c r="E1219" s="3"/>
    </row>
    <row r="1220" spans="2:5" ht="15" x14ac:dyDescent="0.25">
      <c r="B1220" s="3"/>
      <c r="C1220" s="3"/>
      <c r="D1220" s="3"/>
      <c r="E1220" s="3"/>
    </row>
    <row r="1221" spans="2:5" ht="15" x14ac:dyDescent="0.25">
      <c r="B1221" s="3"/>
      <c r="C1221" s="3"/>
      <c r="D1221" s="3"/>
      <c r="E1221" s="3"/>
    </row>
    <row r="1222" spans="2:5" ht="15" x14ac:dyDescent="0.25">
      <c r="B1222" s="3"/>
      <c r="C1222" s="3"/>
      <c r="D1222" s="3"/>
      <c r="E1222" s="3"/>
    </row>
    <row r="1223" spans="2:5" ht="15" x14ac:dyDescent="0.25">
      <c r="B1223" s="3"/>
      <c r="C1223" s="3"/>
      <c r="D1223" s="3"/>
      <c r="E1223" s="3"/>
    </row>
    <row r="1224" spans="2:5" ht="15" x14ac:dyDescent="0.25">
      <c r="B1224" s="3"/>
      <c r="C1224" s="3"/>
      <c r="D1224" s="3"/>
      <c r="E1224" s="3"/>
    </row>
    <row r="1225" spans="2:5" ht="15" x14ac:dyDescent="0.25">
      <c r="B1225" s="3"/>
      <c r="C1225" s="3"/>
      <c r="D1225" s="3"/>
      <c r="E1225" s="3"/>
    </row>
    <row r="1226" spans="2:5" ht="15" x14ac:dyDescent="0.25">
      <c r="B1226" s="3"/>
      <c r="C1226" s="3"/>
      <c r="D1226" s="3"/>
      <c r="E1226" s="3"/>
    </row>
    <row r="1227" spans="2:5" ht="15" x14ac:dyDescent="0.25">
      <c r="B1227" s="3"/>
      <c r="C1227" s="3"/>
      <c r="D1227" s="3"/>
      <c r="E1227" s="3"/>
    </row>
    <row r="1228" spans="2:5" ht="15" x14ac:dyDescent="0.25">
      <c r="B1228" s="3"/>
      <c r="C1228" s="3"/>
      <c r="D1228" s="3"/>
      <c r="E1228" s="3"/>
    </row>
    <row r="1229" spans="2:5" ht="15" x14ac:dyDescent="0.25">
      <c r="B1229" s="3"/>
      <c r="C1229" s="3"/>
      <c r="D1229" s="3"/>
      <c r="E1229" s="3"/>
    </row>
    <row r="1230" spans="2:5" ht="15" x14ac:dyDescent="0.25">
      <c r="B1230" s="3"/>
      <c r="C1230" s="3"/>
      <c r="D1230" s="3"/>
      <c r="E1230" s="3"/>
    </row>
    <row r="1231" spans="2:5" ht="15" x14ac:dyDescent="0.25">
      <c r="B1231" s="3"/>
      <c r="C1231" s="3"/>
      <c r="D1231" s="3"/>
      <c r="E1231" s="3"/>
    </row>
    <row r="1232" spans="2:5" ht="15" x14ac:dyDescent="0.25">
      <c r="B1232" s="3"/>
      <c r="C1232" s="3"/>
      <c r="D1232" s="3"/>
      <c r="E1232" s="3"/>
    </row>
    <row r="1233" spans="2:5" ht="15" x14ac:dyDescent="0.25">
      <c r="B1233" s="3"/>
      <c r="C1233" s="3"/>
      <c r="D1233" s="3"/>
      <c r="E1233" s="3"/>
    </row>
    <row r="1234" spans="2:5" ht="15" x14ac:dyDescent="0.25">
      <c r="B1234" s="3"/>
      <c r="C1234" s="3"/>
      <c r="D1234" s="3"/>
      <c r="E1234" s="3"/>
    </row>
    <row r="1235" spans="2:5" ht="15" x14ac:dyDescent="0.25">
      <c r="B1235" s="3"/>
      <c r="C1235" s="3"/>
      <c r="D1235" s="3"/>
      <c r="E1235" s="3"/>
    </row>
    <row r="1236" spans="2:5" ht="15" x14ac:dyDescent="0.25">
      <c r="B1236" s="3"/>
      <c r="C1236" s="3"/>
      <c r="D1236" s="3"/>
      <c r="E1236" s="3"/>
    </row>
    <row r="1237" spans="2:5" ht="15" x14ac:dyDescent="0.25">
      <c r="B1237" s="3"/>
      <c r="C1237" s="3"/>
      <c r="D1237" s="3"/>
      <c r="E1237" s="3"/>
    </row>
    <row r="1238" spans="2:5" ht="15" x14ac:dyDescent="0.25">
      <c r="B1238" s="3"/>
      <c r="C1238" s="3"/>
      <c r="D1238" s="3"/>
      <c r="E1238" s="3"/>
    </row>
    <row r="1239" spans="2:5" ht="15" x14ac:dyDescent="0.25">
      <c r="B1239" s="3"/>
      <c r="C1239" s="3"/>
      <c r="D1239" s="3"/>
      <c r="E1239" s="3"/>
    </row>
    <row r="1240" spans="2:5" ht="15" x14ac:dyDescent="0.25">
      <c r="B1240" s="3"/>
      <c r="C1240" s="3"/>
      <c r="D1240" s="3"/>
      <c r="E1240" s="3"/>
    </row>
    <row r="1241" spans="2:5" ht="15" x14ac:dyDescent="0.25">
      <c r="B1241" s="3"/>
      <c r="C1241" s="3"/>
      <c r="D1241" s="3"/>
      <c r="E1241" s="3"/>
    </row>
    <row r="1242" spans="2:5" ht="15" x14ac:dyDescent="0.25">
      <c r="B1242" s="3"/>
      <c r="C1242" s="3"/>
      <c r="D1242" s="3"/>
      <c r="E1242" s="3"/>
    </row>
    <row r="1243" spans="2:5" ht="15" x14ac:dyDescent="0.25">
      <c r="B1243" s="3"/>
      <c r="C1243" s="3"/>
      <c r="D1243" s="3"/>
      <c r="E1243" s="3"/>
    </row>
    <row r="1244" spans="2:5" ht="15" x14ac:dyDescent="0.25">
      <c r="B1244" s="3"/>
      <c r="C1244" s="3"/>
      <c r="D1244" s="3"/>
      <c r="E1244" s="3"/>
    </row>
    <row r="1245" spans="2:5" ht="15" x14ac:dyDescent="0.25">
      <c r="B1245" s="3"/>
      <c r="C1245" s="3"/>
      <c r="D1245" s="3"/>
      <c r="E1245" s="3"/>
    </row>
    <row r="1246" spans="2:5" ht="15" x14ac:dyDescent="0.25">
      <c r="B1246" s="3"/>
      <c r="C1246" s="3"/>
      <c r="D1246" s="3"/>
      <c r="E1246" s="3"/>
    </row>
    <row r="1247" spans="2:5" ht="15" x14ac:dyDescent="0.25">
      <c r="B1247" s="3"/>
      <c r="C1247" s="3"/>
      <c r="D1247" s="3"/>
      <c r="E1247" s="3"/>
    </row>
    <row r="1248" spans="2:5" ht="15" x14ac:dyDescent="0.25">
      <c r="B1248" s="3"/>
      <c r="C1248" s="3"/>
      <c r="D1248" s="3"/>
      <c r="E1248" s="3"/>
    </row>
    <row r="1249" spans="2:5" ht="15" x14ac:dyDescent="0.25">
      <c r="B1249" s="3"/>
      <c r="C1249" s="3"/>
      <c r="D1249" s="3"/>
      <c r="E1249" s="3"/>
    </row>
    <row r="1250" spans="2:5" ht="15" x14ac:dyDescent="0.25">
      <c r="B1250" s="3"/>
      <c r="C1250" s="3"/>
      <c r="D1250" s="3"/>
      <c r="E1250" s="3"/>
    </row>
    <row r="1251" spans="2:5" ht="15" x14ac:dyDescent="0.25">
      <c r="B1251" s="3"/>
      <c r="C1251" s="3"/>
      <c r="D1251" s="3"/>
      <c r="E1251" s="3"/>
    </row>
    <row r="1252" spans="2:5" ht="15" x14ac:dyDescent="0.25">
      <c r="B1252" s="3"/>
      <c r="C1252" s="3"/>
      <c r="D1252" s="3"/>
      <c r="E1252" s="3"/>
    </row>
    <row r="1253" spans="2:5" ht="15" x14ac:dyDescent="0.25">
      <c r="B1253" s="3"/>
      <c r="C1253" s="3"/>
      <c r="D1253" s="3"/>
      <c r="E1253" s="3"/>
    </row>
    <row r="1254" spans="2:5" ht="15" x14ac:dyDescent="0.25">
      <c r="B1254" s="3"/>
      <c r="C1254" s="3"/>
      <c r="D1254" s="3"/>
      <c r="E1254" s="3"/>
    </row>
    <row r="1255" spans="2:5" ht="15" x14ac:dyDescent="0.25">
      <c r="B1255" s="3"/>
      <c r="C1255" s="3"/>
      <c r="D1255" s="3"/>
      <c r="E1255" s="3"/>
    </row>
    <row r="1256" spans="2:5" ht="15" x14ac:dyDescent="0.25">
      <c r="B1256" s="3"/>
      <c r="C1256" s="3"/>
      <c r="D1256" s="3"/>
      <c r="E1256" s="3"/>
    </row>
    <row r="1257" spans="2:5" ht="15" x14ac:dyDescent="0.25">
      <c r="B1257" s="3"/>
      <c r="C1257" s="3"/>
      <c r="D1257" s="3"/>
      <c r="E1257" s="3"/>
    </row>
    <row r="1258" spans="2:5" ht="15" x14ac:dyDescent="0.25">
      <c r="B1258" s="3"/>
      <c r="C1258" s="3"/>
      <c r="D1258" s="3"/>
      <c r="E1258" s="3"/>
    </row>
    <row r="1259" spans="2:5" ht="15" x14ac:dyDescent="0.25">
      <c r="B1259" s="3"/>
      <c r="C1259" s="3"/>
      <c r="D1259" s="3"/>
      <c r="E1259" s="3"/>
    </row>
    <row r="1260" spans="2:5" ht="15" x14ac:dyDescent="0.25">
      <c r="B1260" s="3"/>
      <c r="C1260" s="3"/>
      <c r="D1260" s="3"/>
      <c r="E1260" s="3"/>
    </row>
    <row r="1261" spans="2:5" ht="15" x14ac:dyDescent="0.25">
      <c r="B1261" s="3"/>
      <c r="C1261" s="3"/>
      <c r="D1261" s="3"/>
      <c r="E1261" s="3"/>
    </row>
    <row r="1262" spans="2:5" ht="15" x14ac:dyDescent="0.25">
      <c r="B1262" s="3"/>
      <c r="C1262" s="3"/>
      <c r="D1262" s="3"/>
      <c r="E1262" s="3"/>
    </row>
    <row r="1263" spans="2:5" ht="15" x14ac:dyDescent="0.25">
      <c r="B1263" s="3"/>
      <c r="C1263" s="3"/>
      <c r="D1263" s="3"/>
      <c r="E1263" s="3"/>
    </row>
    <row r="1264" spans="2:5" ht="15" x14ac:dyDescent="0.25">
      <c r="B1264" s="3"/>
      <c r="C1264" s="3"/>
      <c r="D1264" s="3"/>
      <c r="E1264" s="3"/>
    </row>
    <row r="1265" spans="2:5" ht="15" x14ac:dyDescent="0.25">
      <c r="B1265" s="3"/>
      <c r="C1265" s="3"/>
      <c r="D1265" s="3"/>
      <c r="E1265" s="3"/>
    </row>
    <row r="1266" spans="2:5" ht="15" x14ac:dyDescent="0.25">
      <c r="B1266" s="3"/>
      <c r="C1266" s="3"/>
      <c r="D1266" s="3"/>
      <c r="E1266" s="3"/>
    </row>
    <row r="1267" spans="2:5" ht="15" x14ac:dyDescent="0.25">
      <c r="B1267" s="3"/>
      <c r="C1267" s="3"/>
      <c r="D1267" s="3"/>
      <c r="E1267" s="3"/>
    </row>
    <row r="1268" spans="2:5" ht="15" x14ac:dyDescent="0.25">
      <c r="B1268" s="3"/>
      <c r="C1268" s="3"/>
      <c r="D1268" s="3"/>
      <c r="E1268" s="3"/>
    </row>
    <row r="1269" spans="2:5" ht="15" x14ac:dyDescent="0.25">
      <c r="B1269" s="3"/>
      <c r="C1269" s="3"/>
      <c r="D1269" s="3"/>
      <c r="E1269" s="3"/>
    </row>
    <row r="1270" spans="2:5" ht="15" x14ac:dyDescent="0.25">
      <c r="B1270" s="3"/>
      <c r="C1270" s="3"/>
      <c r="D1270" s="3"/>
      <c r="E1270" s="3"/>
    </row>
    <row r="1271" spans="2:5" ht="15" x14ac:dyDescent="0.25">
      <c r="B1271" s="3"/>
      <c r="C1271" s="3"/>
      <c r="D1271" s="3"/>
      <c r="E1271" s="3"/>
    </row>
    <row r="1272" spans="2:5" ht="15" x14ac:dyDescent="0.25">
      <c r="B1272" s="3"/>
      <c r="C1272" s="3"/>
      <c r="D1272" s="3"/>
      <c r="E1272" s="3"/>
    </row>
    <row r="1273" spans="2:5" ht="15" x14ac:dyDescent="0.25">
      <c r="B1273" s="3"/>
      <c r="C1273" s="3"/>
      <c r="D1273" s="3"/>
      <c r="E1273" s="3"/>
    </row>
    <row r="1274" spans="2:5" ht="15" x14ac:dyDescent="0.25">
      <c r="B1274" s="3"/>
      <c r="C1274" s="3"/>
      <c r="D1274" s="3"/>
      <c r="E1274" s="3"/>
    </row>
    <row r="1275" spans="2:5" ht="15" x14ac:dyDescent="0.25">
      <c r="B1275" s="3"/>
      <c r="C1275" s="3"/>
      <c r="D1275" s="3"/>
      <c r="E1275" s="3"/>
    </row>
    <row r="1276" spans="2:5" ht="15" x14ac:dyDescent="0.25">
      <c r="B1276" s="3"/>
      <c r="C1276" s="3"/>
      <c r="D1276" s="3"/>
      <c r="E1276" s="3"/>
    </row>
    <row r="1277" spans="2:5" ht="15" x14ac:dyDescent="0.25">
      <c r="B1277" s="3"/>
      <c r="C1277" s="3"/>
      <c r="D1277" s="3"/>
      <c r="E1277" s="3"/>
    </row>
    <row r="1278" spans="2:5" ht="15" x14ac:dyDescent="0.25">
      <c r="B1278" s="3"/>
      <c r="C1278" s="3"/>
      <c r="D1278" s="3"/>
      <c r="E1278" s="3"/>
    </row>
    <row r="1279" spans="2:5" ht="15" x14ac:dyDescent="0.25">
      <c r="B1279" s="3"/>
      <c r="C1279" s="3"/>
      <c r="D1279" s="3"/>
      <c r="E1279" s="3"/>
    </row>
    <row r="1280" spans="2:5" ht="15" x14ac:dyDescent="0.25">
      <c r="B1280" s="3"/>
      <c r="C1280" s="3"/>
      <c r="D1280" s="3"/>
      <c r="E1280" s="3"/>
    </row>
    <row r="1281" spans="2:5" ht="15" x14ac:dyDescent="0.25">
      <c r="B1281" s="3"/>
      <c r="C1281" s="3"/>
      <c r="D1281" s="3"/>
      <c r="E1281" s="3"/>
    </row>
    <row r="1282" spans="2:5" ht="15" x14ac:dyDescent="0.25">
      <c r="B1282" s="3"/>
      <c r="C1282" s="3"/>
      <c r="D1282" s="3"/>
      <c r="E1282" s="3"/>
    </row>
    <row r="1283" spans="2:5" ht="15" x14ac:dyDescent="0.25">
      <c r="B1283" s="3"/>
      <c r="C1283" s="3"/>
      <c r="D1283" s="3"/>
      <c r="E1283" s="3"/>
    </row>
    <row r="1284" spans="2:5" ht="15" x14ac:dyDescent="0.25">
      <c r="B1284" s="3"/>
      <c r="C1284" s="3"/>
      <c r="D1284" s="3"/>
      <c r="E1284" s="3"/>
    </row>
    <row r="1285" spans="2:5" ht="15" x14ac:dyDescent="0.25">
      <c r="B1285" s="3"/>
      <c r="C1285" s="3"/>
      <c r="D1285" s="3"/>
      <c r="E1285" s="3"/>
    </row>
    <row r="1286" spans="2:5" ht="15" x14ac:dyDescent="0.25">
      <c r="B1286" s="3"/>
      <c r="C1286" s="3"/>
      <c r="D1286" s="3"/>
      <c r="E1286" s="3"/>
    </row>
    <row r="1287" spans="2:5" ht="15" x14ac:dyDescent="0.25">
      <c r="B1287" s="3"/>
      <c r="C1287" s="3"/>
      <c r="D1287" s="3"/>
      <c r="E1287" s="3"/>
    </row>
    <row r="1288" spans="2:5" ht="15" x14ac:dyDescent="0.25">
      <c r="B1288" s="3"/>
      <c r="C1288" s="3"/>
      <c r="D1288" s="3"/>
      <c r="E1288" s="3"/>
    </row>
    <row r="1289" spans="2:5" ht="15" x14ac:dyDescent="0.25">
      <c r="B1289" s="3"/>
      <c r="C1289" s="3"/>
      <c r="D1289" s="3"/>
      <c r="E1289" s="3"/>
    </row>
    <row r="1290" spans="2:5" ht="15" x14ac:dyDescent="0.25">
      <c r="B1290" s="3"/>
      <c r="C1290" s="3"/>
      <c r="D1290" s="3"/>
      <c r="E1290" s="3"/>
    </row>
    <row r="1291" spans="2:5" ht="15" x14ac:dyDescent="0.25">
      <c r="B1291" s="3"/>
      <c r="C1291" s="3"/>
      <c r="D1291" s="3"/>
      <c r="E1291" s="3"/>
    </row>
    <row r="1292" spans="2:5" ht="15" x14ac:dyDescent="0.25">
      <c r="B1292" s="3"/>
      <c r="C1292" s="3"/>
      <c r="D1292" s="3"/>
      <c r="E1292" s="3"/>
    </row>
    <row r="1293" spans="2:5" ht="15" x14ac:dyDescent="0.25">
      <c r="B1293" s="3"/>
      <c r="C1293" s="3"/>
      <c r="D1293" s="3"/>
      <c r="E1293" s="3"/>
    </row>
    <row r="1294" spans="2:5" ht="15" x14ac:dyDescent="0.25">
      <c r="B1294" s="3"/>
      <c r="C1294" s="3"/>
      <c r="D1294" s="3"/>
      <c r="E1294" s="3"/>
    </row>
    <row r="1295" spans="2:5" ht="15" x14ac:dyDescent="0.25">
      <c r="B1295" s="3"/>
      <c r="C1295" s="3"/>
      <c r="D1295" s="3"/>
      <c r="E1295" s="3"/>
    </row>
    <row r="1296" spans="2:5" ht="15" x14ac:dyDescent="0.25">
      <c r="B1296" s="3"/>
      <c r="C1296" s="3"/>
      <c r="D1296" s="3"/>
      <c r="E1296" s="3"/>
    </row>
    <row r="1297" spans="2:5" ht="15" x14ac:dyDescent="0.25">
      <c r="B1297" s="3"/>
      <c r="C1297" s="3"/>
      <c r="D1297" s="3"/>
      <c r="E1297" s="3"/>
    </row>
    <row r="1298" spans="2:5" ht="15" x14ac:dyDescent="0.25">
      <c r="B1298" s="3"/>
      <c r="C1298" s="3"/>
      <c r="D1298" s="3"/>
      <c r="E1298" s="3"/>
    </row>
    <row r="1299" spans="2:5" ht="15" x14ac:dyDescent="0.25">
      <c r="B1299" s="3"/>
      <c r="C1299" s="3"/>
      <c r="D1299" s="3"/>
      <c r="E1299" s="3"/>
    </row>
    <row r="1300" spans="2:5" ht="15" x14ac:dyDescent="0.25">
      <c r="B1300" s="3"/>
      <c r="C1300" s="3"/>
      <c r="D1300" s="3"/>
      <c r="E1300" s="3"/>
    </row>
    <row r="1301" spans="2:5" ht="15" x14ac:dyDescent="0.25">
      <c r="B1301" s="3"/>
      <c r="C1301" s="3"/>
      <c r="D1301" s="3"/>
      <c r="E1301" s="3"/>
    </row>
    <row r="1302" spans="2:5" ht="15" x14ac:dyDescent="0.25">
      <c r="B1302" s="3"/>
      <c r="C1302" s="3"/>
      <c r="D1302" s="3"/>
      <c r="E1302" s="3"/>
    </row>
    <row r="1303" spans="2:5" ht="15" x14ac:dyDescent="0.25">
      <c r="B1303" s="3"/>
      <c r="C1303" s="3"/>
      <c r="D1303" s="3"/>
      <c r="E1303" s="3"/>
    </row>
    <row r="1304" spans="2:5" ht="15" x14ac:dyDescent="0.25">
      <c r="B1304" s="3"/>
      <c r="C1304" s="3"/>
      <c r="D1304" s="3"/>
      <c r="E1304" s="3"/>
    </row>
    <row r="1305" spans="2:5" ht="15" x14ac:dyDescent="0.25">
      <c r="B1305" s="3"/>
      <c r="C1305" s="3"/>
      <c r="D1305" s="3"/>
      <c r="E1305" s="3"/>
    </row>
    <row r="1306" spans="2:5" ht="15" x14ac:dyDescent="0.25">
      <c r="B1306" s="3"/>
      <c r="C1306" s="3"/>
      <c r="D1306" s="3"/>
      <c r="E1306" s="3"/>
    </row>
    <row r="1307" spans="2:5" ht="15" x14ac:dyDescent="0.25">
      <c r="B1307" s="3"/>
      <c r="C1307" s="3"/>
      <c r="D1307" s="3"/>
      <c r="E1307" s="3"/>
    </row>
    <row r="1308" spans="2:5" ht="15" x14ac:dyDescent="0.25">
      <c r="B1308" s="3"/>
      <c r="C1308" s="3"/>
      <c r="D1308" s="3"/>
      <c r="E1308" s="3"/>
    </row>
    <row r="1309" spans="2:5" ht="15" x14ac:dyDescent="0.25">
      <c r="B1309" s="3"/>
      <c r="C1309" s="3"/>
      <c r="D1309" s="3"/>
      <c r="E1309" s="3"/>
    </row>
    <row r="1310" spans="2:5" ht="15" x14ac:dyDescent="0.25">
      <c r="B1310" s="3"/>
      <c r="C1310" s="3"/>
      <c r="D1310" s="3"/>
      <c r="E1310" s="3"/>
    </row>
    <row r="1311" spans="2:5" ht="15" x14ac:dyDescent="0.25">
      <c r="B1311" s="3"/>
      <c r="C1311" s="3"/>
      <c r="D1311" s="3"/>
      <c r="E1311" s="3"/>
    </row>
    <row r="1312" spans="2:5" ht="15" x14ac:dyDescent="0.25">
      <c r="B1312" s="3"/>
      <c r="C1312" s="3"/>
      <c r="D1312" s="3"/>
      <c r="E1312" s="3"/>
    </row>
    <row r="1313" spans="2:5" ht="15" x14ac:dyDescent="0.25">
      <c r="B1313" s="3"/>
      <c r="C1313" s="3"/>
      <c r="D1313" s="3"/>
      <c r="E1313" s="3"/>
    </row>
    <row r="1314" spans="2:5" ht="15" x14ac:dyDescent="0.25">
      <c r="B1314" s="3"/>
      <c r="C1314" s="3"/>
      <c r="D1314" s="3"/>
      <c r="E1314" s="3"/>
    </row>
    <row r="1315" spans="2:5" ht="15" x14ac:dyDescent="0.25">
      <c r="B1315" s="3"/>
      <c r="C1315" s="3"/>
      <c r="D1315" s="3"/>
      <c r="E1315" s="3"/>
    </row>
    <row r="1316" spans="2:5" ht="15" x14ac:dyDescent="0.25">
      <c r="B1316" s="3"/>
      <c r="C1316" s="3"/>
      <c r="D1316" s="3"/>
      <c r="E1316" s="3"/>
    </row>
    <row r="1317" spans="2:5" ht="15" x14ac:dyDescent="0.25">
      <c r="B1317" s="3"/>
      <c r="C1317" s="3"/>
      <c r="D1317" s="3"/>
      <c r="E1317" s="3"/>
    </row>
    <row r="1318" spans="2:5" ht="15" x14ac:dyDescent="0.25">
      <c r="B1318" s="3"/>
      <c r="C1318" s="3"/>
      <c r="D1318" s="3"/>
      <c r="E1318" s="3"/>
    </row>
    <row r="1319" spans="2:5" ht="15" x14ac:dyDescent="0.25">
      <c r="B1319" s="3"/>
      <c r="C1319" s="3"/>
      <c r="D1319" s="3"/>
      <c r="E1319" s="3"/>
    </row>
    <row r="1320" spans="2:5" ht="15" x14ac:dyDescent="0.25">
      <c r="B1320" s="3"/>
      <c r="C1320" s="3"/>
      <c r="D1320" s="3"/>
      <c r="E1320" s="3"/>
    </row>
    <row r="1321" spans="2:5" ht="15" x14ac:dyDescent="0.25">
      <c r="B1321" s="3"/>
      <c r="C1321" s="3"/>
      <c r="D1321" s="3"/>
      <c r="E1321" s="3"/>
    </row>
    <row r="1322" spans="2:5" ht="15" x14ac:dyDescent="0.25">
      <c r="B1322" s="3"/>
      <c r="C1322" s="3"/>
      <c r="D1322" s="3"/>
      <c r="E1322" s="3"/>
    </row>
    <row r="1323" spans="2:5" ht="15" x14ac:dyDescent="0.25">
      <c r="B1323" s="3"/>
      <c r="C1323" s="3"/>
      <c r="D1323" s="3"/>
      <c r="E1323" s="3"/>
    </row>
    <row r="1324" spans="2:5" ht="15" x14ac:dyDescent="0.25">
      <c r="B1324" s="3"/>
      <c r="C1324" s="3"/>
      <c r="D1324" s="3"/>
      <c r="E1324" s="3"/>
    </row>
    <row r="1325" spans="2:5" ht="15" x14ac:dyDescent="0.25">
      <c r="B1325" s="3"/>
      <c r="C1325" s="3"/>
      <c r="D1325" s="3"/>
      <c r="E1325" s="3"/>
    </row>
    <row r="1326" spans="2:5" ht="15" x14ac:dyDescent="0.25">
      <c r="B1326" s="3"/>
      <c r="C1326" s="3"/>
      <c r="D1326" s="3"/>
      <c r="E1326" s="3"/>
    </row>
    <row r="1327" spans="2:5" ht="15" x14ac:dyDescent="0.25">
      <c r="B1327" s="3"/>
      <c r="C1327" s="3"/>
      <c r="D1327" s="3"/>
      <c r="E1327" s="3"/>
    </row>
    <row r="1328" spans="2:5" ht="15" x14ac:dyDescent="0.25">
      <c r="B1328" s="3"/>
      <c r="C1328" s="3"/>
      <c r="D1328" s="3"/>
      <c r="E1328" s="3"/>
    </row>
    <row r="1329" spans="2:5" ht="15" x14ac:dyDescent="0.25">
      <c r="B1329" s="3"/>
      <c r="C1329" s="3"/>
      <c r="D1329" s="3"/>
      <c r="E1329" s="3"/>
    </row>
    <row r="1330" spans="2:5" ht="15" x14ac:dyDescent="0.25">
      <c r="B1330" s="3"/>
      <c r="C1330" s="3"/>
      <c r="D1330" s="3"/>
      <c r="E1330" s="3"/>
    </row>
    <row r="1331" spans="2:5" ht="15" x14ac:dyDescent="0.25">
      <c r="B1331" s="3"/>
      <c r="C1331" s="3"/>
      <c r="D1331" s="3"/>
      <c r="E1331" s="3"/>
    </row>
    <row r="1332" spans="2:5" ht="15" x14ac:dyDescent="0.25">
      <c r="B1332" s="3"/>
      <c r="C1332" s="3"/>
      <c r="D1332" s="3"/>
      <c r="E1332" s="3"/>
    </row>
    <row r="1333" spans="2:5" ht="15" x14ac:dyDescent="0.25">
      <c r="B1333" s="3"/>
      <c r="C1333" s="3"/>
      <c r="D1333" s="3"/>
      <c r="E1333" s="3"/>
    </row>
    <row r="1334" spans="2:5" ht="15" x14ac:dyDescent="0.25">
      <c r="B1334" s="3"/>
      <c r="C1334" s="3"/>
      <c r="D1334" s="3"/>
      <c r="E1334" s="3"/>
    </row>
    <row r="1335" spans="2:5" ht="15" x14ac:dyDescent="0.25">
      <c r="B1335" s="3"/>
      <c r="C1335" s="3"/>
      <c r="D1335" s="3"/>
      <c r="E1335" s="3"/>
    </row>
    <row r="1336" spans="2:5" ht="15" x14ac:dyDescent="0.25">
      <c r="B1336" s="3"/>
      <c r="C1336" s="3"/>
      <c r="D1336" s="3"/>
      <c r="E1336" s="3"/>
    </row>
    <row r="1337" spans="2:5" ht="15" x14ac:dyDescent="0.25">
      <c r="B1337" s="3"/>
      <c r="C1337" s="3"/>
      <c r="D1337" s="3"/>
      <c r="E1337" s="3"/>
    </row>
    <row r="1338" spans="2:5" ht="15" x14ac:dyDescent="0.25">
      <c r="B1338" s="3"/>
      <c r="C1338" s="3"/>
      <c r="D1338" s="3"/>
      <c r="E1338" s="3"/>
    </row>
    <row r="1339" spans="2:5" ht="15" x14ac:dyDescent="0.25">
      <c r="B1339" s="3"/>
      <c r="C1339" s="3"/>
      <c r="D1339" s="3"/>
      <c r="E1339" s="3"/>
    </row>
    <row r="1340" spans="2:5" ht="15" x14ac:dyDescent="0.25">
      <c r="B1340" s="3"/>
      <c r="C1340" s="3"/>
      <c r="D1340" s="3"/>
      <c r="E1340" s="3"/>
    </row>
    <row r="1341" spans="2:5" ht="15" x14ac:dyDescent="0.25">
      <c r="B1341" s="3"/>
      <c r="C1341" s="3"/>
      <c r="D1341" s="3"/>
      <c r="E1341" s="3"/>
    </row>
    <row r="1342" spans="2:5" ht="15" x14ac:dyDescent="0.25">
      <c r="B1342" s="3"/>
      <c r="C1342" s="3"/>
      <c r="D1342" s="3"/>
      <c r="E1342" s="3"/>
    </row>
    <row r="1343" spans="2:5" ht="15" x14ac:dyDescent="0.25">
      <c r="B1343" s="3"/>
      <c r="C1343" s="3"/>
      <c r="D1343" s="3"/>
      <c r="E1343" s="3"/>
    </row>
    <row r="1344" spans="2:5" ht="15" x14ac:dyDescent="0.25">
      <c r="B1344" s="3"/>
      <c r="C1344" s="3"/>
      <c r="D1344" s="3"/>
      <c r="E1344" s="3"/>
    </row>
    <row r="1345" spans="2:5" ht="15" x14ac:dyDescent="0.25">
      <c r="B1345" s="3"/>
      <c r="C1345" s="3"/>
      <c r="D1345" s="3"/>
      <c r="E1345" s="3"/>
    </row>
    <row r="1346" spans="2:5" ht="15" x14ac:dyDescent="0.25">
      <c r="B1346" s="3"/>
      <c r="C1346" s="3"/>
      <c r="D1346" s="3"/>
      <c r="E1346" s="3"/>
    </row>
    <row r="1347" spans="2:5" ht="15" x14ac:dyDescent="0.25">
      <c r="B1347" s="3"/>
      <c r="C1347" s="3"/>
      <c r="D1347" s="3"/>
      <c r="E1347" s="3"/>
    </row>
    <row r="1348" spans="2:5" ht="15" x14ac:dyDescent="0.25">
      <c r="B1348" s="3"/>
      <c r="C1348" s="3"/>
      <c r="D1348" s="3"/>
      <c r="E1348" s="3"/>
    </row>
    <row r="1349" spans="2:5" ht="15" x14ac:dyDescent="0.25">
      <c r="B1349" s="3"/>
      <c r="C1349" s="3"/>
      <c r="D1349" s="3"/>
      <c r="E1349" s="3"/>
    </row>
    <row r="1350" spans="2:5" ht="15" x14ac:dyDescent="0.25">
      <c r="B1350" s="3"/>
      <c r="C1350" s="3"/>
      <c r="D1350" s="3"/>
      <c r="E1350" s="3"/>
    </row>
    <row r="1351" spans="2:5" ht="15" x14ac:dyDescent="0.25">
      <c r="B1351" s="3"/>
      <c r="C1351" s="3"/>
      <c r="D1351" s="3"/>
      <c r="E1351" s="3"/>
    </row>
    <row r="1352" spans="2:5" ht="15" x14ac:dyDescent="0.25">
      <c r="B1352" s="3"/>
      <c r="C1352" s="3"/>
      <c r="D1352" s="3"/>
      <c r="E1352" s="3"/>
    </row>
    <row r="1353" spans="2:5" ht="15" x14ac:dyDescent="0.25">
      <c r="B1353" s="3"/>
      <c r="C1353" s="3"/>
      <c r="D1353" s="3"/>
      <c r="E1353" s="3"/>
    </row>
    <row r="1354" spans="2:5" ht="15" x14ac:dyDescent="0.25">
      <c r="B1354" s="3"/>
      <c r="C1354" s="3"/>
      <c r="D1354" s="3"/>
      <c r="E1354" s="3"/>
    </row>
    <row r="1355" spans="2:5" ht="15" x14ac:dyDescent="0.25">
      <c r="B1355" s="3"/>
      <c r="C1355" s="3"/>
      <c r="D1355" s="3"/>
      <c r="E1355" s="3"/>
    </row>
    <row r="1356" spans="2:5" ht="15" x14ac:dyDescent="0.25">
      <c r="B1356" s="3"/>
      <c r="C1356" s="3"/>
      <c r="D1356" s="3"/>
      <c r="E1356" s="3"/>
    </row>
    <row r="1357" spans="2:5" ht="15" x14ac:dyDescent="0.25">
      <c r="B1357" s="3"/>
      <c r="C1357" s="3"/>
      <c r="D1357" s="3"/>
      <c r="E1357" s="3"/>
    </row>
    <row r="1358" spans="2:5" ht="15" x14ac:dyDescent="0.25">
      <c r="B1358" s="3"/>
      <c r="C1358" s="3"/>
      <c r="D1358" s="3"/>
      <c r="E1358" s="3"/>
    </row>
    <row r="1359" spans="2:5" ht="15" x14ac:dyDescent="0.25">
      <c r="B1359" s="3"/>
      <c r="C1359" s="3"/>
      <c r="D1359" s="3"/>
      <c r="E1359" s="3"/>
    </row>
    <row r="1360" spans="2:5" ht="15" x14ac:dyDescent="0.25">
      <c r="B1360" s="3"/>
      <c r="C1360" s="3"/>
      <c r="D1360" s="3"/>
      <c r="E1360" s="3"/>
    </row>
    <row r="1361" spans="2:5" ht="15" x14ac:dyDescent="0.25">
      <c r="B1361" s="3"/>
      <c r="C1361" s="3"/>
      <c r="D1361" s="3"/>
      <c r="E1361" s="3"/>
    </row>
    <row r="1362" spans="2:5" ht="15" x14ac:dyDescent="0.25">
      <c r="B1362" s="3"/>
      <c r="C1362" s="3"/>
      <c r="D1362" s="3"/>
      <c r="E1362" s="3"/>
    </row>
    <row r="1363" spans="2:5" ht="15" x14ac:dyDescent="0.25">
      <c r="B1363" s="3"/>
      <c r="C1363" s="3"/>
      <c r="D1363" s="3"/>
      <c r="E1363" s="3"/>
    </row>
    <row r="1364" spans="2:5" ht="15" x14ac:dyDescent="0.25">
      <c r="B1364" s="3"/>
      <c r="C1364" s="3"/>
      <c r="D1364" s="3"/>
      <c r="E1364" s="3"/>
    </row>
    <row r="1365" spans="2:5" ht="15" x14ac:dyDescent="0.25">
      <c r="B1365" s="3"/>
      <c r="C1365" s="3"/>
      <c r="D1365" s="3"/>
      <c r="E1365" s="3"/>
    </row>
    <row r="1366" spans="2:5" ht="15" x14ac:dyDescent="0.25">
      <c r="B1366" s="3"/>
      <c r="C1366" s="3"/>
      <c r="D1366" s="3"/>
      <c r="E1366" s="3"/>
    </row>
    <row r="1367" spans="2:5" ht="15" x14ac:dyDescent="0.25">
      <c r="B1367" s="3"/>
      <c r="C1367" s="3"/>
      <c r="D1367" s="3"/>
      <c r="E1367" s="3"/>
    </row>
    <row r="1368" spans="2:5" ht="15" x14ac:dyDescent="0.25">
      <c r="B1368" s="3"/>
      <c r="C1368" s="3"/>
      <c r="D1368" s="3"/>
      <c r="E1368" s="3"/>
    </row>
    <row r="1369" spans="2:5" ht="15" x14ac:dyDescent="0.25">
      <c r="B1369" s="3"/>
      <c r="C1369" s="3"/>
      <c r="D1369" s="3"/>
      <c r="E1369" s="3"/>
    </row>
    <row r="1370" spans="2:5" ht="15" x14ac:dyDescent="0.25">
      <c r="B1370" s="3"/>
      <c r="C1370" s="3"/>
      <c r="D1370" s="3"/>
      <c r="E1370" s="3"/>
    </row>
    <row r="1371" spans="2:5" ht="15" x14ac:dyDescent="0.25">
      <c r="B1371" s="3"/>
      <c r="C1371" s="3"/>
      <c r="D1371" s="3"/>
      <c r="E1371" s="3"/>
    </row>
    <row r="1372" spans="2:5" ht="15" x14ac:dyDescent="0.25">
      <c r="B1372" s="3"/>
      <c r="C1372" s="3"/>
      <c r="D1372" s="3"/>
      <c r="E1372" s="3"/>
    </row>
    <row r="1373" spans="2:5" ht="15" x14ac:dyDescent="0.25">
      <c r="B1373" s="3"/>
      <c r="C1373" s="3"/>
      <c r="D1373" s="3"/>
      <c r="E1373" s="3"/>
    </row>
    <row r="1374" spans="2:5" ht="15" x14ac:dyDescent="0.25">
      <c r="B1374" s="3"/>
      <c r="C1374" s="3"/>
      <c r="D1374" s="3"/>
      <c r="E1374" s="3"/>
    </row>
    <row r="1375" spans="2:5" ht="15" x14ac:dyDescent="0.25">
      <c r="B1375" s="3"/>
      <c r="C1375" s="3"/>
      <c r="D1375" s="3"/>
      <c r="E1375" s="3"/>
    </row>
    <row r="1376" spans="2:5" ht="15" x14ac:dyDescent="0.25">
      <c r="B1376" s="3"/>
      <c r="C1376" s="3"/>
      <c r="D1376" s="3"/>
      <c r="E1376" s="3"/>
    </row>
    <row r="1377" spans="2:5" ht="15" x14ac:dyDescent="0.25">
      <c r="B1377" s="3"/>
      <c r="C1377" s="3"/>
      <c r="D1377" s="3"/>
      <c r="E1377" s="3"/>
    </row>
    <row r="1378" spans="2:5" ht="15" x14ac:dyDescent="0.25">
      <c r="B1378" s="3"/>
      <c r="C1378" s="3"/>
      <c r="D1378" s="3"/>
      <c r="E1378" s="3"/>
    </row>
    <row r="1379" spans="2:5" ht="15" x14ac:dyDescent="0.25">
      <c r="B1379" s="3"/>
      <c r="C1379" s="3"/>
      <c r="D1379" s="3"/>
      <c r="E1379" s="3"/>
    </row>
    <row r="1380" spans="2:5" ht="15" x14ac:dyDescent="0.25">
      <c r="B1380" s="3"/>
      <c r="C1380" s="3"/>
      <c r="D1380" s="3"/>
      <c r="E1380" s="3"/>
    </row>
    <row r="1381" spans="2:5" ht="15" x14ac:dyDescent="0.25">
      <c r="B1381" s="3"/>
      <c r="C1381" s="3"/>
      <c r="D1381" s="3"/>
      <c r="E1381" s="3"/>
    </row>
    <row r="1382" spans="2:5" ht="15" x14ac:dyDescent="0.25">
      <c r="B1382" s="3"/>
      <c r="C1382" s="3"/>
      <c r="D1382" s="3"/>
      <c r="E1382" s="3"/>
    </row>
    <row r="1383" spans="2:5" ht="15" x14ac:dyDescent="0.25">
      <c r="B1383" s="3"/>
      <c r="C1383" s="3"/>
      <c r="D1383" s="3"/>
      <c r="E1383" s="3"/>
    </row>
    <row r="1384" spans="2:5" ht="15" x14ac:dyDescent="0.25">
      <c r="B1384" s="3"/>
      <c r="C1384" s="3"/>
      <c r="D1384" s="3"/>
      <c r="E1384" s="3"/>
    </row>
    <row r="1385" spans="2:5" ht="15" x14ac:dyDescent="0.25">
      <c r="B1385" s="3"/>
      <c r="C1385" s="3"/>
      <c r="D1385" s="3"/>
      <c r="E1385" s="3"/>
    </row>
    <row r="1386" spans="2:5" ht="15" x14ac:dyDescent="0.25">
      <c r="B1386" s="3"/>
      <c r="C1386" s="3"/>
      <c r="D1386" s="3"/>
      <c r="E1386" s="3"/>
    </row>
    <row r="1387" spans="2:5" ht="15" x14ac:dyDescent="0.25">
      <c r="B1387" s="3"/>
      <c r="C1387" s="3"/>
      <c r="D1387" s="3"/>
      <c r="E1387" s="3"/>
    </row>
    <row r="1388" spans="2:5" ht="15" x14ac:dyDescent="0.25">
      <c r="B1388" s="3"/>
      <c r="C1388" s="3"/>
      <c r="D1388" s="3"/>
      <c r="E1388" s="3"/>
    </row>
    <row r="1389" spans="2:5" ht="15" x14ac:dyDescent="0.25">
      <c r="B1389" s="3"/>
      <c r="C1389" s="3"/>
      <c r="D1389" s="3"/>
      <c r="E1389" s="3"/>
    </row>
    <row r="1390" spans="2:5" ht="15" x14ac:dyDescent="0.25">
      <c r="B1390" s="3"/>
      <c r="C1390" s="3"/>
      <c r="D1390" s="3"/>
      <c r="E1390" s="3"/>
    </row>
    <row r="1391" spans="2:5" ht="15" x14ac:dyDescent="0.25">
      <c r="B1391" s="3"/>
      <c r="C1391" s="3"/>
      <c r="D1391" s="3"/>
      <c r="E1391" s="3"/>
    </row>
    <row r="1392" spans="2:5" ht="15" x14ac:dyDescent="0.25">
      <c r="B1392" s="3"/>
      <c r="C1392" s="3"/>
      <c r="D1392" s="3"/>
      <c r="E1392" s="3"/>
    </row>
    <row r="1393" spans="2:5" ht="15" x14ac:dyDescent="0.25">
      <c r="B1393" s="3"/>
      <c r="C1393" s="3"/>
      <c r="D1393" s="3"/>
      <c r="E1393" s="3"/>
    </row>
    <row r="1394" spans="2:5" ht="15" x14ac:dyDescent="0.25">
      <c r="B1394" s="3"/>
      <c r="C1394" s="3"/>
      <c r="D1394" s="3"/>
      <c r="E1394" s="3"/>
    </row>
    <row r="1395" spans="2:5" ht="15" x14ac:dyDescent="0.25">
      <c r="B1395" s="3"/>
      <c r="C1395" s="3"/>
      <c r="D1395" s="3"/>
      <c r="E1395" s="3"/>
    </row>
    <row r="1396" spans="2:5" ht="15" x14ac:dyDescent="0.25">
      <c r="B1396" s="3"/>
      <c r="C1396" s="3"/>
      <c r="D1396" s="3"/>
      <c r="E1396" s="3"/>
    </row>
    <row r="1397" spans="2:5" ht="15" x14ac:dyDescent="0.25">
      <c r="B1397" s="3"/>
      <c r="C1397" s="3"/>
      <c r="D1397" s="3"/>
      <c r="E1397" s="3"/>
    </row>
    <row r="1398" spans="2:5" ht="15" x14ac:dyDescent="0.25">
      <c r="B1398" s="3"/>
      <c r="C1398" s="3"/>
      <c r="D1398" s="3"/>
      <c r="E1398" s="3"/>
    </row>
    <row r="1399" spans="2:5" ht="15" x14ac:dyDescent="0.25">
      <c r="B1399" s="3"/>
      <c r="C1399" s="3"/>
      <c r="D1399" s="3"/>
      <c r="E1399" s="3"/>
    </row>
    <row r="1400" spans="2:5" ht="15" x14ac:dyDescent="0.25">
      <c r="B1400" s="3"/>
      <c r="C1400" s="3"/>
      <c r="D1400" s="3"/>
      <c r="E1400" s="3"/>
    </row>
    <row r="1401" spans="2:5" ht="15" x14ac:dyDescent="0.25">
      <c r="B1401" s="3"/>
      <c r="C1401" s="3"/>
      <c r="D1401" s="3"/>
      <c r="E1401" s="3"/>
    </row>
    <row r="1402" spans="2:5" ht="15" x14ac:dyDescent="0.25">
      <c r="B1402" s="3"/>
      <c r="C1402" s="3"/>
      <c r="D1402" s="3"/>
      <c r="E1402" s="3"/>
    </row>
    <row r="1403" spans="2:5" ht="15" x14ac:dyDescent="0.25">
      <c r="B1403" s="3"/>
      <c r="C1403" s="3"/>
      <c r="D1403" s="3"/>
      <c r="E1403" s="3"/>
    </row>
    <row r="1404" spans="2:5" ht="15" x14ac:dyDescent="0.25">
      <c r="B1404" s="3"/>
      <c r="C1404" s="3"/>
      <c r="D1404" s="3"/>
      <c r="E1404" s="3"/>
    </row>
    <row r="1405" spans="2:5" ht="15" x14ac:dyDescent="0.25">
      <c r="B1405" s="3"/>
      <c r="C1405" s="3"/>
      <c r="D1405" s="3"/>
      <c r="E1405" s="3"/>
    </row>
    <row r="1406" spans="2:5" ht="15" x14ac:dyDescent="0.25">
      <c r="B1406" s="3"/>
      <c r="C1406" s="3"/>
      <c r="D1406" s="3"/>
      <c r="E1406" s="3"/>
    </row>
    <row r="1407" spans="2:5" ht="15" x14ac:dyDescent="0.25">
      <c r="B1407" s="3"/>
      <c r="C1407" s="3"/>
      <c r="D1407" s="3"/>
      <c r="E1407" s="3"/>
    </row>
    <row r="1408" spans="2:5" ht="15" x14ac:dyDescent="0.25">
      <c r="B1408" s="3"/>
      <c r="C1408" s="3"/>
      <c r="D1408" s="3"/>
      <c r="E1408" s="3"/>
    </row>
    <row r="1409" spans="2:5" ht="15" x14ac:dyDescent="0.25">
      <c r="B1409" s="3"/>
      <c r="C1409" s="3"/>
      <c r="D1409" s="3"/>
      <c r="E1409" s="3"/>
    </row>
    <row r="1410" spans="2:5" ht="15" x14ac:dyDescent="0.25">
      <c r="B1410" s="3"/>
      <c r="C1410" s="3"/>
      <c r="D1410" s="3"/>
      <c r="E1410" s="3"/>
    </row>
    <row r="1411" spans="2:5" ht="15" x14ac:dyDescent="0.25">
      <c r="B1411" s="3"/>
      <c r="C1411" s="3"/>
      <c r="D1411" s="3"/>
      <c r="E1411" s="3"/>
    </row>
    <row r="1412" spans="2:5" ht="15" x14ac:dyDescent="0.25">
      <c r="B1412" s="3"/>
      <c r="C1412" s="3"/>
      <c r="D1412" s="3"/>
      <c r="E1412" s="3"/>
    </row>
    <row r="1413" spans="2:5" ht="15" x14ac:dyDescent="0.25">
      <c r="B1413" s="3"/>
      <c r="C1413" s="3"/>
      <c r="D1413" s="3"/>
      <c r="E1413" s="3"/>
    </row>
    <row r="1414" spans="2:5" ht="15" x14ac:dyDescent="0.25">
      <c r="B1414" s="3"/>
      <c r="C1414" s="3"/>
      <c r="D1414" s="3"/>
      <c r="E1414" s="3"/>
    </row>
    <row r="1415" spans="2:5" ht="15" x14ac:dyDescent="0.25">
      <c r="B1415" s="3"/>
      <c r="C1415" s="3"/>
      <c r="D1415" s="3"/>
      <c r="E1415" s="3"/>
    </row>
    <row r="1416" spans="2:5" ht="15" x14ac:dyDescent="0.25">
      <c r="B1416" s="3"/>
      <c r="C1416" s="3"/>
      <c r="D1416" s="3"/>
      <c r="E1416" s="3"/>
    </row>
    <row r="1417" spans="2:5" ht="15" x14ac:dyDescent="0.25">
      <c r="B1417" s="3"/>
      <c r="C1417" s="3"/>
      <c r="D1417" s="3"/>
      <c r="E1417" s="3"/>
    </row>
    <row r="1418" spans="2:5" ht="15" x14ac:dyDescent="0.25">
      <c r="B1418" s="3"/>
      <c r="C1418" s="3"/>
      <c r="D1418" s="3"/>
      <c r="E1418" s="3"/>
    </row>
    <row r="1419" spans="2:5" ht="15" x14ac:dyDescent="0.25">
      <c r="B1419" s="3"/>
      <c r="C1419" s="3"/>
      <c r="D1419" s="3"/>
      <c r="E1419" s="3"/>
    </row>
    <row r="1420" spans="2:5" ht="15" x14ac:dyDescent="0.25">
      <c r="B1420" s="3"/>
      <c r="C1420" s="3"/>
      <c r="D1420" s="3"/>
      <c r="E1420" s="3"/>
    </row>
    <row r="1421" spans="2:5" ht="15" x14ac:dyDescent="0.25">
      <c r="B1421" s="3"/>
      <c r="C1421" s="3"/>
      <c r="D1421" s="3"/>
      <c r="E1421" s="3"/>
    </row>
    <row r="1422" spans="2:5" ht="15" x14ac:dyDescent="0.25">
      <c r="B1422" s="3"/>
      <c r="C1422" s="3"/>
      <c r="D1422" s="3"/>
      <c r="E1422" s="3"/>
    </row>
    <row r="1423" spans="2:5" ht="15" x14ac:dyDescent="0.25">
      <c r="B1423" s="3"/>
      <c r="C1423" s="3"/>
      <c r="D1423" s="3"/>
      <c r="E1423" s="3"/>
    </row>
    <row r="1424" spans="2:5" ht="15" x14ac:dyDescent="0.25">
      <c r="B1424" s="3"/>
      <c r="C1424" s="3"/>
      <c r="D1424" s="3"/>
      <c r="E1424" s="3"/>
    </row>
    <row r="1425" spans="2:5" ht="15" x14ac:dyDescent="0.25">
      <c r="B1425" s="3"/>
      <c r="C1425" s="3"/>
      <c r="D1425" s="3"/>
      <c r="E1425" s="3"/>
    </row>
    <row r="1426" spans="2:5" ht="15" x14ac:dyDescent="0.25">
      <c r="B1426" s="3"/>
      <c r="C1426" s="3"/>
      <c r="D1426" s="3"/>
      <c r="E1426" s="3"/>
    </row>
    <row r="1427" spans="2:5" ht="15" x14ac:dyDescent="0.25">
      <c r="B1427" s="3"/>
      <c r="C1427" s="3"/>
      <c r="D1427" s="3"/>
      <c r="E1427" s="3"/>
    </row>
    <row r="1428" spans="2:5" ht="15" x14ac:dyDescent="0.25">
      <c r="B1428" s="3"/>
      <c r="C1428" s="3"/>
      <c r="D1428" s="3"/>
      <c r="E1428" s="3"/>
    </row>
    <row r="1429" spans="2:5" ht="15" x14ac:dyDescent="0.25">
      <c r="B1429" s="3"/>
      <c r="C1429" s="3"/>
      <c r="D1429" s="3"/>
      <c r="E1429" s="3"/>
    </row>
    <row r="1430" spans="2:5" ht="15" x14ac:dyDescent="0.25">
      <c r="B1430" s="3"/>
      <c r="C1430" s="3"/>
      <c r="D1430" s="3"/>
      <c r="E1430" s="3"/>
    </row>
    <row r="1431" spans="2:5" ht="15" x14ac:dyDescent="0.25">
      <c r="B1431" s="3"/>
      <c r="C1431" s="3"/>
      <c r="D1431" s="3"/>
      <c r="E1431" s="3"/>
    </row>
    <row r="1432" spans="2:5" ht="15" x14ac:dyDescent="0.25">
      <c r="B1432" s="3"/>
      <c r="C1432" s="3"/>
      <c r="D1432" s="3"/>
      <c r="E1432" s="3"/>
    </row>
    <row r="1433" spans="2:5" ht="15" x14ac:dyDescent="0.25">
      <c r="B1433" s="3"/>
      <c r="C1433" s="3"/>
      <c r="D1433" s="3"/>
      <c r="E1433" s="3"/>
    </row>
    <row r="1434" spans="2:5" ht="15" x14ac:dyDescent="0.25">
      <c r="B1434" s="3"/>
      <c r="C1434" s="3"/>
      <c r="D1434" s="3"/>
      <c r="E1434" s="3"/>
    </row>
    <row r="1435" spans="2:5" ht="15" x14ac:dyDescent="0.25">
      <c r="B1435" s="3"/>
      <c r="C1435" s="3"/>
      <c r="D1435" s="3"/>
      <c r="E1435" s="3"/>
    </row>
    <row r="1436" spans="2:5" ht="15" x14ac:dyDescent="0.25">
      <c r="B1436" s="3"/>
      <c r="C1436" s="3"/>
      <c r="D1436" s="3"/>
      <c r="E1436" s="3"/>
    </row>
    <row r="1437" spans="2:5" ht="15" x14ac:dyDescent="0.25">
      <c r="B1437" s="3"/>
      <c r="C1437" s="3"/>
      <c r="D1437" s="3"/>
      <c r="E1437" s="3"/>
    </row>
    <row r="1438" spans="2:5" ht="15" x14ac:dyDescent="0.25">
      <c r="B1438" s="3"/>
      <c r="C1438" s="3"/>
      <c r="D1438" s="3"/>
      <c r="E1438" s="3"/>
    </row>
    <row r="1439" spans="2:5" ht="15" x14ac:dyDescent="0.25">
      <c r="B1439" s="3"/>
      <c r="C1439" s="3"/>
      <c r="D1439" s="3"/>
      <c r="E1439" s="3"/>
    </row>
    <row r="1440" spans="2:5" ht="15" x14ac:dyDescent="0.25">
      <c r="B1440" s="3"/>
      <c r="C1440" s="3"/>
      <c r="D1440" s="3"/>
      <c r="E1440" s="3"/>
    </row>
    <row r="1441" spans="2:5" ht="15" x14ac:dyDescent="0.25">
      <c r="B1441" s="3"/>
      <c r="C1441" s="3"/>
      <c r="D1441" s="3"/>
      <c r="E1441" s="3"/>
    </row>
    <row r="1442" spans="2:5" ht="15" x14ac:dyDescent="0.25">
      <c r="B1442" s="3"/>
      <c r="C1442" s="3"/>
      <c r="D1442" s="3"/>
      <c r="E1442" s="3"/>
    </row>
    <row r="1443" spans="2:5" ht="15" x14ac:dyDescent="0.25">
      <c r="B1443" s="3"/>
      <c r="C1443" s="3"/>
      <c r="D1443" s="3"/>
      <c r="E1443" s="3"/>
    </row>
    <row r="1444" spans="2:5" ht="15" x14ac:dyDescent="0.25">
      <c r="B1444" s="3"/>
      <c r="C1444" s="3"/>
      <c r="D1444" s="3"/>
      <c r="E1444" s="3"/>
    </row>
    <row r="1445" spans="2:5" ht="15" x14ac:dyDescent="0.25">
      <c r="B1445" s="3"/>
      <c r="C1445" s="3"/>
      <c r="D1445" s="3"/>
      <c r="E1445" s="3"/>
    </row>
    <row r="1446" spans="2:5" ht="15" x14ac:dyDescent="0.25">
      <c r="B1446" s="3"/>
      <c r="C1446" s="3"/>
      <c r="D1446" s="3"/>
      <c r="E1446" s="3"/>
    </row>
    <row r="1447" spans="2:5" ht="15" x14ac:dyDescent="0.25">
      <c r="B1447" s="3"/>
      <c r="C1447" s="3"/>
      <c r="D1447" s="3"/>
      <c r="E1447" s="3"/>
    </row>
    <row r="1448" spans="2:5" ht="15" x14ac:dyDescent="0.25">
      <c r="B1448" s="3"/>
      <c r="C1448" s="3"/>
      <c r="D1448" s="3"/>
      <c r="E1448" s="3"/>
    </row>
    <row r="1449" spans="2:5" ht="15" x14ac:dyDescent="0.25">
      <c r="B1449" s="3"/>
      <c r="C1449" s="3"/>
      <c r="D1449" s="3"/>
      <c r="E1449" s="3"/>
    </row>
    <row r="1450" spans="2:5" ht="15" x14ac:dyDescent="0.25">
      <c r="B1450" s="3"/>
      <c r="C1450" s="3"/>
      <c r="D1450" s="3"/>
      <c r="E1450" s="3"/>
    </row>
    <row r="1451" spans="2:5" ht="15" x14ac:dyDescent="0.25">
      <c r="B1451" s="3"/>
      <c r="C1451" s="3"/>
      <c r="D1451" s="3"/>
      <c r="E1451" s="3"/>
    </row>
    <row r="1452" spans="2:5" ht="15" x14ac:dyDescent="0.25">
      <c r="B1452" s="3"/>
      <c r="C1452" s="3"/>
      <c r="D1452" s="3"/>
      <c r="E1452" s="3"/>
    </row>
    <row r="1453" spans="2:5" ht="15" x14ac:dyDescent="0.25">
      <c r="B1453" s="3"/>
      <c r="C1453" s="3"/>
      <c r="D1453" s="3"/>
      <c r="E1453" s="3"/>
    </row>
    <row r="1454" spans="2:5" ht="15" x14ac:dyDescent="0.25">
      <c r="B1454" s="3"/>
      <c r="C1454" s="3"/>
      <c r="D1454" s="3"/>
      <c r="E1454" s="3"/>
    </row>
    <row r="1455" spans="2:5" ht="15" x14ac:dyDescent="0.25">
      <c r="B1455" s="3"/>
      <c r="C1455" s="3"/>
      <c r="D1455" s="3"/>
      <c r="E1455" s="3"/>
    </row>
    <row r="1456" spans="2:5" ht="15" x14ac:dyDescent="0.25">
      <c r="B1456" s="3"/>
      <c r="C1456" s="3"/>
      <c r="D1456" s="3"/>
      <c r="E1456" s="3"/>
    </row>
    <row r="1457" spans="2:5" ht="15" x14ac:dyDescent="0.25">
      <c r="B1457" s="3"/>
      <c r="C1457" s="3"/>
      <c r="D1457" s="3"/>
      <c r="E1457" s="3"/>
    </row>
    <row r="1458" spans="2:5" ht="15" x14ac:dyDescent="0.25">
      <c r="B1458" s="3"/>
      <c r="C1458" s="3"/>
      <c r="D1458" s="3"/>
      <c r="E1458" s="3"/>
    </row>
    <row r="1459" spans="2:5" ht="15" x14ac:dyDescent="0.25">
      <c r="B1459" s="3"/>
      <c r="C1459" s="3"/>
      <c r="D1459" s="3"/>
      <c r="E1459" s="3"/>
    </row>
    <row r="1460" spans="2:5" ht="15" x14ac:dyDescent="0.25">
      <c r="B1460" s="3"/>
      <c r="C1460" s="3"/>
      <c r="D1460" s="3"/>
      <c r="E1460" s="3"/>
    </row>
    <row r="1461" spans="2:5" ht="15" x14ac:dyDescent="0.25">
      <c r="B1461" s="3"/>
      <c r="C1461" s="3"/>
      <c r="D1461" s="3"/>
      <c r="E1461" s="3"/>
    </row>
    <row r="1462" spans="2:5" ht="15" x14ac:dyDescent="0.25">
      <c r="B1462" s="3"/>
      <c r="C1462" s="3"/>
      <c r="D1462" s="3"/>
      <c r="E1462" s="3"/>
    </row>
    <row r="1463" spans="2:5" ht="15" x14ac:dyDescent="0.25">
      <c r="B1463" s="3"/>
      <c r="C1463" s="3"/>
      <c r="D1463" s="3"/>
      <c r="E1463" s="3"/>
    </row>
    <row r="1464" spans="2:5" ht="15" x14ac:dyDescent="0.25">
      <c r="B1464" s="3"/>
      <c r="C1464" s="3"/>
      <c r="D1464" s="3"/>
      <c r="E1464" s="3"/>
    </row>
    <row r="1465" spans="2:5" ht="15" x14ac:dyDescent="0.25">
      <c r="B1465" s="3"/>
      <c r="C1465" s="3"/>
      <c r="D1465" s="3"/>
      <c r="E1465" s="3"/>
    </row>
    <row r="1466" spans="2:5" ht="15" x14ac:dyDescent="0.25">
      <c r="B1466" s="3"/>
      <c r="C1466" s="3"/>
      <c r="D1466" s="3"/>
      <c r="E1466" s="3"/>
    </row>
    <row r="1467" spans="2:5" ht="15" x14ac:dyDescent="0.25">
      <c r="B1467" s="3"/>
      <c r="C1467" s="3"/>
      <c r="D1467" s="3"/>
      <c r="E1467" s="3"/>
    </row>
    <row r="1468" spans="2:5" ht="15" x14ac:dyDescent="0.25">
      <c r="B1468" s="3"/>
      <c r="C1468" s="3"/>
      <c r="D1468" s="3"/>
      <c r="E1468" s="3"/>
    </row>
    <row r="1469" spans="2:5" ht="15" x14ac:dyDescent="0.25">
      <c r="B1469" s="3"/>
      <c r="C1469" s="3"/>
      <c r="D1469" s="3"/>
      <c r="E1469" s="3"/>
    </row>
    <row r="1470" spans="2:5" ht="15" x14ac:dyDescent="0.25">
      <c r="B1470" s="3"/>
      <c r="C1470" s="3"/>
      <c r="D1470" s="3"/>
      <c r="E1470" s="3"/>
    </row>
    <row r="1471" spans="2:5" ht="15" x14ac:dyDescent="0.25">
      <c r="B1471" s="3"/>
      <c r="C1471" s="3"/>
      <c r="D1471" s="3"/>
      <c r="E1471" s="3"/>
    </row>
    <row r="1472" spans="2:5" ht="15" x14ac:dyDescent="0.25">
      <c r="B1472" s="3"/>
      <c r="C1472" s="3"/>
      <c r="D1472" s="3"/>
      <c r="E1472" s="3"/>
    </row>
    <row r="1473" spans="2:5" ht="15" x14ac:dyDescent="0.25">
      <c r="B1473" s="3"/>
      <c r="C1473" s="3"/>
      <c r="D1473" s="3"/>
      <c r="E1473" s="3"/>
    </row>
    <row r="1474" spans="2:5" ht="15" x14ac:dyDescent="0.25">
      <c r="B1474" s="3"/>
      <c r="C1474" s="3"/>
      <c r="D1474" s="3"/>
      <c r="E1474" s="3"/>
    </row>
    <row r="1475" spans="2:5" ht="15" x14ac:dyDescent="0.25">
      <c r="B1475" s="3"/>
      <c r="C1475" s="3"/>
      <c r="D1475" s="3"/>
      <c r="E1475" s="3"/>
    </row>
    <row r="1476" spans="2:5" ht="15" x14ac:dyDescent="0.25">
      <c r="B1476" s="3"/>
      <c r="C1476" s="3"/>
      <c r="D1476" s="3"/>
      <c r="E1476" s="3"/>
    </row>
    <row r="1477" spans="2:5" ht="15" x14ac:dyDescent="0.25">
      <c r="B1477" s="3"/>
      <c r="C1477" s="3"/>
      <c r="D1477" s="3"/>
      <c r="E1477" s="3"/>
    </row>
    <row r="1478" spans="2:5" ht="15" x14ac:dyDescent="0.25">
      <c r="B1478" s="3"/>
      <c r="C1478" s="3"/>
      <c r="D1478" s="3"/>
      <c r="E1478" s="3"/>
    </row>
    <row r="1479" spans="2:5" ht="15" x14ac:dyDescent="0.25">
      <c r="B1479" s="3"/>
      <c r="C1479" s="3"/>
      <c r="D1479" s="3"/>
      <c r="E1479" s="3"/>
    </row>
    <row r="1480" spans="2:5" ht="15" x14ac:dyDescent="0.25">
      <c r="B1480" s="3"/>
      <c r="C1480" s="3"/>
      <c r="D1480" s="3"/>
      <c r="E1480" s="3"/>
    </row>
    <row r="1481" spans="2:5" ht="15" x14ac:dyDescent="0.25">
      <c r="B1481" s="3"/>
      <c r="C1481" s="3"/>
      <c r="D1481" s="3"/>
      <c r="E1481" s="3"/>
    </row>
    <row r="1482" spans="2:5" ht="15" x14ac:dyDescent="0.25">
      <c r="B1482" s="3"/>
      <c r="C1482" s="3"/>
      <c r="D1482" s="3"/>
      <c r="E1482" s="3"/>
    </row>
    <row r="1483" spans="2:5" ht="15" x14ac:dyDescent="0.25">
      <c r="B1483" s="3"/>
      <c r="C1483" s="3"/>
      <c r="D1483" s="3"/>
      <c r="E1483" s="3"/>
    </row>
    <row r="1484" spans="2:5" ht="15" x14ac:dyDescent="0.25">
      <c r="B1484" s="3"/>
      <c r="C1484" s="3"/>
      <c r="D1484" s="3"/>
      <c r="E1484" s="3"/>
    </row>
    <row r="1485" spans="2:5" ht="15" x14ac:dyDescent="0.25">
      <c r="B1485" s="3"/>
      <c r="C1485" s="3"/>
      <c r="D1485" s="3"/>
      <c r="E1485" s="3"/>
    </row>
    <row r="1486" spans="2:5" ht="15" x14ac:dyDescent="0.25">
      <c r="B1486" s="3"/>
      <c r="C1486" s="3"/>
      <c r="D1486" s="3"/>
      <c r="E1486" s="3"/>
    </row>
    <row r="1487" spans="2:5" ht="15" x14ac:dyDescent="0.25">
      <c r="B1487" s="3"/>
      <c r="C1487" s="3"/>
      <c r="D1487" s="3"/>
      <c r="E1487" s="3"/>
    </row>
    <row r="1488" spans="2:5" ht="15" x14ac:dyDescent="0.25">
      <c r="B1488" s="3"/>
      <c r="C1488" s="3"/>
      <c r="D1488" s="3"/>
      <c r="E1488" s="3"/>
    </row>
    <row r="1489" spans="2:5" ht="15" x14ac:dyDescent="0.25">
      <c r="B1489" s="3"/>
      <c r="C1489" s="3"/>
      <c r="D1489" s="3"/>
      <c r="E1489" s="3"/>
    </row>
    <row r="1490" spans="2:5" ht="15" x14ac:dyDescent="0.25">
      <c r="B1490" s="3"/>
      <c r="C1490" s="3"/>
      <c r="D1490" s="3"/>
      <c r="E1490" s="3"/>
    </row>
    <row r="1491" spans="2:5" ht="15" x14ac:dyDescent="0.25">
      <c r="B1491" s="3"/>
      <c r="C1491" s="3"/>
      <c r="D1491" s="3"/>
      <c r="E1491" s="3"/>
    </row>
    <row r="1492" spans="2:5" ht="15" x14ac:dyDescent="0.25">
      <c r="B1492" s="3"/>
      <c r="C1492" s="3"/>
      <c r="D1492" s="3"/>
      <c r="E1492" s="3"/>
    </row>
    <row r="1493" spans="2:5" ht="15" x14ac:dyDescent="0.25">
      <c r="B1493" s="3"/>
      <c r="C1493" s="3"/>
      <c r="D1493" s="3"/>
      <c r="E1493" s="3"/>
    </row>
    <row r="1494" spans="2:5" ht="15" x14ac:dyDescent="0.25">
      <c r="B1494" s="3"/>
      <c r="C1494" s="3"/>
      <c r="D1494" s="3"/>
      <c r="E1494" s="3"/>
    </row>
    <row r="1495" spans="2:5" ht="15" x14ac:dyDescent="0.25">
      <c r="B1495" s="3"/>
      <c r="C1495" s="3"/>
      <c r="D1495" s="3"/>
      <c r="E1495" s="3"/>
    </row>
    <row r="1496" spans="2:5" ht="15" x14ac:dyDescent="0.25">
      <c r="B1496" s="3"/>
      <c r="C1496" s="3"/>
      <c r="D1496" s="3"/>
      <c r="E1496" s="3"/>
    </row>
    <row r="1497" spans="2:5" ht="15" x14ac:dyDescent="0.25">
      <c r="B1497" s="3"/>
      <c r="C1497" s="3"/>
      <c r="D1497" s="3"/>
      <c r="E1497" s="3"/>
    </row>
    <row r="1498" spans="2:5" ht="15" x14ac:dyDescent="0.25">
      <c r="B1498" s="3"/>
      <c r="C1498" s="3"/>
      <c r="D1498" s="3"/>
      <c r="E1498" s="3"/>
    </row>
    <row r="1499" spans="2:5" ht="15" x14ac:dyDescent="0.25">
      <c r="B1499" s="3"/>
      <c r="C1499" s="3"/>
      <c r="D1499" s="3"/>
      <c r="E1499" s="3"/>
    </row>
    <row r="1500" spans="2:5" ht="15" x14ac:dyDescent="0.25">
      <c r="B1500" s="3"/>
      <c r="C1500" s="3"/>
      <c r="D1500" s="3"/>
      <c r="E1500" s="3"/>
    </row>
    <row r="1501" spans="2:5" ht="15" x14ac:dyDescent="0.25">
      <c r="B1501" s="3"/>
      <c r="C1501" s="3"/>
      <c r="D1501" s="3"/>
      <c r="E1501" s="3"/>
    </row>
    <row r="1502" spans="2:5" ht="15" x14ac:dyDescent="0.25">
      <c r="B1502" s="3"/>
      <c r="C1502" s="3"/>
      <c r="D1502" s="3"/>
      <c r="E1502" s="3"/>
    </row>
    <row r="1503" spans="2:5" ht="15" x14ac:dyDescent="0.25">
      <c r="B1503" s="3"/>
      <c r="C1503" s="3"/>
      <c r="D1503" s="3"/>
      <c r="E1503" s="3"/>
    </row>
    <row r="1504" spans="2:5" ht="15" x14ac:dyDescent="0.25">
      <c r="B1504" s="3"/>
      <c r="C1504" s="3"/>
      <c r="D1504" s="3"/>
      <c r="E1504" s="3"/>
    </row>
    <row r="1505" spans="2:5" ht="15" x14ac:dyDescent="0.25">
      <c r="B1505" s="3"/>
      <c r="C1505" s="3"/>
      <c r="D1505" s="3"/>
      <c r="E1505" s="3"/>
    </row>
    <row r="1506" spans="2:5" ht="15" x14ac:dyDescent="0.25">
      <c r="B1506" s="3"/>
      <c r="C1506" s="3"/>
      <c r="D1506" s="3"/>
      <c r="E1506" s="3"/>
    </row>
    <row r="1507" spans="2:5" ht="15" x14ac:dyDescent="0.25">
      <c r="B1507" s="3"/>
      <c r="C1507" s="3"/>
      <c r="D1507" s="3"/>
      <c r="E1507" s="3"/>
    </row>
    <row r="1508" spans="2:5" ht="15" x14ac:dyDescent="0.25">
      <c r="B1508" s="3"/>
      <c r="C1508" s="3"/>
      <c r="D1508" s="3"/>
      <c r="E1508" s="3"/>
    </row>
    <row r="1509" spans="2:5" ht="15" x14ac:dyDescent="0.25">
      <c r="B1509" s="3"/>
      <c r="C1509" s="3"/>
      <c r="D1509" s="3"/>
      <c r="E1509" s="3"/>
    </row>
    <row r="1510" spans="2:5" ht="15" x14ac:dyDescent="0.25">
      <c r="B1510" s="3"/>
      <c r="C1510" s="3"/>
      <c r="D1510" s="3"/>
      <c r="E1510" s="3"/>
    </row>
    <row r="1511" spans="2:5" ht="15" x14ac:dyDescent="0.25">
      <c r="B1511" s="3"/>
      <c r="C1511" s="3"/>
      <c r="D1511" s="3"/>
      <c r="E1511" s="3"/>
    </row>
    <row r="1512" spans="2:5" ht="15" x14ac:dyDescent="0.25">
      <c r="B1512" s="3"/>
      <c r="C1512" s="3"/>
      <c r="D1512" s="3"/>
      <c r="E1512" s="3"/>
    </row>
    <row r="1513" spans="2:5" ht="15" x14ac:dyDescent="0.25">
      <c r="B1513" s="3"/>
      <c r="C1513" s="3"/>
      <c r="D1513" s="3"/>
      <c r="E1513" s="3"/>
    </row>
    <row r="1514" spans="2:5" ht="15" x14ac:dyDescent="0.25">
      <c r="B1514" s="3"/>
      <c r="C1514" s="3"/>
      <c r="D1514" s="3"/>
      <c r="E1514" s="3"/>
    </row>
    <row r="1515" spans="2:5" ht="15" x14ac:dyDescent="0.25">
      <c r="B1515" s="3"/>
      <c r="C1515" s="3"/>
      <c r="D1515" s="3"/>
      <c r="E1515" s="3"/>
    </row>
    <row r="1516" spans="2:5" ht="15" x14ac:dyDescent="0.25">
      <c r="B1516" s="3"/>
      <c r="C1516" s="3"/>
      <c r="D1516" s="3"/>
      <c r="E1516" s="3"/>
    </row>
    <row r="1517" spans="2:5" ht="15" x14ac:dyDescent="0.25">
      <c r="B1517" s="3"/>
      <c r="C1517" s="3"/>
      <c r="D1517" s="3"/>
      <c r="E1517" s="3"/>
    </row>
    <row r="1518" spans="2:5" ht="15" x14ac:dyDescent="0.25">
      <c r="B1518" s="3"/>
      <c r="C1518" s="3"/>
      <c r="D1518" s="3"/>
      <c r="E1518" s="3"/>
    </row>
    <row r="1519" spans="2:5" ht="15" x14ac:dyDescent="0.25">
      <c r="B1519" s="3"/>
      <c r="C1519" s="3"/>
      <c r="D1519" s="3"/>
      <c r="E1519" s="3"/>
    </row>
    <row r="1520" spans="2:5" ht="15" x14ac:dyDescent="0.25">
      <c r="B1520" s="3"/>
      <c r="C1520" s="3"/>
      <c r="D1520" s="3"/>
      <c r="E1520" s="3"/>
    </row>
    <row r="1521" spans="2:5" ht="15" x14ac:dyDescent="0.25">
      <c r="B1521" s="3"/>
      <c r="C1521" s="3"/>
      <c r="D1521" s="3"/>
      <c r="E1521" s="3"/>
    </row>
    <row r="1522" spans="2:5" ht="15" x14ac:dyDescent="0.25">
      <c r="B1522" s="3"/>
      <c r="C1522" s="3"/>
      <c r="D1522" s="3"/>
      <c r="E1522" s="3"/>
    </row>
    <row r="1523" spans="2:5" ht="15" x14ac:dyDescent="0.25">
      <c r="B1523" s="3"/>
      <c r="C1523" s="3"/>
      <c r="D1523" s="3"/>
      <c r="E1523" s="3"/>
    </row>
    <row r="1524" spans="2:5" ht="15" x14ac:dyDescent="0.25">
      <c r="B1524" s="3"/>
      <c r="C1524" s="3"/>
      <c r="D1524" s="3"/>
      <c r="E1524" s="3"/>
    </row>
    <row r="1525" spans="2:5" ht="15" x14ac:dyDescent="0.25">
      <c r="B1525" s="3"/>
      <c r="C1525" s="3"/>
      <c r="D1525" s="3"/>
      <c r="E1525" s="3"/>
    </row>
    <row r="1526" spans="2:5" ht="15" x14ac:dyDescent="0.25">
      <c r="B1526" s="3"/>
      <c r="C1526" s="3"/>
      <c r="D1526" s="3"/>
      <c r="E1526" s="3"/>
    </row>
    <row r="1527" spans="2:5" ht="15" x14ac:dyDescent="0.25">
      <c r="B1527" s="3"/>
      <c r="C1527" s="3"/>
      <c r="D1527" s="3"/>
      <c r="E1527" s="3"/>
    </row>
    <row r="1528" spans="2:5" ht="15" x14ac:dyDescent="0.25">
      <c r="B1528" s="3"/>
      <c r="C1528" s="3"/>
      <c r="D1528" s="3"/>
      <c r="E1528" s="3"/>
    </row>
    <row r="1529" spans="2:5" ht="15" x14ac:dyDescent="0.25">
      <c r="B1529" s="3"/>
      <c r="C1529" s="3"/>
      <c r="D1529" s="3"/>
      <c r="E1529" s="3"/>
    </row>
    <row r="1530" spans="2:5" ht="15" x14ac:dyDescent="0.25">
      <c r="B1530" s="3"/>
      <c r="C1530" s="3"/>
      <c r="D1530" s="3"/>
      <c r="E1530" s="3"/>
    </row>
    <row r="1531" spans="2:5" ht="15" x14ac:dyDescent="0.25">
      <c r="B1531" s="3"/>
      <c r="C1531" s="3"/>
      <c r="D1531" s="3"/>
      <c r="E1531" s="3"/>
    </row>
    <row r="1532" spans="2:5" ht="15" x14ac:dyDescent="0.25">
      <c r="B1532" s="3"/>
      <c r="C1532" s="3"/>
      <c r="D1532" s="3"/>
      <c r="E1532" s="3"/>
    </row>
    <row r="1533" spans="2:5" ht="15" x14ac:dyDescent="0.25">
      <c r="B1533" s="3"/>
      <c r="C1533" s="3"/>
      <c r="D1533" s="3"/>
      <c r="E1533" s="3"/>
    </row>
    <row r="1534" spans="2:5" ht="15" x14ac:dyDescent="0.25">
      <c r="B1534" s="3"/>
      <c r="C1534" s="3"/>
      <c r="D1534" s="3"/>
      <c r="E1534" s="3"/>
    </row>
    <row r="1535" spans="2:5" ht="15" x14ac:dyDescent="0.25">
      <c r="B1535" s="3"/>
      <c r="C1535" s="3"/>
      <c r="D1535" s="3"/>
      <c r="E1535" s="3"/>
    </row>
    <row r="1536" spans="2:5" ht="15" x14ac:dyDescent="0.25">
      <c r="B1536" s="3"/>
      <c r="C1536" s="3"/>
      <c r="D1536" s="3"/>
      <c r="E1536" s="3"/>
    </row>
    <row r="1537" spans="2:5" ht="15" x14ac:dyDescent="0.25">
      <c r="B1537" s="3"/>
      <c r="C1537" s="3"/>
      <c r="D1537" s="3"/>
      <c r="E1537" s="3"/>
    </row>
    <row r="1538" spans="2:5" ht="15" x14ac:dyDescent="0.25">
      <c r="B1538" s="3"/>
      <c r="C1538" s="3"/>
      <c r="D1538" s="3"/>
      <c r="E1538" s="3"/>
    </row>
    <row r="1539" spans="2:5" ht="15" x14ac:dyDescent="0.25">
      <c r="B1539" s="3"/>
      <c r="C1539" s="3"/>
      <c r="D1539" s="3"/>
      <c r="E1539" s="3"/>
    </row>
    <row r="1540" spans="2:5" ht="15" x14ac:dyDescent="0.25">
      <c r="B1540" s="3"/>
      <c r="C1540" s="3"/>
      <c r="D1540" s="3"/>
      <c r="E1540" s="3"/>
    </row>
    <row r="1541" spans="2:5" ht="15" x14ac:dyDescent="0.25">
      <c r="B1541" s="3"/>
      <c r="C1541" s="3"/>
      <c r="D1541" s="3"/>
      <c r="E1541" s="3"/>
    </row>
    <row r="1542" spans="2:5" ht="15" x14ac:dyDescent="0.25">
      <c r="B1542" s="3"/>
      <c r="C1542" s="3"/>
      <c r="D1542" s="3"/>
      <c r="E1542" s="3"/>
    </row>
    <row r="1543" spans="2:5" ht="15" x14ac:dyDescent="0.25">
      <c r="B1543" s="3"/>
      <c r="C1543" s="3"/>
      <c r="D1543" s="3"/>
      <c r="E1543" s="3"/>
    </row>
    <row r="1544" spans="2:5" ht="15" x14ac:dyDescent="0.25">
      <c r="B1544" s="3"/>
      <c r="C1544" s="3"/>
      <c r="D1544" s="3"/>
      <c r="E1544" s="3"/>
    </row>
    <row r="1545" spans="2:5" ht="15" x14ac:dyDescent="0.25">
      <c r="B1545" s="3"/>
      <c r="C1545" s="3"/>
      <c r="D1545" s="3"/>
      <c r="E1545" s="3"/>
    </row>
    <row r="1546" spans="2:5" ht="15" x14ac:dyDescent="0.25">
      <c r="B1546" s="3"/>
      <c r="C1546" s="3"/>
      <c r="D1546" s="3"/>
      <c r="E1546" s="3"/>
    </row>
    <row r="1547" spans="2:5" ht="15" x14ac:dyDescent="0.25">
      <c r="B1547" s="3"/>
      <c r="C1547" s="3"/>
      <c r="D1547" s="3"/>
      <c r="E1547" s="3"/>
    </row>
    <row r="1548" spans="2:5" ht="15" x14ac:dyDescent="0.25">
      <c r="B1548" s="3"/>
      <c r="C1548" s="3"/>
      <c r="D1548" s="3"/>
      <c r="E1548" s="3"/>
    </row>
    <row r="1549" spans="2:5" ht="15" x14ac:dyDescent="0.25">
      <c r="B1549" s="3"/>
      <c r="C1549" s="3"/>
      <c r="D1549" s="3"/>
      <c r="E1549" s="3"/>
    </row>
    <row r="1550" spans="2:5" ht="15" x14ac:dyDescent="0.25">
      <c r="B1550" s="3"/>
      <c r="C1550" s="3"/>
      <c r="D1550" s="3"/>
      <c r="E1550" s="3"/>
    </row>
    <row r="1551" spans="2:5" ht="15" x14ac:dyDescent="0.25">
      <c r="B1551" s="3"/>
      <c r="C1551" s="3"/>
      <c r="D1551" s="3"/>
      <c r="E1551" s="3"/>
    </row>
    <row r="1552" spans="2:5" ht="15" x14ac:dyDescent="0.25">
      <c r="B1552" s="3"/>
      <c r="C1552" s="3"/>
      <c r="D1552" s="3"/>
      <c r="E1552" s="3"/>
    </row>
    <row r="1553" spans="2:5" ht="15" x14ac:dyDescent="0.25">
      <c r="B1553" s="3"/>
      <c r="C1553" s="3"/>
      <c r="D1553" s="3"/>
      <c r="E1553" s="3"/>
    </row>
    <row r="1554" spans="2:5" ht="15" x14ac:dyDescent="0.25">
      <c r="B1554" s="3"/>
      <c r="C1554" s="3"/>
      <c r="D1554" s="3"/>
      <c r="E1554" s="3"/>
    </row>
    <row r="1555" spans="2:5" ht="15" x14ac:dyDescent="0.25">
      <c r="B1555" s="3"/>
      <c r="C1555" s="3"/>
      <c r="D1555" s="3"/>
      <c r="E1555" s="3"/>
    </row>
    <row r="1556" spans="2:5" ht="15" x14ac:dyDescent="0.25">
      <c r="B1556" s="3"/>
      <c r="C1556" s="3"/>
      <c r="D1556" s="3"/>
      <c r="E1556" s="3"/>
    </row>
    <row r="1557" spans="2:5" ht="15" x14ac:dyDescent="0.25">
      <c r="B1557" s="3"/>
      <c r="C1557" s="3"/>
      <c r="D1557" s="3"/>
      <c r="E1557" s="3"/>
    </row>
    <row r="1558" spans="2:5" ht="15" x14ac:dyDescent="0.25">
      <c r="B1558" s="3"/>
      <c r="C1558" s="3"/>
      <c r="D1558" s="3"/>
      <c r="E1558" s="3"/>
    </row>
    <row r="1559" spans="2:5" ht="15" x14ac:dyDescent="0.25">
      <c r="B1559" s="3"/>
      <c r="C1559" s="3"/>
      <c r="D1559" s="3"/>
      <c r="E1559" s="3"/>
    </row>
    <row r="1560" spans="2:5" ht="15" x14ac:dyDescent="0.25">
      <c r="B1560" s="3"/>
      <c r="C1560" s="3"/>
      <c r="D1560" s="3"/>
      <c r="E1560" s="3"/>
    </row>
    <row r="1561" spans="2:5" ht="15" x14ac:dyDescent="0.25">
      <c r="B1561" s="3"/>
      <c r="C1561" s="3"/>
      <c r="D1561" s="3"/>
      <c r="E1561" s="3"/>
    </row>
    <row r="1562" spans="2:5" ht="15" x14ac:dyDescent="0.25">
      <c r="B1562" s="3"/>
      <c r="C1562" s="3"/>
      <c r="D1562" s="3"/>
      <c r="E1562" s="3"/>
    </row>
    <row r="1563" spans="2:5" ht="15" x14ac:dyDescent="0.25">
      <c r="B1563" s="3"/>
      <c r="C1563" s="3"/>
      <c r="D1563" s="3"/>
      <c r="E1563" s="3"/>
    </row>
    <row r="1564" spans="2:5" ht="15" x14ac:dyDescent="0.25">
      <c r="B1564" s="3"/>
      <c r="C1564" s="3"/>
      <c r="D1564" s="3"/>
      <c r="E1564" s="3"/>
    </row>
    <row r="1565" spans="2:5" ht="15" x14ac:dyDescent="0.25">
      <c r="B1565" s="3"/>
      <c r="C1565" s="3"/>
      <c r="D1565" s="3"/>
      <c r="E1565" s="3"/>
    </row>
    <row r="1566" spans="2:5" ht="15" x14ac:dyDescent="0.25">
      <c r="B1566" s="3"/>
      <c r="C1566" s="3"/>
      <c r="D1566" s="3"/>
      <c r="E1566" s="3"/>
    </row>
    <row r="1567" spans="2:5" ht="15" x14ac:dyDescent="0.25">
      <c r="B1567" s="3"/>
      <c r="C1567" s="3"/>
      <c r="D1567" s="3"/>
      <c r="E1567" s="3"/>
    </row>
    <row r="1568" spans="2:5" ht="15" x14ac:dyDescent="0.25">
      <c r="B1568" s="3"/>
      <c r="C1568" s="3"/>
      <c r="D1568" s="3"/>
      <c r="E1568" s="3"/>
    </row>
    <row r="1569" spans="2:5" ht="15" x14ac:dyDescent="0.25">
      <c r="B1569" s="3"/>
      <c r="C1569" s="3"/>
      <c r="D1569" s="3"/>
      <c r="E1569" s="3"/>
    </row>
    <row r="1570" spans="2:5" ht="15" x14ac:dyDescent="0.25">
      <c r="B1570" s="3"/>
      <c r="C1570" s="3"/>
      <c r="D1570" s="3"/>
      <c r="E1570" s="3"/>
    </row>
    <row r="1571" spans="2:5" ht="15" x14ac:dyDescent="0.25">
      <c r="B1571" s="3"/>
      <c r="C1571" s="3"/>
      <c r="D1571" s="3"/>
      <c r="E1571" s="3"/>
    </row>
    <row r="1572" spans="2:5" ht="15" x14ac:dyDescent="0.25">
      <c r="B1572" s="3"/>
      <c r="C1572" s="3"/>
      <c r="D1572" s="3"/>
      <c r="E1572" s="3"/>
    </row>
    <row r="1573" spans="2:5" ht="15" x14ac:dyDescent="0.25">
      <c r="B1573" s="3"/>
      <c r="C1573" s="3"/>
      <c r="D1573" s="3"/>
      <c r="E1573" s="3"/>
    </row>
    <row r="1574" spans="2:5" ht="15" x14ac:dyDescent="0.25">
      <c r="B1574" s="3"/>
      <c r="C1574" s="3"/>
      <c r="D1574" s="3"/>
      <c r="E1574" s="3"/>
    </row>
    <row r="1575" spans="2:5" ht="15" x14ac:dyDescent="0.25">
      <c r="B1575" s="3"/>
      <c r="C1575" s="3"/>
      <c r="D1575" s="3"/>
      <c r="E1575" s="3"/>
    </row>
    <row r="1576" spans="2:5" ht="15" x14ac:dyDescent="0.25">
      <c r="B1576" s="3"/>
      <c r="C1576" s="3"/>
      <c r="D1576" s="3"/>
      <c r="E1576" s="3"/>
    </row>
    <row r="1577" spans="2:5" ht="15" x14ac:dyDescent="0.25">
      <c r="B1577" s="3"/>
      <c r="C1577" s="3"/>
      <c r="D1577" s="3"/>
      <c r="E1577" s="3"/>
    </row>
    <row r="1578" spans="2:5" ht="15" x14ac:dyDescent="0.25">
      <c r="B1578" s="3"/>
      <c r="C1578" s="3"/>
      <c r="D1578" s="3"/>
      <c r="E1578" s="3"/>
    </row>
    <row r="1579" spans="2:5" ht="15" x14ac:dyDescent="0.25">
      <c r="B1579" s="3"/>
      <c r="C1579" s="3"/>
      <c r="D1579" s="3"/>
      <c r="E1579" s="3"/>
    </row>
    <row r="1580" spans="2:5" ht="15" x14ac:dyDescent="0.25">
      <c r="B1580" s="3"/>
      <c r="C1580" s="3"/>
      <c r="D1580" s="3"/>
      <c r="E1580" s="3"/>
    </row>
    <row r="1581" spans="2:5" ht="15" x14ac:dyDescent="0.25">
      <c r="B1581" s="3"/>
      <c r="C1581" s="3"/>
      <c r="D1581" s="3"/>
      <c r="E1581" s="3"/>
    </row>
    <row r="1582" spans="2:5" ht="15" x14ac:dyDescent="0.25">
      <c r="B1582" s="3"/>
      <c r="C1582" s="3"/>
      <c r="D1582" s="3"/>
      <c r="E1582" s="3"/>
    </row>
    <row r="1583" spans="2:5" ht="15" x14ac:dyDescent="0.25">
      <c r="B1583" s="3"/>
      <c r="C1583" s="3"/>
      <c r="D1583" s="3"/>
      <c r="E1583" s="3"/>
    </row>
    <row r="1584" spans="2:5" ht="15" x14ac:dyDescent="0.25">
      <c r="B1584" s="3"/>
      <c r="C1584" s="3"/>
      <c r="D1584" s="3"/>
      <c r="E1584" s="3"/>
    </row>
    <row r="1585" spans="2:5" ht="15" x14ac:dyDescent="0.25">
      <c r="B1585" s="3"/>
      <c r="C1585" s="3"/>
      <c r="D1585" s="3"/>
      <c r="E1585" s="3"/>
    </row>
    <row r="1586" spans="2:5" ht="15" x14ac:dyDescent="0.25">
      <c r="B1586" s="3"/>
      <c r="C1586" s="3"/>
      <c r="D1586" s="3"/>
      <c r="E1586" s="3"/>
    </row>
    <row r="1587" spans="2:5" ht="15" x14ac:dyDescent="0.25">
      <c r="B1587" s="3"/>
      <c r="C1587" s="3"/>
      <c r="D1587" s="3"/>
      <c r="E1587" s="3"/>
    </row>
    <row r="1588" spans="2:5" ht="15" x14ac:dyDescent="0.25">
      <c r="B1588" s="3"/>
      <c r="C1588" s="3"/>
      <c r="D1588" s="3"/>
      <c r="E1588" s="3"/>
    </row>
    <row r="1589" spans="2:5" ht="15" x14ac:dyDescent="0.25">
      <c r="B1589" s="3"/>
      <c r="C1589" s="3"/>
      <c r="D1589" s="3"/>
      <c r="E1589" s="3"/>
    </row>
    <row r="1590" spans="2:5" ht="15" x14ac:dyDescent="0.25">
      <c r="B1590" s="3"/>
      <c r="C1590" s="3"/>
      <c r="D1590" s="3"/>
      <c r="E1590" s="3"/>
    </row>
    <row r="1591" spans="2:5" ht="15" x14ac:dyDescent="0.25">
      <c r="B1591" s="3"/>
      <c r="C1591" s="3"/>
      <c r="D1591" s="3"/>
      <c r="E1591" s="3"/>
    </row>
    <row r="1592" spans="2:5" ht="15" x14ac:dyDescent="0.25">
      <c r="B1592" s="3"/>
      <c r="C1592" s="3"/>
      <c r="D1592" s="3"/>
      <c r="E1592" s="3"/>
    </row>
    <row r="1593" spans="2:5" ht="15" x14ac:dyDescent="0.25">
      <c r="B1593" s="3"/>
      <c r="C1593" s="3"/>
      <c r="D1593" s="3"/>
      <c r="E1593" s="3"/>
    </row>
    <row r="1594" spans="2:5" ht="15" x14ac:dyDescent="0.25">
      <c r="B1594" s="3"/>
      <c r="C1594" s="3"/>
      <c r="D1594" s="3"/>
      <c r="E1594" s="3"/>
    </row>
    <row r="1595" spans="2:5" ht="15" x14ac:dyDescent="0.25">
      <c r="B1595" s="3"/>
      <c r="C1595" s="3"/>
      <c r="D1595" s="3"/>
      <c r="E1595" s="3"/>
    </row>
    <row r="1596" spans="2:5" ht="15" x14ac:dyDescent="0.25">
      <c r="B1596" s="3"/>
      <c r="C1596" s="3"/>
      <c r="D1596" s="3"/>
      <c r="E1596" s="3"/>
    </row>
    <row r="1597" spans="2:5" ht="15" x14ac:dyDescent="0.25">
      <c r="B1597" s="3"/>
      <c r="C1597" s="3"/>
      <c r="D1597" s="3"/>
      <c r="E1597" s="3"/>
    </row>
    <row r="1598" spans="2:5" ht="15" x14ac:dyDescent="0.25">
      <c r="B1598" s="3"/>
      <c r="C1598" s="3"/>
      <c r="D1598" s="3"/>
      <c r="E1598" s="3"/>
    </row>
    <row r="1599" spans="2:5" ht="15" x14ac:dyDescent="0.25">
      <c r="B1599" s="3"/>
      <c r="C1599" s="3"/>
      <c r="D1599" s="3"/>
      <c r="E1599" s="3"/>
    </row>
    <row r="1600" spans="2:5" ht="15" x14ac:dyDescent="0.25">
      <c r="B1600" s="3"/>
      <c r="C1600" s="3"/>
      <c r="D1600" s="3"/>
      <c r="E1600" s="3"/>
    </row>
    <row r="1601" spans="2:5" ht="15" x14ac:dyDescent="0.25">
      <c r="B1601" s="3"/>
      <c r="C1601" s="3"/>
      <c r="D1601" s="3"/>
      <c r="E1601" s="3"/>
    </row>
    <row r="1602" spans="2:5" ht="15" x14ac:dyDescent="0.25">
      <c r="B1602" s="3"/>
      <c r="C1602" s="3"/>
      <c r="D1602" s="3"/>
      <c r="E1602" s="3"/>
    </row>
    <row r="1603" spans="2:5" ht="15" x14ac:dyDescent="0.25">
      <c r="B1603" s="3"/>
      <c r="C1603" s="3"/>
      <c r="D1603" s="3"/>
      <c r="E1603" s="3"/>
    </row>
    <row r="1604" spans="2:5" ht="15" x14ac:dyDescent="0.25">
      <c r="B1604" s="3"/>
      <c r="C1604" s="3"/>
      <c r="D1604" s="3"/>
      <c r="E1604" s="3"/>
    </row>
    <row r="1605" spans="2:5" ht="15" x14ac:dyDescent="0.25">
      <c r="B1605" s="3"/>
      <c r="C1605" s="3"/>
      <c r="D1605" s="3"/>
      <c r="E1605" s="3"/>
    </row>
    <row r="1606" spans="2:5" ht="15" x14ac:dyDescent="0.25">
      <c r="B1606" s="3"/>
      <c r="C1606" s="3"/>
      <c r="D1606" s="3"/>
      <c r="E1606" s="3"/>
    </row>
    <row r="1607" spans="2:5" ht="15" x14ac:dyDescent="0.25">
      <c r="B1607" s="3"/>
      <c r="C1607" s="3"/>
      <c r="D1607" s="3"/>
      <c r="E1607" s="3"/>
    </row>
    <row r="1608" spans="2:5" ht="15" x14ac:dyDescent="0.25">
      <c r="B1608" s="3"/>
      <c r="C1608" s="3"/>
      <c r="D1608" s="3"/>
      <c r="E1608" s="3"/>
    </row>
    <row r="1609" spans="2:5" ht="15" x14ac:dyDescent="0.25">
      <c r="B1609" s="3"/>
      <c r="C1609" s="3"/>
      <c r="D1609" s="3"/>
      <c r="E1609" s="3"/>
    </row>
    <row r="1610" spans="2:5" ht="15" x14ac:dyDescent="0.25">
      <c r="B1610" s="3"/>
      <c r="C1610" s="3"/>
      <c r="D1610" s="3"/>
      <c r="E1610" s="3"/>
    </row>
    <row r="1611" spans="2:5" ht="15" x14ac:dyDescent="0.25">
      <c r="B1611" s="3"/>
      <c r="C1611" s="3"/>
      <c r="D1611" s="3"/>
      <c r="E1611" s="3"/>
    </row>
    <row r="1612" spans="2:5" ht="15" x14ac:dyDescent="0.25">
      <c r="B1612" s="3"/>
      <c r="C1612" s="3"/>
      <c r="D1612" s="3"/>
      <c r="E1612" s="3"/>
    </row>
    <row r="1613" spans="2:5" ht="15" x14ac:dyDescent="0.25">
      <c r="B1613" s="3"/>
      <c r="C1613" s="3"/>
      <c r="D1613" s="3"/>
      <c r="E1613" s="3"/>
    </row>
    <row r="1614" spans="2:5" ht="15" x14ac:dyDescent="0.25">
      <c r="B1614" s="3"/>
      <c r="C1614" s="3"/>
      <c r="D1614" s="3"/>
      <c r="E1614" s="3"/>
    </row>
    <row r="1615" spans="2:5" ht="15" x14ac:dyDescent="0.25">
      <c r="B1615" s="3"/>
      <c r="C1615" s="3"/>
      <c r="D1615" s="3"/>
      <c r="E1615" s="3"/>
    </row>
    <row r="1616" spans="2:5" ht="15" x14ac:dyDescent="0.25">
      <c r="B1616" s="3"/>
      <c r="C1616" s="3"/>
      <c r="D1616" s="3"/>
      <c r="E1616" s="3"/>
    </row>
    <row r="1617" spans="2:5" ht="15" x14ac:dyDescent="0.25">
      <c r="B1617" s="3"/>
      <c r="C1617" s="3"/>
      <c r="D1617" s="3"/>
      <c r="E1617" s="3"/>
    </row>
    <row r="1618" spans="2:5" ht="15" x14ac:dyDescent="0.25">
      <c r="B1618" s="3"/>
      <c r="C1618" s="3"/>
      <c r="D1618" s="3"/>
      <c r="E1618" s="3"/>
    </row>
    <row r="1619" spans="2:5" ht="15" x14ac:dyDescent="0.25">
      <c r="B1619" s="3"/>
      <c r="C1619" s="3"/>
      <c r="D1619" s="3"/>
      <c r="E1619" s="3"/>
    </row>
    <row r="1620" spans="2:5" ht="15" x14ac:dyDescent="0.25">
      <c r="B1620" s="3"/>
      <c r="C1620" s="3"/>
      <c r="D1620" s="3"/>
      <c r="E1620" s="3"/>
    </row>
    <row r="1621" spans="2:5" ht="15" x14ac:dyDescent="0.25">
      <c r="B1621" s="3"/>
      <c r="C1621" s="3"/>
      <c r="D1621" s="3"/>
      <c r="E1621" s="3"/>
    </row>
    <row r="1622" spans="2:5" ht="15" x14ac:dyDescent="0.25">
      <c r="B1622" s="3"/>
      <c r="C1622" s="3"/>
      <c r="D1622" s="3"/>
      <c r="E1622" s="3"/>
    </row>
    <row r="1623" spans="2:5" ht="15" x14ac:dyDescent="0.25">
      <c r="B1623" s="3"/>
      <c r="C1623" s="3"/>
      <c r="D1623" s="3"/>
      <c r="E1623" s="3"/>
    </row>
    <row r="1624" spans="2:5" ht="15" x14ac:dyDescent="0.25">
      <c r="B1624" s="3"/>
      <c r="C1624" s="3"/>
      <c r="D1624" s="3"/>
      <c r="E1624" s="3"/>
    </row>
    <row r="1625" spans="2:5" ht="15" x14ac:dyDescent="0.25">
      <c r="B1625" s="3"/>
      <c r="C1625" s="3"/>
      <c r="D1625" s="3"/>
      <c r="E1625" s="3"/>
    </row>
    <row r="1626" spans="2:5" ht="15" x14ac:dyDescent="0.25">
      <c r="B1626" s="3"/>
      <c r="C1626" s="3"/>
      <c r="D1626" s="3"/>
      <c r="E1626" s="3"/>
    </row>
    <row r="1627" spans="2:5" ht="15" x14ac:dyDescent="0.25">
      <c r="B1627" s="3"/>
      <c r="C1627" s="3"/>
      <c r="D1627" s="3"/>
      <c r="E1627" s="3"/>
    </row>
    <row r="1628" spans="2:5" ht="15" x14ac:dyDescent="0.25">
      <c r="B1628" s="3"/>
      <c r="C1628" s="3"/>
      <c r="D1628" s="3"/>
      <c r="E1628" s="3"/>
    </row>
    <row r="1629" spans="2:5" ht="15" x14ac:dyDescent="0.25">
      <c r="B1629" s="3"/>
      <c r="C1629" s="3"/>
      <c r="D1629" s="3"/>
      <c r="E1629" s="3"/>
    </row>
    <row r="1630" spans="2:5" ht="15" x14ac:dyDescent="0.25">
      <c r="B1630" s="3"/>
      <c r="C1630" s="3"/>
      <c r="D1630" s="3"/>
      <c r="E1630" s="3"/>
    </row>
    <row r="1631" spans="2:5" ht="15" x14ac:dyDescent="0.25">
      <c r="B1631" s="3"/>
      <c r="C1631" s="3"/>
      <c r="D1631" s="3"/>
      <c r="E1631" s="3"/>
    </row>
    <row r="1632" spans="2:5" ht="15" x14ac:dyDescent="0.25">
      <c r="B1632" s="3"/>
      <c r="C1632" s="3"/>
      <c r="D1632" s="3"/>
      <c r="E1632" s="3"/>
    </row>
    <row r="1633" spans="2:5" ht="15" x14ac:dyDescent="0.25">
      <c r="B1633" s="3"/>
      <c r="C1633" s="3"/>
      <c r="D1633" s="3"/>
      <c r="E1633" s="3"/>
    </row>
    <row r="1634" spans="2:5" ht="15" x14ac:dyDescent="0.25">
      <c r="B1634" s="3"/>
      <c r="C1634" s="3"/>
      <c r="D1634" s="3"/>
      <c r="E1634" s="3"/>
    </row>
    <row r="1635" spans="2:5" ht="15" x14ac:dyDescent="0.25">
      <c r="B1635" s="3"/>
      <c r="C1635" s="3"/>
      <c r="D1635" s="3"/>
      <c r="E1635" s="3"/>
    </row>
    <row r="1636" spans="2:5" ht="15" x14ac:dyDescent="0.25">
      <c r="B1636" s="3"/>
      <c r="C1636" s="3"/>
      <c r="D1636" s="3"/>
      <c r="E1636" s="3"/>
    </row>
    <row r="1637" spans="2:5" ht="15" x14ac:dyDescent="0.25">
      <c r="B1637" s="3"/>
      <c r="C1637" s="3"/>
      <c r="D1637" s="3"/>
      <c r="E1637" s="3"/>
    </row>
    <row r="1638" spans="2:5" ht="15" x14ac:dyDescent="0.25">
      <c r="B1638" s="3"/>
      <c r="C1638" s="3"/>
      <c r="D1638" s="3"/>
      <c r="E1638" s="3"/>
    </row>
    <row r="1639" spans="2:5" ht="15" x14ac:dyDescent="0.25">
      <c r="B1639" s="3"/>
      <c r="C1639" s="3"/>
      <c r="D1639" s="3"/>
      <c r="E1639" s="3"/>
    </row>
    <row r="1640" spans="2:5" ht="15" x14ac:dyDescent="0.25">
      <c r="B1640" s="3"/>
      <c r="C1640" s="3"/>
      <c r="D1640" s="3"/>
      <c r="E1640" s="3"/>
    </row>
    <row r="1641" spans="2:5" ht="15" x14ac:dyDescent="0.25">
      <c r="B1641" s="3"/>
      <c r="C1641" s="3"/>
      <c r="D1641" s="3"/>
      <c r="E1641" s="3"/>
    </row>
    <row r="1642" spans="2:5" ht="15" x14ac:dyDescent="0.25">
      <c r="B1642" s="3"/>
      <c r="C1642" s="3"/>
      <c r="D1642" s="3"/>
      <c r="E1642" s="3"/>
    </row>
    <row r="1643" spans="2:5" ht="15" x14ac:dyDescent="0.25">
      <c r="B1643" s="3"/>
      <c r="C1643" s="3"/>
      <c r="D1643" s="3"/>
      <c r="E1643" s="3"/>
    </row>
    <row r="1644" spans="2:5" ht="15" x14ac:dyDescent="0.25">
      <c r="B1644" s="3"/>
      <c r="C1644" s="3"/>
      <c r="D1644" s="3"/>
      <c r="E1644" s="3"/>
    </row>
    <row r="1645" spans="2:5" ht="15" x14ac:dyDescent="0.25">
      <c r="B1645" s="3"/>
      <c r="C1645" s="3"/>
      <c r="D1645" s="3"/>
      <c r="E1645" s="3"/>
    </row>
    <row r="1646" spans="2:5" ht="15" x14ac:dyDescent="0.25">
      <c r="B1646" s="3"/>
      <c r="C1646" s="3"/>
      <c r="D1646" s="3"/>
      <c r="E1646" s="3"/>
    </row>
    <row r="1647" spans="2:5" ht="15" x14ac:dyDescent="0.25">
      <c r="B1647" s="3"/>
      <c r="C1647" s="3"/>
      <c r="D1647" s="3"/>
      <c r="E1647" s="3"/>
    </row>
    <row r="1648" spans="2:5" ht="15" x14ac:dyDescent="0.25">
      <c r="B1648" s="3"/>
      <c r="C1648" s="3"/>
      <c r="D1648" s="3"/>
      <c r="E1648" s="3"/>
    </row>
    <row r="1649" spans="2:5" ht="15" x14ac:dyDescent="0.25">
      <c r="B1649" s="3"/>
      <c r="C1649" s="3"/>
      <c r="D1649" s="3"/>
      <c r="E1649" s="3"/>
    </row>
    <row r="1650" spans="2:5" ht="15" x14ac:dyDescent="0.25">
      <c r="B1650" s="3"/>
      <c r="C1650" s="3"/>
      <c r="D1650" s="3"/>
      <c r="E1650" s="3"/>
    </row>
    <row r="1651" spans="2:5" ht="15" x14ac:dyDescent="0.25">
      <c r="B1651" s="3"/>
      <c r="C1651" s="3"/>
      <c r="D1651" s="3"/>
      <c r="E1651" s="3"/>
    </row>
    <row r="1652" spans="2:5" ht="15" x14ac:dyDescent="0.25">
      <c r="B1652" s="3"/>
      <c r="C1652" s="3"/>
      <c r="D1652" s="3"/>
      <c r="E1652" s="3"/>
    </row>
    <row r="1653" spans="2:5" ht="15" x14ac:dyDescent="0.25">
      <c r="B1653" s="3"/>
      <c r="C1653" s="3"/>
      <c r="D1653" s="3"/>
      <c r="E1653" s="3"/>
    </row>
    <row r="1654" spans="2:5" ht="15" x14ac:dyDescent="0.25">
      <c r="B1654" s="3"/>
      <c r="C1654" s="3"/>
      <c r="D1654" s="3"/>
      <c r="E1654" s="3"/>
    </row>
    <row r="1655" spans="2:5" ht="15" x14ac:dyDescent="0.25">
      <c r="B1655" s="3"/>
      <c r="C1655" s="3"/>
      <c r="D1655" s="3"/>
      <c r="E1655" s="3"/>
    </row>
    <row r="1656" spans="2:5" ht="15" x14ac:dyDescent="0.25">
      <c r="B1656" s="3"/>
      <c r="C1656" s="3"/>
      <c r="D1656" s="3"/>
      <c r="E1656" s="3"/>
    </row>
    <row r="1657" spans="2:5" ht="15" x14ac:dyDescent="0.25">
      <c r="B1657" s="3"/>
      <c r="C1657" s="3"/>
      <c r="D1657" s="3"/>
      <c r="E1657" s="3"/>
    </row>
    <row r="1658" spans="2:5" ht="15" x14ac:dyDescent="0.25">
      <c r="B1658" s="3"/>
      <c r="C1658" s="3"/>
      <c r="D1658" s="3"/>
      <c r="E1658" s="3"/>
    </row>
    <row r="1659" spans="2:5" ht="15" x14ac:dyDescent="0.25">
      <c r="B1659" s="3"/>
      <c r="C1659" s="3"/>
      <c r="D1659" s="3"/>
      <c r="E1659" s="3"/>
    </row>
    <row r="1660" spans="2:5" ht="15" x14ac:dyDescent="0.25">
      <c r="B1660" s="3"/>
      <c r="C1660" s="3"/>
      <c r="D1660" s="3"/>
      <c r="E1660" s="3"/>
    </row>
    <row r="1661" spans="2:5" ht="15" x14ac:dyDescent="0.25">
      <c r="B1661" s="3"/>
      <c r="C1661" s="3"/>
      <c r="D1661" s="3"/>
      <c r="E1661" s="3"/>
    </row>
    <row r="1662" spans="2:5" ht="15" x14ac:dyDescent="0.25">
      <c r="B1662" s="3"/>
      <c r="C1662" s="3"/>
      <c r="D1662" s="3"/>
      <c r="E1662" s="3"/>
    </row>
    <row r="1663" spans="2:5" ht="15" x14ac:dyDescent="0.25">
      <c r="B1663" s="3"/>
      <c r="C1663" s="3"/>
      <c r="D1663" s="3"/>
      <c r="E1663" s="3"/>
    </row>
    <row r="1664" spans="2:5" ht="15" x14ac:dyDescent="0.25">
      <c r="B1664" s="3"/>
      <c r="C1664" s="3"/>
      <c r="D1664" s="3"/>
      <c r="E1664" s="3"/>
    </row>
    <row r="1665" spans="2:5" ht="15" x14ac:dyDescent="0.25">
      <c r="B1665" s="3"/>
      <c r="C1665" s="3"/>
      <c r="D1665" s="3"/>
      <c r="E1665" s="3"/>
    </row>
    <row r="1666" spans="2:5" ht="15" x14ac:dyDescent="0.25">
      <c r="B1666" s="3"/>
      <c r="C1666" s="3"/>
      <c r="D1666" s="3"/>
      <c r="E1666" s="3"/>
    </row>
    <row r="1667" spans="2:5" ht="15" x14ac:dyDescent="0.25">
      <c r="B1667" s="3"/>
      <c r="C1667" s="3"/>
      <c r="D1667" s="3"/>
      <c r="E1667" s="3"/>
    </row>
    <row r="1668" spans="2:5" ht="15" x14ac:dyDescent="0.25">
      <c r="B1668" s="3"/>
      <c r="C1668" s="3"/>
      <c r="D1668" s="3"/>
      <c r="E1668" s="3"/>
    </row>
    <row r="1669" spans="2:5" ht="15" x14ac:dyDescent="0.25">
      <c r="B1669" s="3"/>
      <c r="C1669" s="3"/>
      <c r="D1669" s="3"/>
      <c r="E1669" s="3"/>
    </row>
    <row r="1670" spans="2:5" ht="15" x14ac:dyDescent="0.25">
      <c r="B1670" s="3"/>
      <c r="C1670" s="3"/>
      <c r="D1670" s="3"/>
      <c r="E1670" s="3"/>
    </row>
    <row r="1671" spans="2:5" ht="15" x14ac:dyDescent="0.25">
      <c r="B1671" s="3"/>
      <c r="C1671" s="3"/>
      <c r="D1671" s="3"/>
      <c r="E1671" s="3"/>
    </row>
    <row r="1672" spans="2:5" ht="15" x14ac:dyDescent="0.25">
      <c r="B1672" s="3"/>
      <c r="C1672" s="3"/>
      <c r="D1672" s="3"/>
      <c r="E1672" s="3"/>
    </row>
    <row r="1673" spans="2:5" ht="15" x14ac:dyDescent="0.25">
      <c r="B1673" s="3"/>
      <c r="C1673" s="3"/>
      <c r="D1673" s="3"/>
      <c r="E1673" s="3"/>
    </row>
    <row r="1674" spans="2:5" ht="15" x14ac:dyDescent="0.25">
      <c r="B1674" s="3"/>
      <c r="C1674" s="3"/>
      <c r="D1674" s="3"/>
      <c r="E1674" s="3"/>
    </row>
    <row r="1675" spans="2:5" ht="15" x14ac:dyDescent="0.25">
      <c r="B1675" s="3"/>
      <c r="C1675" s="3"/>
      <c r="D1675" s="3"/>
      <c r="E1675" s="3"/>
    </row>
    <row r="1676" spans="2:5" ht="15" x14ac:dyDescent="0.25">
      <c r="B1676" s="3"/>
      <c r="C1676" s="3"/>
      <c r="D1676" s="3"/>
      <c r="E1676" s="3"/>
    </row>
    <row r="1677" spans="2:5" ht="15" x14ac:dyDescent="0.25">
      <c r="B1677" s="3"/>
      <c r="C1677" s="3"/>
      <c r="D1677" s="3"/>
      <c r="E1677" s="3"/>
    </row>
    <row r="1678" spans="2:5" ht="15" x14ac:dyDescent="0.25">
      <c r="B1678" s="3"/>
      <c r="C1678" s="3"/>
      <c r="D1678" s="3"/>
      <c r="E1678" s="3"/>
    </row>
    <row r="1679" spans="2:5" ht="15" x14ac:dyDescent="0.25">
      <c r="B1679" s="3"/>
      <c r="C1679" s="3"/>
      <c r="D1679" s="3"/>
      <c r="E1679" s="3"/>
    </row>
    <row r="1680" spans="2:5" ht="15" x14ac:dyDescent="0.25">
      <c r="B1680" s="3"/>
      <c r="C1680" s="3"/>
      <c r="D1680" s="3"/>
      <c r="E1680" s="3"/>
    </row>
    <row r="1681" spans="2:5" ht="15" x14ac:dyDescent="0.25">
      <c r="B1681" s="3"/>
      <c r="C1681" s="3"/>
      <c r="D1681" s="3"/>
      <c r="E1681" s="3"/>
    </row>
    <row r="1682" spans="2:5" ht="15" x14ac:dyDescent="0.25">
      <c r="B1682" s="3"/>
      <c r="C1682" s="3"/>
      <c r="D1682" s="3"/>
      <c r="E1682" s="3"/>
    </row>
    <row r="1683" spans="2:5" ht="15" x14ac:dyDescent="0.25">
      <c r="B1683" s="3"/>
      <c r="C1683" s="3"/>
      <c r="D1683" s="3"/>
      <c r="E1683" s="3"/>
    </row>
    <row r="1684" spans="2:5" ht="15" x14ac:dyDescent="0.25">
      <c r="B1684" s="3"/>
      <c r="C1684" s="3"/>
      <c r="D1684" s="3"/>
      <c r="E1684" s="3"/>
    </row>
    <row r="1685" spans="2:5" ht="15" x14ac:dyDescent="0.25">
      <c r="B1685" s="3"/>
      <c r="C1685" s="3"/>
      <c r="D1685" s="3"/>
      <c r="E1685" s="3"/>
    </row>
    <row r="1686" spans="2:5" ht="15" x14ac:dyDescent="0.25">
      <c r="B1686" s="3"/>
      <c r="C1686" s="3"/>
      <c r="D1686" s="3"/>
      <c r="E1686" s="3"/>
    </row>
    <row r="1687" spans="2:5" ht="15" x14ac:dyDescent="0.25"/>
    <row r="1688" spans="2:5" ht="15" x14ac:dyDescent="0.25"/>
    <row r="1689" spans="2:5" ht="15" x14ac:dyDescent="0.25"/>
    <row r="1690" spans="2:5" ht="15" x14ac:dyDescent="0.25"/>
    <row r="1691" spans="2:5" ht="15" x14ac:dyDescent="0.25"/>
    <row r="1692" spans="2:5" ht="15" x14ac:dyDescent="0.25"/>
    <row r="1693" spans="2:5" ht="15" x14ac:dyDescent="0.25"/>
    <row r="1694" spans="2:5" ht="15" x14ac:dyDescent="0.25"/>
    <row r="1695" spans="2:5" ht="15" x14ac:dyDescent="0.25"/>
    <row r="1696" spans="2:5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</sheetData>
  <pageMargins left="0.22" right="0.2" top="0.23" bottom="0.24" header="0.15748031496062992" footer="0.17"/>
  <pageSetup paperSize="9" scale="57" fitToWidth="0" fitToHeight="0" orientation="landscape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figs">
    <tabColor rgb="FFC00000"/>
  </sheetPr>
  <dimension ref="B1:HA1821"/>
  <sheetViews>
    <sheetView showGridLines="0" zoomScale="130" zoomScaleNormal="130" workbookViewId="0">
      <selection activeCell="E15" sqref="E15"/>
    </sheetView>
  </sheetViews>
  <sheetFormatPr defaultColWidth="0" defaultRowHeight="0" customHeight="1" zeroHeight="1" x14ac:dyDescent="0.25"/>
  <cols>
    <col min="1" max="1" width="1.42578125" style="2" customWidth="1"/>
    <col min="2" max="2" width="1.7109375" style="2" customWidth="1"/>
    <col min="3" max="3" width="1.42578125" style="2" customWidth="1"/>
    <col min="4" max="4" width="6.5703125" style="2" bestFit="1" customWidth="1"/>
    <col min="5" max="5" width="9.140625" style="2" bestFit="1" customWidth="1"/>
    <col min="6" max="6" width="10.140625" style="2" customWidth="1"/>
    <col min="7" max="7" width="11.28515625" style="2" bestFit="1" customWidth="1"/>
    <col min="8" max="8" width="8.28515625" style="2" bestFit="1" customWidth="1"/>
    <col min="9" max="9" width="10.140625" style="2" bestFit="1" customWidth="1"/>
    <col min="10" max="11" width="1.7109375" style="2" customWidth="1"/>
    <col min="12" max="12" width="3.28515625" style="2" customWidth="1"/>
    <col min="13" max="13" width="11.85546875" style="2" customWidth="1"/>
    <col min="14" max="14" width="10.5703125" style="2" bestFit="1" customWidth="1"/>
    <col min="15" max="15" width="8.7109375" style="2" customWidth="1"/>
    <col min="16" max="16" width="7.28515625" style="2" hidden="1" customWidth="1"/>
    <col min="17" max="17" width="2.42578125" style="2" hidden="1" customWidth="1"/>
    <col min="18" max="19" width="5.5703125" style="2" hidden="1" customWidth="1"/>
    <col min="20" max="20" width="2" style="2" hidden="1" customWidth="1"/>
    <col min="21" max="21" width="8.140625" style="2" hidden="1" customWidth="1"/>
    <col min="22" max="22" width="1.5703125" style="2" hidden="1" customWidth="1"/>
    <col min="23" max="24" width="5.5703125" style="2" hidden="1" customWidth="1"/>
    <col min="25" max="25" width="0" style="2" hidden="1" customWidth="1"/>
    <col min="26" max="209" width="7.140625" style="2" hidden="1" customWidth="1"/>
    <col min="210" max="16384" width="0" style="2" hidden="1"/>
  </cols>
  <sheetData>
    <row r="1" spans="2:18" ht="27" customHeight="1" x14ac:dyDescent="0.3">
      <c r="B1"/>
      <c r="C1" s="1"/>
      <c r="D1" s="1"/>
      <c r="E1" s="1"/>
      <c r="F1" s="1"/>
      <c r="G1" s="1"/>
      <c r="H1" s="1"/>
      <c r="I1" s="1"/>
      <c r="J1" s="1"/>
      <c r="K1"/>
      <c r="M1" s="3"/>
      <c r="N1" s="3"/>
      <c r="O1" s="3"/>
    </row>
    <row r="2" spans="2:18" ht="6.75" customHeight="1" thickBot="1" x14ac:dyDescent="0.35">
      <c r="B2"/>
      <c r="C2" s="1"/>
      <c r="D2" s="1"/>
      <c r="E2" s="1"/>
      <c r="F2" s="1"/>
      <c r="G2" s="1"/>
      <c r="H2" s="1"/>
      <c r="I2" s="1"/>
      <c r="J2" s="1"/>
      <c r="K2"/>
      <c r="M2" s="3"/>
      <c r="N2" s="3"/>
      <c r="O2" s="3"/>
    </row>
    <row r="3" spans="2:18" ht="6.75" customHeight="1" thickBot="1" x14ac:dyDescent="0.3">
      <c r="B3" s="4"/>
      <c r="C3" s="5"/>
      <c r="D3" s="5"/>
      <c r="E3" s="5"/>
      <c r="F3" s="5"/>
      <c r="G3" s="5"/>
      <c r="H3" s="5"/>
      <c r="I3" s="5"/>
      <c r="J3" s="5"/>
      <c r="K3" s="6"/>
      <c r="M3" s="3"/>
      <c r="N3" s="3"/>
      <c r="O3" s="3"/>
    </row>
    <row r="4" spans="2:18" ht="18.75" x14ac:dyDescent="0.3">
      <c r="B4" s="7"/>
      <c r="C4" s="8"/>
      <c r="D4" s="9" t="s">
        <v>0</v>
      </c>
      <c r="E4" s="9"/>
      <c r="F4" s="9"/>
      <c r="G4" s="9"/>
      <c r="H4" s="9"/>
      <c r="I4" s="9"/>
      <c r="J4" s="10"/>
      <c r="K4" s="11"/>
      <c r="M4" s="3"/>
      <c r="N4" s="3"/>
      <c r="O4" s="12"/>
    </row>
    <row r="5" spans="2:18" ht="3.95" customHeight="1" x14ac:dyDescent="0.25">
      <c r="B5" s="7"/>
      <c r="C5" s="13"/>
      <c r="D5" s="14"/>
      <c r="E5" s="14"/>
      <c r="F5" s="14"/>
      <c r="G5" s="14"/>
      <c r="H5" s="14"/>
      <c r="I5" s="14"/>
      <c r="J5" s="15"/>
      <c r="K5" s="11"/>
      <c r="M5" s="3"/>
      <c r="N5" s="3"/>
      <c r="O5" s="12"/>
    </row>
    <row r="6" spans="2:18" ht="30.75" thickBot="1" x14ac:dyDescent="0.3">
      <c r="B6" s="7"/>
      <c r="C6" s="16"/>
      <c r="D6" s="17" t="s">
        <v>1</v>
      </c>
      <c r="E6" s="18" t="s">
        <v>2</v>
      </c>
      <c r="F6" s="18" t="s">
        <v>3</v>
      </c>
      <c r="G6" s="18" t="s">
        <v>4</v>
      </c>
      <c r="H6" s="18"/>
      <c r="I6" s="19"/>
      <c r="J6" s="20"/>
      <c r="K6" s="11"/>
      <c r="M6" s="3"/>
      <c r="N6" s="3"/>
      <c r="O6" s="12"/>
    </row>
    <row r="7" spans="2:18" ht="5.25" customHeight="1" x14ac:dyDescent="0.25">
      <c r="B7" s="7"/>
      <c r="C7" s="21"/>
      <c r="D7" s="21"/>
      <c r="E7" s="21"/>
      <c r="F7" s="21"/>
      <c r="G7" s="21"/>
      <c r="H7" s="21"/>
      <c r="I7" s="21"/>
      <c r="J7" s="21"/>
      <c r="K7" s="11"/>
      <c r="M7" s="3"/>
      <c r="N7" s="3"/>
      <c r="O7" s="12"/>
    </row>
    <row r="8" spans="2:18" ht="3.75" customHeight="1" x14ac:dyDescent="0.25">
      <c r="B8" s="7"/>
      <c r="C8" s="22"/>
      <c r="D8" s="23"/>
      <c r="E8" s="24"/>
      <c r="F8" s="24"/>
      <c r="G8" s="25"/>
      <c r="H8" s="25"/>
      <c r="I8" s="26"/>
      <c r="J8" s="27"/>
      <c r="K8" s="11"/>
      <c r="L8" s="28"/>
      <c r="M8" s="3"/>
      <c r="N8" s="3"/>
      <c r="O8" s="12"/>
      <c r="P8" s="29"/>
      <c r="R8" s="29"/>
    </row>
    <row r="9" spans="2:18" s="41" customFormat="1" ht="15" x14ac:dyDescent="0.25">
      <c r="B9" s="30"/>
      <c r="C9" s="31"/>
      <c r="D9" s="32">
        <v>1</v>
      </c>
      <c r="E9" s="33" t="s">
        <v>5</v>
      </c>
      <c r="F9" s="34" t="s">
        <v>6</v>
      </c>
      <c r="G9" s="35" t="s">
        <v>7</v>
      </c>
      <c r="H9" s="35"/>
      <c r="I9" s="36"/>
      <c r="J9" s="37"/>
      <c r="K9" s="38"/>
      <c r="L9" s="39"/>
      <c r="M9" s="12"/>
      <c r="N9" s="12"/>
      <c r="O9" s="12"/>
      <c r="P9" s="40"/>
      <c r="R9" s="40"/>
    </row>
    <row r="10" spans="2:18" ht="3.95" customHeight="1" x14ac:dyDescent="0.25">
      <c r="B10" s="7"/>
      <c r="C10" s="42"/>
      <c r="D10" s="43"/>
      <c r="E10" s="44"/>
      <c r="F10" s="45"/>
      <c r="G10" s="46"/>
      <c r="H10" s="46"/>
      <c r="I10" s="47"/>
      <c r="J10" s="48"/>
      <c r="K10" s="11"/>
      <c r="L10" s="28"/>
      <c r="N10" s="3"/>
      <c r="O10" s="3"/>
      <c r="P10" s="49"/>
      <c r="R10" s="29"/>
    </row>
    <row r="11" spans="2:18" ht="7.5" customHeight="1" x14ac:dyDescent="0.25">
      <c r="B11" s="7"/>
      <c r="C11" s="50"/>
      <c r="D11" s="50"/>
      <c r="E11" s="50"/>
      <c r="F11" s="50"/>
      <c r="G11" s="50"/>
      <c r="H11" s="50"/>
      <c r="I11" s="50"/>
      <c r="J11" s="50"/>
      <c r="K11" s="11"/>
      <c r="L11" s="28"/>
      <c r="M11" s="3"/>
      <c r="N11" s="3"/>
      <c r="O11" s="3"/>
    </row>
    <row r="12" spans="2:18" ht="15" x14ac:dyDescent="0.25">
      <c r="B12" s="7"/>
      <c r="C12" s="51"/>
      <c r="D12" s="51"/>
      <c r="E12" s="51"/>
      <c r="F12" s="51"/>
      <c r="G12" s="51"/>
      <c r="H12" s="51"/>
      <c r="I12" s="51"/>
      <c r="J12" s="51"/>
      <c r="K12" s="11"/>
      <c r="L12" s="28"/>
      <c r="M12" s="3"/>
      <c r="N12" s="3"/>
      <c r="O12" s="3"/>
    </row>
    <row r="13" spans="2:18" ht="8.1" customHeight="1" thickBot="1" x14ac:dyDescent="0.3">
      <c r="B13" s="52"/>
      <c r="C13" s="53"/>
      <c r="D13" s="53"/>
      <c r="E13" s="53"/>
      <c r="F13" s="53"/>
      <c r="G13" s="53"/>
      <c r="H13" s="53"/>
      <c r="I13" s="53"/>
      <c r="J13" s="54"/>
      <c r="K13" s="55"/>
      <c r="M13" s="3"/>
      <c r="N13" s="3"/>
      <c r="O13" s="3"/>
    </row>
    <row r="14" spans="2:18" ht="15" x14ac:dyDescent="0.25">
      <c r="C14" s="3"/>
      <c r="D14" s="3"/>
      <c r="E14" s="3"/>
      <c r="F14" s="3"/>
      <c r="G14" s="3"/>
      <c r="H14" s="3"/>
      <c r="I14" s="3"/>
      <c r="J14" s="3"/>
      <c r="M14" s="3"/>
      <c r="N14" s="3"/>
      <c r="O14" s="3"/>
    </row>
    <row r="15" spans="2:18" ht="15" x14ac:dyDescent="0.25">
      <c r="C15" s="3"/>
      <c r="D15" s="3"/>
      <c r="E15" s="3"/>
      <c r="F15" s="3"/>
      <c r="G15" s="3"/>
      <c r="H15" s="3"/>
      <c r="I15" s="3"/>
      <c r="J15" s="3"/>
      <c r="M15" s="3"/>
      <c r="N15" s="3"/>
      <c r="O15" s="3"/>
    </row>
    <row r="16" spans="2:18" ht="15" x14ac:dyDescent="0.25">
      <c r="C16" s="3"/>
      <c r="D16" s="3"/>
      <c r="E16" s="3"/>
      <c r="F16" s="3"/>
      <c r="G16" s="56"/>
      <c r="H16" s="3"/>
      <c r="I16" s="3"/>
      <c r="J16" s="3"/>
      <c r="M16" s="3"/>
      <c r="N16" s="3"/>
      <c r="O16" s="3"/>
    </row>
    <row r="17" spans="3:10" ht="15" x14ac:dyDescent="0.25">
      <c r="C17" s="3"/>
      <c r="D17" s="3"/>
      <c r="E17" s="3"/>
      <c r="F17" s="3"/>
      <c r="G17" s="3"/>
      <c r="H17" s="3"/>
      <c r="I17" s="3"/>
      <c r="J17" s="3"/>
    </row>
    <row r="18" spans="3:10" ht="15" hidden="1" x14ac:dyDescent="0.25">
      <c r="C18" s="3"/>
      <c r="D18" s="3"/>
      <c r="E18" s="3"/>
      <c r="F18" s="3"/>
      <c r="G18" s="3"/>
      <c r="H18" s="3"/>
      <c r="I18" s="3"/>
      <c r="J18" s="3"/>
    </row>
    <row r="19" spans="3:10" ht="15" hidden="1" x14ac:dyDescent="0.25">
      <c r="C19" s="3"/>
      <c r="D19" s="3"/>
      <c r="E19" s="3"/>
      <c r="F19" s="3"/>
      <c r="G19" s="3"/>
      <c r="H19" s="3"/>
      <c r="I19" s="3"/>
      <c r="J19" s="3"/>
    </row>
    <row r="20" spans="3:10" ht="15" hidden="1" x14ac:dyDescent="0.25">
      <c r="C20" s="3"/>
      <c r="D20" s="3"/>
      <c r="E20" s="3"/>
      <c r="F20" s="3"/>
      <c r="G20" s="3"/>
      <c r="H20" s="3"/>
      <c r="I20" s="3"/>
      <c r="J20" s="3"/>
    </row>
    <row r="21" spans="3:10" ht="15" hidden="1" x14ac:dyDescent="0.25">
      <c r="C21" s="3"/>
      <c r="D21" s="3"/>
      <c r="E21" s="3"/>
      <c r="F21" s="3"/>
      <c r="G21" s="3"/>
      <c r="H21" s="3"/>
      <c r="I21" s="3"/>
      <c r="J21" s="3"/>
    </row>
    <row r="22" spans="3:10" ht="15" hidden="1" x14ac:dyDescent="0.25">
      <c r="C22" s="3"/>
      <c r="D22" s="3"/>
      <c r="E22" s="3"/>
      <c r="F22" s="3"/>
      <c r="G22" s="3"/>
      <c r="H22" s="3"/>
      <c r="I22" s="3"/>
      <c r="J22" s="3"/>
    </row>
    <row r="23" spans="3:10" ht="15" hidden="1" x14ac:dyDescent="0.25">
      <c r="C23" s="3"/>
      <c r="D23" s="3"/>
      <c r="E23" s="3"/>
      <c r="F23" s="3"/>
      <c r="G23" s="3"/>
      <c r="H23" s="3"/>
      <c r="I23" s="3"/>
      <c r="J23" s="3"/>
    </row>
    <row r="24" spans="3:10" ht="15" hidden="1" x14ac:dyDescent="0.25">
      <c r="C24" s="3"/>
      <c r="D24" s="3"/>
      <c r="E24" s="3"/>
      <c r="F24" s="3"/>
      <c r="G24" s="3"/>
      <c r="H24" s="3"/>
      <c r="I24" s="3"/>
      <c r="J24" s="3"/>
    </row>
    <row r="25" spans="3:10" ht="15" hidden="1" x14ac:dyDescent="0.25">
      <c r="C25" s="3"/>
      <c r="D25" s="3"/>
      <c r="E25" s="3"/>
      <c r="F25" s="3"/>
      <c r="G25" s="3"/>
      <c r="H25" s="3"/>
      <c r="I25" s="3"/>
      <c r="J25" s="3"/>
    </row>
    <row r="26" spans="3:10" ht="15" hidden="1" x14ac:dyDescent="0.25">
      <c r="C26" s="3"/>
      <c r="D26" s="3"/>
      <c r="E26" s="3"/>
      <c r="F26" s="3"/>
      <c r="G26" s="3"/>
      <c r="H26" s="3"/>
      <c r="I26" s="3"/>
      <c r="J26" s="3"/>
    </row>
    <row r="27" spans="3:10" ht="15" hidden="1" x14ac:dyDescent="0.25">
      <c r="C27" s="3"/>
      <c r="D27" s="3"/>
      <c r="E27" s="3"/>
      <c r="F27" s="3"/>
      <c r="G27" s="3"/>
      <c r="H27" s="3"/>
      <c r="I27" s="3"/>
      <c r="J27" s="3"/>
    </row>
    <row r="28" spans="3:10" ht="15" hidden="1" x14ac:dyDescent="0.25">
      <c r="C28" s="3"/>
      <c r="D28" s="3"/>
      <c r="E28" s="3"/>
      <c r="F28" s="3"/>
      <c r="G28" s="3"/>
      <c r="H28" s="3"/>
      <c r="I28" s="3"/>
      <c r="J28" s="3"/>
    </row>
    <row r="29" spans="3:10" ht="15" hidden="1" x14ac:dyDescent="0.25">
      <c r="C29" s="3"/>
      <c r="D29" s="3"/>
      <c r="E29" s="3"/>
      <c r="F29" s="3"/>
      <c r="G29" s="3"/>
      <c r="H29" s="3"/>
      <c r="I29" s="3"/>
      <c r="J29" s="3"/>
    </row>
    <row r="30" spans="3:10" ht="15" hidden="1" x14ac:dyDescent="0.25">
      <c r="C30" s="3"/>
      <c r="D30" s="3"/>
      <c r="E30" s="3"/>
      <c r="F30" s="3"/>
      <c r="G30" s="3"/>
      <c r="H30" s="3"/>
      <c r="I30" s="3"/>
      <c r="J30" s="3"/>
    </row>
    <row r="31" spans="3:10" ht="15" hidden="1" x14ac:dyDescent="0.25">
      <c r="C31" s="3"/>
      <c r="D31" s="3"/>
      <c r="E31" s="3"/>
      <c r="F31" s="3"/>
      <c r="G31" s="3"/>
      <c r="H31" s="3"/>
      <c r="I31" s="3"/>
      <c r="J31" s="3"/>
    </row>
    <row r="32" spans="3:10" ht="15" hidden="1" x14ac:dyDescent="0.25">
      <c r="C32" s="3"/>
      <c r="D32" s="3"/>
      <c r="E32" s="3"/>
      <c r="F32" s="3"/>
      <c r="G32" s="3"/>
      <c r="H32" s="3"/>
      <c r="I32" s="3"/>
      <c r="J32" s="3"/>
    </row>
    <row r="33" spans="3:10" ht="15" hidden="1" x14ac:dyDescent="0.25">
      <c r="C33" s="3"/>
      <c r="D33" s="3"/>
      <c r="E33" s="3"/>
      <c r="F33" s="3"/>
      <c r="G33" s="3"/>
      <c r="H33" s="3"/>
      <c r="I33" s="3"/>
      <c r="J33" s="3"/>
    </row>
    <row r="34" spans="3:10" ht="15" hidden="1" x14ac:dyDescent="0.25">
      <c r="C34" s="3"/>
      <c r="D34" s="3"/>
      <c r="E34" s="3"/>
      <c r="F34" s="3"/>
      <c r="G34" s="3"/>
      <c r="H34" s="3"/>
      <c r="I34" s="3"/>
      <c r="J34" s="3"/>
    </row>
    <row r="35" spans="3:10" ht="15" hidden="1" x14ac:dyDescent="0.25">
      <c r="C35" s="3"/>
      <c r="D35" s="3"/>
      <c r="E35" s="3"/>
      <c r="F35" s="3"/>
      <c r="G35" s="3"/>
      <c r="H35" s="3"/>
      <c r="I35" s="3"/>
      <c r="J35" s="3"/>
    </row>
    <row r="36" spans="3:10" ht="15" hidden="1" x14ac:dyDescent="0.25">
      <c r="C36" s="3"/>
      <c r="D36" s="3"/>
      <c r="E36" s="3"/>
      <c r="F36" s="3"/>
      <c r="G36" s="3"/>
      <c r="H36" s="3"/>
      <c r="I36" s="3"/>
      <c r="J36" s="3"/>
    </row>
    <row r="37" spans="3:10" ht="15" hidden="1" x14ac:dyDescent="0.25">
      <c r="C37" s="3"/>
      <c r="D37" s="3"/>
      <c r="E37" s="3"/>
      <c r="F37" s="3"/>
      <c r="G37" s="3"/>
      <c r="H37" s="3"/>
      <c r="I37" s="3"/>
      <c r="J37" s="3"/>
    </row>
    <row r="38" spans="3:10" ht="15" hidden="1" x14ac:dyDescent="0.25">
      <c r="C38" s="3"/>
      <c r="D38" s="3"/>
      <c r="E38" s="3"/>
      <c r="F38" s="3"/>
      <c r="G38" s="3"/>
      <c r="H38" s="3"/>
      <c r="I38" s="3"/>
      <c r="J38" s="57"/>
    </row>
    <row r="39" spans="3:10" ht="15" hidden="1" x14ac:dyDescent="0.25">
      <c r="C39" s="3"/>
      <c r="D39" s="3"/>
      <c r="E39" s="3"/>
      <c r="F39" s="3"/>
      <c r="G39" s="3"/>
      <c r="H39" s="3"/>
      <c r="I39" s="3"/>
      <c r="J39" s="3"/>
    </row>
    <row r="40" spans="3:10" ht="15" hidden="1" x14ac:dyDescent="0.25">
      <c r="C40" s="3"/>
      <c r="D40" s="3"/>
      <c r="E40" s="3"/>
      <c r="F40" s="3"/>
      <c r="G40" s="3"/>
      <c r="H40" s="3"/>
      <c r="I40" s="3"/>
      <c r="J40" s="3"/>
    </row>
    <row r="41" spans="3:10" ht="15" hidden="1" x14ac:dyDescent="0.25">
      <c r="C41" s="3"/>
      <c r="D41" s="3"/>
      <c r="E41" s="3"/>
      <c r="F41" s="3"/>
      <c r="G41" s="3"/>
      <c r="H41" s="3"/>
      <c r="I41" s="3"/>
      <c r="J41" s="3"/>
    </row>
    <row r="42" spans="3:10" ht="15" hidden="1" x14ac:dyDescent="0.25">
      <c r="C42" s="3"/>
      <c r="D42" s="3"/>
      <c r="E42" s="3"/>
      <c r="F42" s="3"/>
      <c r="G42" s="3"/>
      <c r="H42" s="3"/>
      <c r="I42" s="3"/>
      <c r="J42" s="3"/>
    </row>
    <row r="43" spans="3:10" ht="15" hidden="1" x14ac:dyDescent="0.25">
      <c r="C43" s="3"/>
      <c r="D43" s="3"/>
      <c r="E43" s="3"/>
      <c r="F43" s="3"/>
      <c r="G43" s="3"/>
      <c r="H43" s="3"/>
      <c r="I43" s="3"/>
      <c r="J43" s="3"/>
    </row>
    <row r="44" spans="3:10" ht="15" hidden="1" x14ac:dyDescent="0.25">
      <c r="C44" s="3"/>
      <c r="D44" s="3"/>
      <c r="E44" s="3"/>
      <c r="F44" s="3"/>
      <c r="G44" s="3"/>
      <c r="H44" s="3"/>
      <c r="I44" s="3"/>
      <c r="J44" s="3"/>
    </row>
    <row r="45" spans="3:10" ht="15" hidden="1" x14ac:dyDescent="0.25">
      <c r="C45" s="3"/>
      <c r="D45" s="3"/>
      <c r="E45" s="3"/>
      <c r="F45" s="3"/>
      <c r="G45" s="3"/>
      <c r="H45" s="3"/>
      <c r="I45" s="3"/>
      <c r="J45" s="3"/>
    </row>
    <row r="46" spans="3:10" ht="15" hidden="1" x14ac:dyDescent="0.25">
      <c r="C46" s="3"/>
      <c r="D46" s="3"/>
      <c r="E46" s="3"/>
      <c r="F46" s="3"/>
      <c r="G46" s="3"/>
      <c r="H46" s="3"/>
      <c r="I46" s="3"/>
      <c r="J46" s="3"/>
    </row>
    <row r="47" spans="3:10" ht="15" hidden="1" x14ac:dyDescent="0.25">
      <c r="C47" s="3"/>
      <c r="D47" s="3"/>
      <c r="E47" s="3"/>
      <c r="F47" s="3"/>
      <c r="G47" s="3"/>
      <c r="H47" s="3"/>
      <c r="I47" s="3"/>
      <c r="J47" s="3"/>
    </row>
    <row r="48" spans="3:10" ht="15" hidden="1" x14ac:dyDescent="0.25">
      <c r="C48" s="3"/>
      <c r="D48" s="3"/>
      <c r="E48" s="3"/>
      <c r="F48" s="3"/>
      <c r="G48" s="3"/>
      <c r="H48" s="3"/>
      <c r="I48" s="3"/>
      <c r="J48" s="3"/>
    </row>
    <row r="49" spans="3:10" ht="15" hidden="1" x14ac:dyDescent="0.25">
      <c r="C49" s="3"/>
      <c r="D49" s="3"/>
      <c r="E49" s="3"/>
      <c r="F49" s="3"/>
      <c r="G49" s="3"/>
      <c r="H49" s="3"/>
      <c r="I49" s="3"/>
      <c r="J49" s="3"/>
    </row>
    <row r="50" spans="3:10" ht="15" hidden="1" x14ac:dyDescent="0.25">
      <c r="C50" s="3"/>
      <c r="D50" s="3"/>
      <c r="E50" s="3"/>
      <c r="F50" s="3"/>
      <c r="G50" s="3"/>
      <c r="H50" s="3"/>
      <c r="I50" s="3"/>
      <c r="J50" s="3"/>
    </row>
    <row r="51" spans="3:10" ht="15" hidden="1" x14ac:dyDescent="0.25">
      <c r="C51" s="3"/>
      <c r="D51" s="3"/>
      <c r="E51" s="3"/>
      <c r="F51" s="3"/>
      <c r="G51" s="3"/>
      <c r="H51" s="3"/>
      <c r="I51" s="3"/>
      <c r="J51" s="3"/>
    </row>
    <row r="52" spans="3:10" ht="15" hidden="1" x14ac:dyDescent="0.25">
      <c r="C52" s="3"/>
      <c r="D52" s="3"/>
      <c r="E52" s="3"/>
      <c r="F52" s="3"/>
      <c r="G52" s="3"/>
      <c r="H52" s="3"/>
      <c r="I52" s="3"/>
      <c r="J52" s="3"/>
    </row>
    <row r="53" spans="3:10" ht="15" hidden="1" x14ac:dyDescent="0.25">
      <c r="C53" s="3"/>
      <c r="D53" s="3"/>
      <c r="E53" s="3"/>
      <c r="F53" s="3"/>
      <c r="G53" s="3"/>
      <c r="H53" s="3"/>
      <c r="I53" s="3"/>
      <c r="J53" s="3"/>
    </row>
    <row r="54" spans="3:10" ht="15" hidden="1" x14ac:dyDescent="0.25">
      <c r="C54" s="3"/>
      <c r="D54" s="3"/>
      <c r="E54" s="3"/>
      <c r="F54" s="3"/>
      <c r="G54" s="3"/>
      <c r="H54" s="3"/>
      <c r="I54" s="3"/>
      <c r="J54" s="3"/>
    </row>
    <row r="55" spans="3:10" ht="15" hidden="1" x14ac:dyDescent="0.25">
      <c r="C55" s="3"/>
      <c r="D55" s="3"/>
      <c r="E55" s="3"/>
      <c r="F55" s="3"/>
      <c r="G55" s="3"/>
      <c r="H55" s="3"/>
      <c r="I55" s="3"/>
      <c r="J55" s="3"/>
    </row>
    <row r="56" spans="3:10" ht="15" hidden="1" x14ac:dyDescent="0.25">
      <c r="C56" s="3"/>
      <c r="D56" s="3"/>
      <c r="E56" s="3"/>
      <c r="F56" s="3"/>
      <c r="G56" s="3"/>
      <c r="H56" s="3"/>
      <c r="I56" s="3"/>
      <c r="J56" s="3"/>
    </row>
    <row r="57" spans="3:10" ht="15" hidden="1" x14ac:dyDescent="0.25">
      <c r="C57" s="3"/>
      <c r="D57" s="3"/>
      <c r="E57" s="3"/>
      <c r="F57" s="3"/>
      <c r="G57" s="3"/>
      <c r="H57" s="3"/>
      <c r="I57" s="3"/>
      <c r="J57" s="3"/>
    </row>
    <row r="58" spans="3:10" ht="15" hidden="1" x14ac:dyDescent="0.25">
      <c r="C58" s="3"/>
      <c r="D58" s="3"/>
      <c r="E58" s="3"/>
      <c r="F58" s="3"/>
      <c r="G58" s="3"/>
      <c r="H58" s="3"/>
      <c r="I58" s="3"/>
      <c r="J58" s="3"/>
    </row>
    <row r="59" spans="3:10" ht="15" hidden="1" x14ac:dyDescent="0.25">
      <c r="C59" s="3"/>
      <c r="D59" s="3"/>
      <c r="E59" s="3"/>
      <c r="F59" s="3"/>
      <c r="G59" s="3"/>
      <c r="H59" s="3"/>
      <c r="I59" s="3"/>
      <c r="J59" s="3"/>
    </row>
    <row r="60" spans="3:10" ht="15" hidden="1" x14ac:dyDescent="0.25">
      <c r="C60" s="3"/>
      <c r="D60" s="3"/>
      <c r="E60" s="3"/>
      <c r="F60" s="3"/>
      <c r="G60" s="3"/>
      <c r="H60" s="3"/>
      <c r="I60" s="3"/>
      <c r="J60" s="3"/>
    </row>
    <row r="61" spans="3:10" ht="15" hidden="1" x14ac:dyDescent="0.25">
      <c r="C61" s="3"/>
      <c r="D61" s="3"/>
      <c r="E61" s="3"/>
      <c r="F61" s="3"/>
      <c r="G61" s="3"/>
      <c r="H61" s="3"/>
      <c r="I61" s="3"/>
      <c r="J61" s="3"/>
    </row>
    <row r="62" spans="3:10" ht="15" hidden="1" x14ac:dyDescent="0.25">
      <c r="C62" s="3"/>
      <c r="D62" s="3"/>
      <c r="E62" s="3"/>
      <c r="F62" s="3"/>
      <c r="G62" s="3"/>
      <c r="H62" s="3"/>
      <c r="I62" s="3"/>
      <c r="J62" s="3"/>
    </row>
    <row r="63" spans="3:10" ht="15" hidden="1" x14ac:dyDescent="0.25">
      <c r="C63" s="3"/>
      <c r="D63" s="3"/>
      <c r="E63" s="3"/>
      <c r="F63" s="3"/>
      <c r="G63" s="3"/>
      <c r="H63" s="3"/>
      <c r="I63" s="3"/>
      <c r="J63" s="3"/>
    </row>
    <row r="64" spans="3:10" ht="15" hidden="1" x14ac:dyDescent="0.25">
      <c r="C64" s="3"/>
      <c r="D64" s="3"/>
      <c r="E64" s="3"/>
      <c r="F64" s="3"/>
      <c r="G64" s="3"/>
      <c r="H64" s="3"/>
      <c r="I64" s="3"/>
      <c r="J64" s="3"/>
    </row>
    <row r="65" spans="3:10" ht="15" hidden="1" x14ac:dyDescent="0.25">
      <c r="C65" s="3"/>
      <c r="D65" s="3"/>
      <c r="E65" s="3"/>
      <c r="F65" s="3"/>
      <c r="G65" s="3"/>
      <c r="H65" s="3"/>
      <c r="I65" s="3"/>
      <c r="J65" s="3"/>
    </row>
    <row r="66" spans="3:10" ht="15" hidden="1" x14ac:dyDescent="0.25">
      <c r="C66" s="3"/>
      <c r="D66" s="3"/>
      <c r="E66" s="3"/>
      <c r="F66" s="3"/>
      <c r="G66" s="3"/>
      <c r="H66" s="3"/>
      <c r="I66" s="3"/>
      <c r="J66" s="3"/>
    </row>
    <row r="67" spans="3:10" ht="15" hidden="1" x14ac:dyDescent="0.25">
      <c r="C67" s="3"/>
      <c r="D67" s="3"/>
      <c r="E67" s="3"/>
      <c r="F67" s="3"/>
      <c r="G67" s="3"/>
      <c r="H67" s="3"/>
      <c r="I67" s="3"/>
      <c r="J67" s="3"/>
    </row>
    <row r="68" spans="3:10" ht="15" hidden="1" x14ac:dyDescent="0.25">
      <c r="C68" s="3"/>
      <c r="D68" s="3"/>
      <c r="E68" s="3"/>
      <c r="F68" s="3"/>
      <c r="G68" s="3"/>
      <c r="H68" s="3"/>
      <c r="I68" s="3"/>
      <c r="J68" s="3"/>
    </row>
    <row r="69" spans="3:10" ht="15" hidden="1" x14ac:dyDescent="0.25">
      <c r="C69" s="3"/>
      <c r="D69" s="3"/>
      <c r="E69" s="3"/>
      <c r="F69" s="3"/>
      <c r="G69" s="3"/>
      <c r="H69" s="3"/>
      <c r="I69" s="3"/>
      <c r="J69" s="3"/>
    </row>
    <row r="70" spans="3:10" ht="15" hidden="1" x14ac:dyDescent="0.25">
      <c r="C70" s="3"/>
      <c r="D70" s="3"/>
      <c r="E70" s="3"/>
      <c r="F70" s="3"/>
      <c r="G70" s="3"/>
      <c r="H70" s="3"/>
      <c r="I70" s="3"/>
      <c r="J70" s="3"/>
    </row>
    <row r="71" spans="3:10" ht="15" hidden="1" x14ac:dyDescent="0.25">
      <c r="C71" s="3"/>
      <c r="D71" s="3"/>
      <c r="E71" s="3"/>
      <c r="F71" s="3"/>
      <c r="G71" s="3"/>
      <c r="H71" s="3"/>
      <c r="I71" s="3"/>
      <c r="J71" s="3"/>
    </row>
    <row r="72" spans="3:10" ht="15" hidden="1" x14ac:dyDescent="0.25">
      <c r="C72" s="3"/>
      <c r="D72" s="3"/>
      <c r="E72" s="3"/>
      <c r="F72" s="3"/>
      <c r="G72" s="3"/>
      <c r="H72" s="3"/>
      <c r="I72" s="3"/>
      <c r="J72" s="3"/>
    </row>
    <row r="73" spans="3:10" ht="15" hidden="1" x14ac:dyDescent="0.25">
      <c r="C73" s="3"/>
      <c r="D73" s="3"/>
      <c r="E73" s="3"/>
      <c r="F73" s="3"/>
      <c r="G73" s="3"/>
      <c r="H73" s="3"/>
      <c r="I73" s="3"/>
      <c r="J73" s="3"/>
    </row>
    <row r="74" spans="3:10" ht="15" hidden="1" x14ac:dyDescent="0.25">
      <c r="C74" s="3"/>
      <c r="D74" s="3"/>
      <c r="E74" s="3"/>
      <c r="F74" s="3"/>
      <c r="G74" s="3"/>
      <c r="H74" s="3"/>
      <c r="I74" s="3"/>
      <c r="J74" s="3"/>
    </row>
    <row r="75" spans="3:10" ht="15" hidden="1" x14ac:dyDescent="0.25">
      <c r="C75" s="3"/>
      <c r="D75" s="3"/>
      <c r="E75" s="3"/>
      <c r="F75" s="3"/>
      <c r="G75" s="3"/>
      <c r="H75" s="3"/>
      <c r="I75" s="3"/>
      <c r="J75" s="3"/>
    </row>
    <row r="76" spans="3:10" ht="15" hidden="1" x14ac:dyDescent="0.25">
      <c r="C76" s="3"/>
      <c r="D76" s="3"/>
      <c r="E76" s="3"/>
      <c r="F76" s="3"/>
      <c r="G76" s="3"/>
      <c r="H76" s="3"/>
      <c r="I76" s="3"/>
      <c r="J76" s="3"/>
    </row>
    <row r="77" spans="3:10" ht="15" hidden="1" x14ac:dyDescent="0.25">
      <c r="C77" s="3"/>
      <c r="D77" s="3"/>
      <c r="E77" s="3"/>
      <c r="F77" s="3"/>
      <c r="G77" s="3"/>
      <c r="H77" s="3"/>
      <c r="I77" s="3"/>
      <c r="J77" s="3"/>
    </row>
    <row r="78" spans="3:10" ht="15" hidden="1" x14ac:dyDescent="0.25">
      <c r="C78" s="3"/>
      <c r="D78" s="3"/>
      <c r="E78" s="3"/>
      <c r="F78" s="3"/>
      <c r="G78" s="3"/>
      <c r="H78" s="3"/>
      <c r="I78" s="3"/>
      <c r="J78" s="3"/>
    </row>
    <row r="79" spans="3:10" ht="15" hidden="1" x14ac:dyDescent="0.25">
      <c r="C79" s="3"/>
      <c r="D79" s="3"/>
      <c r="E79" s="3"/>
      <c r="F79" s="3"/>
      <c r="G79" s="3"/>
      <c r="H79" s="3"/>
      <c r="I79" s="3"/>
      <c r="J79" s="3"/>
    </row>
    <row r="80" spans="3:10" ht="15" hidden="1" x14ac:dyDescent="0.25">
      <c r="C80" s="3"/>
      <c r="D80" s="3"/>
      <c r="E80" s="3"/>
      <c r="F80" s="3"/>
      <c r="G80" s="3"/>
      <c r="H80" s="3"/>
      <c r="I80" s="3"/>
      <c r="J80" s="3"/>
    </row>
    <row r="81" spans="3:10" ht="15" hidden="1" x14ac:dyDescent="0.25">
      <c r="C81" s="3"/>
      <c r="D81" s="3"/>
      <c r="E81" s="3"/>
      <c r="F81" s="3"/>
      <c r="G81" s="3"/>
      <c r="H81" s="3"/>
      <c r="I81" s="3"/>
      <c r="J81" s="3"/>
    </row>
    <row r="82" spans="3:10" ht="15" hidden="1" x14ac:dyDescent="0.25">
      <c r="C82" s="3"/>
      <c r="D82" s="3"/>
      <c r="E82" s="3"/>
      <c r="F82" s="3"/>
      <c r="G82" s="3"/>
      <c r="H82" s="3"/>
      <c r="I82" s="3"/>
      <c r="J82" s="3"/>
    </row>
    <row r="83" spans="3:10" ht="15" hidden="1" x14ac:dyDescent="0.25">
      <c r="C83" s="3"/>
      <c r="D83" s="3"/>
      <c r="E83" s="3"/>
      <c r="F83" s="3"/>
      <c r="G83" s="3"/>
      <c r="H83" s="3"/>
      <c r="I83" s="3"/>
      <c r="J83" s="3"/>
    </row>
    <row r="84" spans="3:10" ht="15" hidden="1" x14ac:dyDescent="0.25">
      <c r="C84" s="3"/>
      <c r="D84" s="3"/>
      <c r="E84" s="3"/>
      <c r="F84" s="3"/>
      <c r="G84" s="3"/>
      <c r="H84" s="3"/>
      <c r="I84" s="3"/>
      <c r="J84" s="3"/>
    </row>
    <row r="85" spans="3:10" ht="15" hidden="1" x14ac:dyDescent="0.25">
      <c r="C85" s="3"/>
      <c r="D85" s="3"/>
      <c r="E85" s="3"/>
      <c r="F85" s="3"/>
      <c r="G85" s="3"/>
      <c r="H85" s="3"/>
      <c r="I85" s="3"/>
      <c r="J85" s="3"/>
    </row>
    <row r="86" spans="3:10" ht="15" hidden="1" x14ac:dyDescent="0.25">
      <c r="C86" s="3"/>
      <c r="D86" s="3"/>
      <c r="E86" s="3"/>
      <c r="F86" s="3"/>
      <c r="G86" s="3"/>
      <c r="H86" s="3"/>
      <c r="I86" s="3"/>
      <c r="J86" s="3"/>
    </row>
    <row r="87" spans="3:10" ht="15" hidden="1" x14ac:dyDescent="0.25">
      <c r="C87" s="3"/>
      <c r="D87" s="3"/>
      <c r="E87" s="3"/>
      <c r="F87" s="3"/>
      <c r="G87" s="3"/>
      <c r="H87" s="3"/>
      <c r="I87" s="3"/>
      <c r="J87" s="3"/>
    </row>
    <row r="88" spans="3:10" ht="15" hidden="1" x14ac:dyDescent="0.25">
      <c r="C88" s="3"/>
      <c r="D88" s="3"/>
      <c r="E88" s="3"/>
      <c r="F88" s="3"/>
      <c r="G88" s="3"/>
      <c r="H88" s="3"/>
      <c r="I88" s="3"/>
      <c r="J88" s="3"/>
    </row>
    <row r="89" spans="3:10" ht="15" hidden="1" x14ac:dyDescent="0.25">
      <c r="C89" s="3"/>
      <c r="D89" s="3"/>
      <c r="E89" s="3"/>
      <c r="F89" s="3"/>
      <c r="G89" s="3"/>
      <c r="H89" s="3"/>
      <c r="I89" s="3"/>
      <c r="J89" s="3"/>
    </row>
    <row r="90" spans="3:10" ht="15" hidden="1" x14ac:dyDescent="0.25">
      <c r="C90" s="3"/>
      <c r="D90" s="3"/>
      <c r="E90" s="3"/>
      <c r="F90" s="3"/>
      <c r="G90" s="3"/>
      <c r="H90" s="3"/>
      <c r="I90" s="3"/>
      <c r="J90" s="3"/>
    </row>
    <row r="91" spans="3:10" ht="15" hidden="1" x14ac:dyDescent="0.25">
      <c r="C91" s="3"/>
      <c r="D91" s="3"/>
      <c r="E91" s="3"/>
      <c r="F91" s="3"/>
      <c r="G91" s="3"/>
      <c r="H91" s="3"/>
      <c r="I91" s="3"/>
      <c r="J91" s="3"/>
    </row>
    <row r="92" spans="3:10" ht="15" hidden="1" x14ac:dyDescent="0.25">
      <c r="C92" s="3"/>
      <c r="D92" s="3"/>
      <c r="E92" s="3"/>
      <c r="F92" s="3"/>
      <c r="G92" s="3"/>
      <c r="H92" s="3"/>
      <c r="I92" s="3"/>
      <c r="J92" s="3"/>
    </row>
    <row r="93" spans="3:10" ht="15" hidden="1" x14ac:dyDescent="0.25">
      <c r="C93" s="3"/>
      <c r="D93" s="3"/>
      <c r="E93" s="3"/>
      <c r="F93" s="3"/>
      <c r="G93" s="3"/>
      <c r="H93" s="3"/>
      <c r="I93" s="3"/>
      <c r="J93" s="3"/>
    </row>
    <row r="94" spans="3:10" ht="15" hidden="1" x14ac:dyDescent="0.25">
      <c r="C94" s="3"/>
      <c r="D94" s="3"/>
      <c r="E94" s="3"/>
      <c r="F94" s="3"/>
      <c r="G94" s="3"/>
      <c r="H94" s="3"/>
      <c r="I94" s="3"/>
      <c r="J94" s="3"/>
    </row>
    <row r="95" spans="3:10" ht="15" hidden="1" x14ac:dyDescent="0.25">
      <c r="C95" s="3"/>
      <c r="D95" s="3"/>
      <c r="E95" s="3"/>
      <c r="F95" s="3"/>
      <c r="G95" s="3"/>
      <c r="H95" s="3"/>
      <c r="I95" s="3"/>
      <c r="J95" s="3"/>
    </row>
    <row r="96" spans="3:10" ht="15" hidden="1" x14ac:dyDescent="0.25">
      <c r="C96" s="3"/>
      <c r="D96" s="3"/>
      <c r="E96" s="3"/>
      <c r="F96" s="3"/>
      <c r="G96" s="3"/>
      <c r="H96" s="3"/>
      <c r="I96" s="3"/>
      <c r="J96" s="3"/>
    </row>
    <row r="97" spans="3:10" ht="15" hidden="1" x14ac:dyDescent="0.25">
      <c r="C97" s="3"/>
      <c r="D97" s="3"/>
      <c r="E97" s="3"/>
      <c r="F97" s="3"/>
      <c r="G97" s="3"/>
      <c r="H97" s="3"/>
      <c r="I97" s="3"/>
      <c r="J97" s="3"/>
    </row>
    <row r="98" spans="3:10" ht="15" hidden="1" x14ac:dyDescent="0.25">
      <c r="C98" s="3"/>
      <c r="D98" s="3"/>
      <c r="E98" s="3"/>
      <c r="F98" s="3"/>
      <c r="G98" s="3"/>
      <c r="H98" s="3"/>
      <c r="I98" s="3"/>
      <c r="J98" s="3"/>
    </row>
    <row r="99" spans="3:10" ht="15" hidden="1" x14ac:dyDescent="0.25">
      <c r="C99" s="3"/>
      <c r="D99" s="3"/>
      <c r="E99" s="3"/>
      <c r="F99" s="3"/>
      <c r="G99" s="3"/>
      <c r="H99" s="3"/>
      <c r="I99" s="3"/>
      <c r="J99" s="3"/>
    </row>
    <row r="100" spans="3:10" ht="15" hidden="1" x14ac:dyDescent="0.25">
      <c r="C100" s="3"/>
      <c r="D100" s="3"/>
      <c r="E100" s="3"/>
      <c r="F100" s="3"/>
      <c r="G100" s="3"/>
      <c r="H100" s="3"/>
      <c r="I100" s="3"/>
      <c r="J100" s="3"/>
    </row>
    <row r="101" spans="3:10" ht="15" hidden="1" x14ac:dyDescent="0.25">
      <c r="C101" s="3"/>
      <c r="D101" s="3"/>
      <c r="E101" s="3"/>
      <c r="F101" s="3"/>
      <c r="G101" s="3"/>
      <c r="H101" s="3"/>
      <c r="I101" s="3"/>
      <c r="J101" s="3"/>
    </row>
    <row r="102" spans="3:10" ht="15" hidden="1" x14ac:dyDescent="0.25">
      <c r="C102" s="3"/>
      <c r="D102" s="3"/>
      <c r="E102" s="3"/>
      <c r="F102" s="3"/>
      <c r="G102" s="3"/>
      <c r="H102" s="3"/>
      <c r="I102" s="3"/>
      <c r="J102" s="3"/>
    </row>
    <row r="103" spans="3:10" ht="15" hidden="1" x14ac:dyDescent="0.25">
      <c r="C103" s="3"/>
      <c r="D103" s="3"/>
      <c r="E103" s="3"/>
      <c r="F103" s="3"/>
      <c r="G103" s="3"/>
      <c r="H103" s="3"/>
      <c r="I103" s="3"/>
      <c r="J103" s="3"/>
    </row>
    <row r="104" spans="3:10" ht="15" hidden="1" x14ac:dyDescent="0.25">
      <c r="C104" s="3"/>
      <c r="D104" s="3"/>
      <c r="E104" s="3"/>
      <c r="F104" s="3"/>
      <c r="G104" s="3"/>
      <c r="H104" s="3"/>
      <c r="I104" s="3"/>
      <c r="J104" s="3"/>
    </row>
    <row r="105" spans="3:10" ht="15" hidden="1" x14ac:dyDescent="0.25">
      <c r="C105" s="3"/>
      <c r="D105" s="3"/>
      <c r="E105" s="3"/>
      <c r="F105" s="3"/>
      <c r="G105" s="3"/>
      <c r="H105" s="3"/>
      <c r="I105" s="3"/>
      <c r="J105" s="3"/>
    </row>
    <row r="106" spans="3:10" ht="15" hidden="1" x14ac:dyDescent="0.25">
      <c r="C106" s="3"/>
      <c r="D106" s="3"/>
      <c r="E106" s="3"/>
      <c r="F106" s="3"/>
      <c r="G106" s="3"/>
      <c r="H106" s="3"/>
      <c r="I106" s="3"/>
      <c r="J106" s="3"/>
    </row>
    <row r="107" spans="3:10" ht="15" hidden="1" x14ac:dyDescent="0.25">
      <c r="C107" s="3"/>
      <c r="D107" s="3"/>
      <c r="E107" s="3"/>
      <c r="F107" s="3"/>
      <c r="G107" s="3"/>
      <c r="H107" s="3"/>
      <c r="I107" s="3"/>
      <c r="J107" s="3"/>
    </row>
    <row r="108" spans="3:10" ht="15" hidden="1" x14ac:dyDescent="0.25">
      <c r="C108" s="3"/>
      <c r="D108" s="3"/>
      <c r="E108" s="3"/>
      <c r="F108" s="3"/>
      <c r="G108" s="3"/>
      <c r="H108" s="3"/>
      <c r="I108" s="3"/>
      <c r="J108" s="3"/>
    </row>
    <row r="109" spans="3:10" ht="15" hidden="1" x14ac:dyDescent="0.25">
      <c r="C109" s="3"/>
      <c r="D109" s="3"/>
      <c r="E109" s="3"/>
      <c r="F109" s="3"/>
      <c r="G109" s="3"/>
      <c r="H109" s="3"/>
      <c r="I109" s="3"/>
      <c r="J109" s="3"/>
    </row>
    <row r="110" spans="3:10" ht="15" hidden="1" x14ac:dyDescent="0.25">
      <c r="C110" s="3"/>
      <c r="D110" s="3"/>
      <c r="E110" s="3"/>
      <c r="F110" s="3"/>
      <c r="G110" s="3"/>
      <c r="H110" s="3"/>
      <c r="I110" s="3"/>
      <c r="J110" s="3"/>
    </row>
    <row r="111" spans="3:10" ht="15" hidden="1" x14ac:dyDescent="0.25">
      <c r="C111" s="3"/>
      <c r="D111" s="3"/>
      <c r="E111" s="3"/>
      <c r="F111" s="3"/>
      <c r="G111" s="3"/>
      <c r="H111" s="3"/>
      <c r="I111" s="3"/>
      <c r="J111" s="3"/>
    </row>
    <row r="112" spans="3:10" ht="15" hidden="1" x14ac:dyDescent="0.25">
      <c r="C112" s="3"/>
      <c r="D112" s="3"/>
      <c r="E112" s="3"/>
      <c r="F112" s="3"/>
      <c r="G112" s="3"/>
      <c r="H112" s="3"/>
      <c r="I112" s="3"/>
      <c r="J112" s="3"/>
    </row>
    <row r="113" spans="3:10" ht="15" hidden="1" x14ac:dyDescent="0.25">
      <c r="C113" s="3"/>
      <c r="D113" s="3"/>
      <c r="E113" s="3"/>
      <c r="F113" s="3"/>
      <c r="G113" s="3"/>
      <c r="H113" s="3"/>
      <c r="I113" s="3"/>
      <c r="J113" s="3"/>
    </row>
    <row r="114" spans="3:10" ht="15" hidden="1" x14ac:dyDescent="0.25">
      <c r="C114" s="3"/>
      <c r="D114" s="3"/>
      <c r="E114" s="3"/>
      <c r="F114" s="3"/>
      <c r="G114" s="3"/>
      <c r="H114" s="3"/>
      <c r="I114" s="3"/>
      <c r="J114" s="3"/>
    </row>
    <row r="115" spans="3:10" ht="15" hidden="1" x14ac:dyDescent="0.25">
      <c r="C115" s="3"/>
      <c r="D115" s="3"/>
      <c r="E115" s="3"/>
      <c r="F115" s="3"/>
      <c r="G115" s="3"/>
      <c r="H115" s="3"/>
      <c r="I115" s="3"/>
      <c r="J115" s="3"/>
    </row>
    <row r="116" spans="3:10" ht="15" hidden="1" x14ac:dyDescent="0.25">
      <c r="C116" s="3"/>
      <c r="D116" s="3"/>
      <c r="E116" s="3"/>
      <c r="F116" s="3"/>
      <c r="G116" s="3"/>
      <c r="H116" s="3"/>
      <c r="I116" s="3"/>
      <c r="J116" s="3"/>
    </row>
    <row r="117" spans="3:10" ht="15" hidden="1" x14ac:dyDescent="0.25">
      <c r="C117" s="3"/>
      <c r="D117" s="3"/>
      <c r="E117" s="3"/>
      <c r="F117" s="3"/>
      <c r="G117" s="3"/>
      <c r="H117" s="3"/>
      <c r="I117" s="3"/>
      <c r="J117" s="3"/>
    </row>
    <row r="118" spans="3:10" ht="15" hidden="1" x14ac:dyDescent="0.25">
      <c r="C118" s="3"/>
      <c r="D118" s="3"/>
      <c r="E118" s="3"/>
      <c r="F118" s="3"/>
      <c r="G118" s="3"/>
      <c r="H118" s="3"/>
      <c r="I118" s="3"/>
      <c r="J118" s="3"/>
    </row>
    <row r="119" spans="3:10" ht="15" hidden="1" x14ac:dyDescent="0.25">
      <c r="C119" s="3"/>
      <c r="D119" s="3"/>
      <c r="E119" s="3"/>
      <c r="F119" s="3"/>
      <c r="G119" s="3"/>
      <c r="H119" s="3"/>
      <c r="I119" s="3"/>
      <c r="J119" s="3"/>
    </row>
    <row r="120" spans="3:10" ht="15" hidden="1" x14ac:dyDescent="0.25">
      <c r="C120" s="3"/>
      <c r="D120" s="3"/>
      <c r="E120" s="3"/>
      <c r="F120" s="3"/>
      <c r="G120" s="3"/>
      <c r="H120" s="3"/>
      <c r="I120" s="3"/>
      <c r="J120" s="3"/>
    </row>
    <row r="121" spans="3:10" ht="15" hidden="1" x14ac:dyDescent="0.25">
      <c r="C121" s="3"/>
      <c r="D121" s="3"/>
      <c r="E121" s="3"/>
      <c r="F121" s="3"/>
      <c r="G121" s="3"/>
      <c r="H121" s="3"/>
      <c r="I121" s="3"/>
      <c r="J121" s="3"/>
    </row>
    <row r="122" spans="3:10" ht="15" hidden="1" x14ac:dyDescent="0.25">
      <c r="C122" s="3"/>
      <c r="D122" s="3"/>
      <c r="E122" s="3"/>
      <c r="F122" s="3"/>
      <c r="G122" s="3"/>
      <c r="H122" s="3"/>
      <c r="I122" s="3"/>
      <c r="J122" s="3"/>
    </row>
    <row r="123" spans="3:10" ht="15" hidden="1" x14ac:dyDescent="0.25">
      <c r="C123" s="3"/>
      <c r="D123" s="3"/>
      <c r="E123" s="3"/>
      <c r="F123" s="3"/>
      <c r="G123" s="3"/>
      <c r="H123" s="3"/>
      <c r="I123" s="3"/>
      <c r="J123" s="3"/>
    </row>
    <row r="124" spans="3:10" ht="15" hidden="1" x14ac:dyDescent="0.25">
      <c r="C124" s="3"/>
      <c r="D124" s="3"/>
      <c r="E124" s="3"/>
      <c r="F124" s="3"/>
      <c r="G124" s="3"/>
      <c r="H124" s="3"/>
      <c r="I124" s="3"/>
      <c r="J124" s="3"/>
    </row>
    <row r="125" spans="3:10" ht="15" hidden="1" x14ac:dyDescent="0.25">
      <c r="C125" s="3"/>
      <c r="D125" s="3"/>
      <c r="E125" s="3"/>
      <c r="F125" s="3"/>
      <c r="G125" s="3"/>
      <c r="H125" s="3"/>
      <c r="I125" s="3"/>
      <c r="J125" s="3"/>
    </row>
    <row r="126" spans="3:10" ht="15" hidden="1" x14ac:dyDescent="0.25">
      <c r="C126" s="3"/>
      <c r="D126" s="3"/>
      <c r="E126" s="3"/>
      <c r="F126" s="3"/>
      <c r="G126" s="3"/>
      <c r="H126" s="3"/>
      <c r="I126" s="3"/>
      <c r="J126" s="3"/>
    </row>
    <row r="127" spans="3:10" ht="15" hidden="1" x14ac:dyDescent="0.25">
      <c r="C127" s="3"/>
      <c r="D127" s="3"/>
      <c r="E127" s="3"/>
      <c r="F127" s="3"/>
      <c r="G127" s="3"/>
      <c r="H127" s="3"/>
      <c r="I127" s="3"/>
      <c r="J127" s="3"/>
    </row>
    <row r="128" spans="3:10" ht="15" hidden="1" x14ac:dyDescent="0.25">
      <c r="C128" s="3"/>
      <c r="D128" s="3"/>
      <c r="E128" s="3"/>
      <c r="F128" s="3"/>
      <c r="G128" s="3"/>
      <c r="H128" s="3"/>
      <c r="I128" s="3"/>
      <c r="J128" s="3"/>
    </row>
    <row r="129" spans="3:10" ht="15" hidden="1" x14ac:dyDescent="0.25">
      <c r="C129" s="3"/>
      <c r="D129" s="3"/>
      <c r="E129" s="3"/>
      <c r="F129" s="3"/>
      <c r="G129" s="3"/>
      <c r="H129" s="3"/>
      <c r="I129" s="3"/>
      <c r="J129" s="3"/>
    </row>
    <row r="130" spans="3:10" ht="15" hidden="1" x14ac:dyDescent="0.25">
      <c r="C130" s="3"/>
      <c r="D130" s="3"/>
      <c r="E130" s="3"/>
      <c r="F130" s="3"/>
      <c r="G130" s="3"/>
      <c r="H130" s="3"/>
      <c r="I130" s="3"/>
      <c r="J130" s="3"/>
    </row>
    <row r="131" spans="3:10" ht="15" hidden="1" x14ac:dyDescent="0.25">
      <c r="C131" s="3"/>
      <c r="D131" s="3"/>
      <c r="E131" s="3"/>
      <c r="F131" s="3"/>
      <c r="G131" s="3"/>
      <c r="H131" s="3"/>
      <c r="I131" s="3"/>
      <c r="J131" s="3"/>
    </row>
    <row r="132" spans="3:10" ht="15" hidden="1" x14ac:dyDescent="0.25">
      <c r="C132" s="3"/>
      <c r="D132" s="3"/>
      <c r="E132" s="3"/>
      <c r="F132" s="3"/>
      <c r="G132" s="3"/>
      <c r="H132" s="3"/>
      <c r="I132" s="3"/>
      <c r="J132" s="3"/>
    </row>
    <row r="133" spans="3:10" ht="15" hidden="1" x14ac:dyDescent="0.25">
      <c r="C133" s="3"/>
      <c r="D133" s="3"/>
      <c r="E133" s="3"/>
      <c r="F133" s="3"/>
      <c r="G133" s="3"/>
      <c r="H133" s="3"/>
      <c r="I133" s="3"/>
      <c r="J133" s="3"/>
    </row>
    <row r="134" spans="3:10" ht="15" hidden="1" x14ac:dyDescent="0.25">
      <c r="C134" s="3"/>
      <c r="D134" s="3"/>
      <c r="E134" s="3"/>
      <c r="F134" s="3"/>
      <c r="G134" s="3"/>
      <c r="H134" s="3"/>
      <c r="I134" s="3"/>
      <c r="J134" s="3"/>
    </row>
    <row r="135" spans="3:10" ht="15" hidden="1" x14ac:dyDescent="0.25">
      <c r="C135" s="3"/>
      <c r="D135" s="3"/>
      <c r="E135" s="3"/>
      <c r="F135" s="3"/>
      <c r="G135" s="3"/>
      <c r="H135" s="3"/>
      <c r="I135" s="3"/>
      <c r="J135" s="3"/>
    </row>
    <row r="136" spans="3:10" ht="15" hidden="1" x14ac:dyDescent="0.25">
      <c r="C136" s="3"/>
      <c r="D136" s="3"/>
      <c r="E136" s="3"/>
      <c r="F136" s="3"/>
      <c r="G136" s="3"/>
      <c r="H136" s="3"/>
      <c r="I136" s="3"/>
      <c r="J136" s="3"/>
    </row>
    <row r="137" spans="3:10" ht="15" hidden="1" x14ac:dyDescent="0.25">
      <c r="C137" s="3"/>
      <c r="D137" s="3"/>
      <c r="E137" s="3"/>
      <c r="F137" s="3"/>
      <c r="G137" s="3"/>
      <c r="H137" s="3"/>
      <c r="I137" s="3"/>
      <c r="J137" s="3"/>
    </row>
    <row r="138" spans="3:10" ht="15" hidden="1" x14ac:dyDescent="0.25">
      <c r="C138" s="3"/>
      <c r="D138" s="3"/>
      <c r="E138" s="3"/>
      <c r="F138" s="3"/>
      <c r="G138" s="3"/>
      <c r="H138" s="3"/>
      <c r="I138" s="3"/>
      <c r="J138" s="3"/>
    </row>
    <row r="139" spans="3:10" ht="15" hidden="1" x14ac:dyDescent="0.25">
      <c r="C139" s="3"/>
      <c r="D139" s="3"/>
      <c r="E139" s="3"/>
      <c r="F139" s="3"/>
      <c r="G139" s="3"/>
      <c r="H139" s="3"/>
      <c r="I139" s="3"/>
      <c r="J139" s="3"/>
    </row>
    <row r="140" spans="3:10" ht="15" hidden="1" x14ac:dyDescent="0.25">
      <c r="C140" s="3"/>
      <c r="D140" s="3"/>
      <c r="E140" s="3"/>
      <c r="F140" s="3"/>
      <c r="G140" s="3"/>
      <c r="H140" s="3"/>
      <c r="I140" s="3"/>
      <c r="J140" s="3"/>
    </row>
    <row r="141" spans="3:10" ht="15" hidden="1" x14ac:dyDescent="0.25">
      <c r="C141" s="3"/>
      <c r="D141" s="3"/>
      <c r="E141" s="3"/>
      <c r="F141" s="3"/>
      <c r="G141" s="3"/>
      <c r="H141" s="3"/>
      <c r="I141" s="3"/>
      <c r="J141" s="3"/>
    </row>
    <row r="142" spans="3:10" ht="15" hidden="1" x14ac:dyDescent="0.25">
      <c r="C142" s="3"/>
      <c r="D142" s="3"/>
      <c r="E142" s="3"/>
      <c r="F142" s="3"/>
      <c r="G142" s="3"/>
      <c r="H142" s="3"/>
      <c r="I142" s="3"/>
      <c r="J142" s="3"/>
    </row>
    <row r="143" spans="3:10" ht="15" hidden="1" x14ac:dyDescent="0.25">
      <c r="C143" s="3"/>
      <c r="D143" s="3"/>
      <c r="E143" s="3"/>
      <c r="F143" s="3"/>
      <c r="G143" s="3"/>
      <c r="H143" s="3"/>
      <c r="I143" s="3"/>
      <c r="J143" s="3"/>
    </row>
    <row r="144" spans="3:10" ht="15" hidden="1" x14ac:dyDescent="0.25">
      <c r="C144" s="3"/>
      <c r="D144" s="3"/>
      <c r="E144" s="3"/>
      <c r="F144" s="3"/>
      <c r="G144" s="3"/>
      <c r="H144" s="3"/>
      <c r="I144" s="3"/>
      <c r="J144" s="3"/>
    </row>
    <row r="145" spans="3:10" ht="15" hidden="1" x14ac:dyDescent="0.25">
      <c r="C145" s="3"/>
      <c r="D145" s="3"/>
      <c r="E145" s="3"/>
      <c r="F145" s="3"/>
      <c r="G145" s="3"/>
      <c r="H145" s="3"/>
      <c r="I145" s="3"/>
      <c r="J145" s="3"/>
    </row>
    <row r="146" spans="3:10" ht="15" hidden="1" x14ac:dyDescent="0.25">
      <c r="C146" s="3"/>
      <c r="D146" s="3"/>
      <c r="E146" s="3"/>
      <c r="F146" s="3"/>
      <c r="G146" s="3"/>
      <c r="H146" s="3"/>
      <c r="I146" s="3"/>
      <c r="J146" s="3"/>
    </row>
    <row r="147" spans="3:10" ht="15" hidden="1" x14ac:dyDescent="0.25">
      <c r="C147" s="3"/>
      <c r="D147" s="3"/>
      <c r="E147" s="3"/>
      <c r="F147" s="3"/>
      <c r="G147" s="3"/>
      <c r="H147" s="3"/>
      <c r="I147" s="3"/>
      <c r="J147" s="3"/>
    </row>
    <row r="148" spans="3:10" ht="15" hidden="1" x14ac:dyDescent="0.25">
      <c r="C148" s="3"/>
      <c r="D148" s="3"/>
      <c r="E148" s="3"/>
      <c r="F148" s="3"/>
      <c r="G148" s="3"/>
      <c r="H148" s="3"/>
      <c r="I148" s="3"/>
      <c r="J148" s="3"/>
    </row>
    <row r="149" spans="3:10" ht="15" hidden="1" x14ac:dyDescent="0.25">
      <c r="C149" s="3"/>
      <c r="D149" s="3"/>
      <c r="E149" s="3"/>
      <c r="F149" s="3"/>
      <c r="G149" s="3"/>
      <c r="H149" s="3"/>
      <c r="I149" s="3"/>
      <c r="J149" s="3"/>
    </row>
    <row r="150" spans="3:10" ht="15" hidden="1" x14ac:dyDescent="0.25">
      <c r="C150" s="3"/>
      <c r="D150" s="3"/>
      <c r="E150" s="3"/>
      <c r="F150" s="3"/>
      <c r="G150" s="3"/>
      <c r="H150" s="3"/>
      <c r="I150" s="3"/>
      <c r="J150" s="3"/>
    </row>
    <row r="151" spans="3:10" ht="15" hidden="1" x14ac:dyDescent="0.25">
      <c r="C151" s="3"/>
      <c r="D151" s="3"/>
      <c r="E151" s="3"/>
      <c r="F151" s="3"/>
      <c r="G151" s="3"/>
      <c r="H151" s="3"/>
      <c r="I151" s="3"/>
      <c r="J151" s="3"/>
    </row>
    <row r="152" spans="3:10" ht="15" hidden="1" x14ac:dyDescent="0.25">
      <c r="C152" s="3"/>
      <c r="D152" s="3"/>
      <c r="E152" s="3"/>
      <c r="F152" s="3"/>
      <c r="G152" s="3"/>
      <c r="H152" s="3"/>
      <c r="I152" s="3"/>
      <c r="J152" s="3"/>
    </row>
    <row r="153" spans="3:10" ht="15" hidden="1" x14ac:dyDescent="0.25">
      <c r="C153" s="3"/>
      <c r="D153" s="3"/>
      <c r="E153" s="3"/>
      <c r="F153" s="3"/>
      <c r="G153" s="3"/>
      <c r="H153" s="3"/>
      <c r="I153" s="3"/>
      <c r="J153" s="3"/>
    </row>
    <row r="154" spans="3:10" ht="15" hidden="1" x14ac:dyDescent="0.25">
      <c r="C154" s="3"/>
      <c r="D154" s="3"/>
      <c r="E154" s="3"/>
      <c r="F154" s="3"/>
      <c r="G154" s="3"/>
      <c r="H154" s="3"/>
      <c r="I154" s="3"/>
      <c r="J154" s="3"/>
    </row>
    <row r="155" spans="3:10" ht="15" hidden="1" x14ac:dyDescent="0.25">
      <c r="C155" s="3"/>
      <c r="D155" s="3"/>
      <c r="E155" s="3"/>
      <c r="F155" s="3"/>
      <c r="G155" s="3"/>
      <c r="H155" s="3"/>
      <c r="I155" s="3"/>
      <c r="J155" s="3"/>
    </row>
    <row r="156" spans="3:10" ht="15" hidden="1" x14ac:dyDescent="0.25">
      <c r="C156" s="3"/>
      <c r="D156" s="3"/>
      <c r="E156" s="3"/>
      <c r="F156" s="3"/>
      <c r="G156" s="3"/>
      <c r="H156" s="3"/>
      <c r="I156" s="3"/>
      <c r="J156" s="3"/>
    </row>
    <row r="157" spans="3:10" ht="15" hidden="1" x14ac:dyDescent="0.25">
      <c r="C157" s="3"/>
      <c r="D157" s="3"/>
      <c r="E157" s="3"/>
      <c r="F157" s="3"/>
      <c r="G157" s="3"/>
      <c r="H157" s="3"/>
      <c r="I157" s="3"/>
      <c r="J157" s="3"/>
    </row>
    <row r="158" spans="3:10" ht="15" hidden="1" x14ac:dyDescent="0.25">
      <c r="C158" s="3"/>
      <c r="D158" s="3"/>
      <c r="E158" s="3"/>
      <c r="F158" s="3"/>
      <c r="G158" s="3"/>
      <c r="H158" s="3"/>
      <c r="I158" s="3"/>
      <c r="J158" s="3"/>
    </row>
    <row r="159" spans="3:10" ht="15" hidden="1" x14ac:dyDescent="0.25">
      <c r="C159" s="3"/>
      <c r="D159" s="3"/>
      <c r="E159" s="3"/>
      <c r="F159" s="3"/>
      <c r="G159" s="3"/>
      <c r="H159" s="3"/>
      <c r="I159" s="3"/>
      <c r="J159" s="3"/>
    </row>
    <row r="160" spans="3:10" ht="15" hidden="1" x14ac:dyDescent="0.25">
      <c r="C160" s="3"/>
      <c r="D160" s="3"/>
      <c r="E160" s="3"/>
      <c r="F160" s="3"/>
      <c r="G160" s="3"/>
      <c r="H160" s="3"/>
      <c r="I160" s="3"/>
      <c r="J160" s="3"/>
    </row>
    <row r="161" spans="3:10" ht="15" hidden="1" x14ac:dyDescent="0.25">
      <c r="C161" s="3"/>
      <c r="D161" s="3"/>
      <c r="E161" s="3"/>
      <c r="F161" s="3"/>
      <c r="G161" s="3"/>
      <c r="H161" s="3"/>
      <c r="I161" s="3"/>
      <c r="J161" s="3"/>
    </row>
    <row r="162" spans="3:10" ht="15" hidden="1" x14ac:dyDescent="0.25">
      <c r="C162" s="3"/>
      <c r="D162" s="3"/>
      <c r="E162" s="3"/>
      <c r="F162" s="3"/>
      <c r="G162" s="3"/>
      <c r="H162" s="3"/>
      <c r="I162" s="3"/>
      <c r="J162" s="3"/>
    </row>
    <row r="163" spans="3:10" ht="15" hidden="1" x14ac:dyDescent="0.25">
      <c r="C163" s="3"/>
      <c r="D163" s="3"/>
      <c r="E163" s="3"/>
      <c r="F163" s="3"/>
      <c r="G163" s="3"/>
      <c r="H163" s="3"/>
      <c r="I163" s="3"/>
      <c r="J163" s="3"/>
    </row>
    <row r="164" spans="3:10" ht="15" hidden="1" x14ac:dyDescent="0.25">
      <c r="C164" s="3"/>
      <c r="D164" s="3"/>
      <c r="E164" s="3"/>
      <c r="F164" s="3"/>
      <c r="G164" s="3"/>
      <c r="H164" s="3"/>
      <c r="I164" s="3"/>
      <c r="J164" s="3"/>
    </row>
    <row r="165" spans="3:10" ht="15" hidden="1" x14ac:dyDescent="0.25">
      <c r="C165" s="3"/>
      <c r="D165" s="3"/>
      <c r="E165" s="3"/>
      <c r="F165" s="3"/>
      <c r="G165" s="3"/>
      <c r="H165" s="3"/>
      <c r="I165" s="3"/>
      <c r="J165" s="3"/>
    </row>
    <row r="166" spans="3:10" ht="15" hidden="1" x14ac:dyDescent="0.25">
      <c r="C166" s="3"/>
      <c r="D166" s="3"/>
      <c r="E166" s="3"/>
      <c r="F166" s="3"/>
      <c r="G166" s="3"/>
      <c r="H166" s="3"/>
      <c r="I166" s="3"/>
      <c r="J166" s="3"/>
    </row>
    <row r="167" spans="3:10" ht="15" hidden="1" x14ac:dyDescent="0.25">
      <c r="C167" s="3"/>
      <c r="D167" s="3"/>
      <c r="E167" s="3"/>
      <c r="F167" s="3"/>
      <c r="G167" s="3"/>
      <c r="H167" s="3"/>
      <c r="I167" s="3"/>
      <c r="J167" s="3"/>
    </row>
    <row r="168" spans="3:10" ht="15" hidden="1" x14ac:dyDescent="0.25">
      <c r="C168" s="3"/>
      <c r="D168" s="3"/>
      <c r="E168" s="3"/>
      <c r="F168" s="3"/>
      <c r="G168" s="3"/>
      <c r="H168" s="3"/>
      <c r="I168" s="3"/>
      <c r="J168" s="3"/>
    </row>
    <row r="169" spans="3:10" ht="15" hidden="1" x14ac:dyDescent="0.25">
      <c r="C169" s="3"/>
      <c r="D169" s="3"/>
      <c r="E169" s="3"/>
      <c r="F169" s="3"/>
      <c r="G169" s="3"/>
      <c r="H169" s="3"/>
      <c r="I169" s="3"/>
      <c r="J169" s="3"/>
    </row>
    <row r="170" spans="3:10" ht="15" hidden="1" x14ac:dyDescent="0.25">
      <c r="C170" s="3"/>
      <c r="D170" s="3"/>
      <c r="E170" s="3"/>
      <c r="F170" s="3"/>
      <c r="G170" s="3"/>
      <c r="H170" s="3"/>
      <c r="I170" s="3"/>
      <c r="J170" s="3"/>
    </row>
    <row r="171" spans="3:10" ht="15" hidden="1" x14ac:dyDescent="0.25">
      <c r="C171" s="3"/>
      <c r="D171" s="3"/>
      <c r="E171" s="3"/>
      <c r="F171" s="3"/>
      <c r="G171" s="3"/>
      <c r="H171" s="3"/>
      <c r="I171" s="3"/>
      <c r="J171" s="3"/>
    </row>
    <row r="172" spans="3:10" ht="15" hidden="1" x14ac:dyDescent="0.25">
      <c r="C172" s="3"/>
      <c r="D172" s="3"/>
      <c r="E172" s="3"/>
      <c r="F172" s="3"/>
      <c r="G172" s="3"/>
      <c r="H172" s="3"/>
      <c r="I172" s="3"/>
      <c r="J172" s="3"/>
    </row>
    <row r="173" spans="3:10" ht="15" hidden="1" x14ac:dyDescent="0.25">
      <c r="C173" s="3"/>
      <c r="D173" s="3"/>
      <c r="E173" s="3"/>
      <c r="F173" s="3"/>
      <c r="G173" s="3"/>
      <c r="H173" s="3"/>
      <c r="I173" s="3"/>
      <c r="J173" s="3"/>
    </row>
    <row r="174" spans="3:10" ht="15" hidden="1" x14ac:dyDescent="0.25">
      <c r="C174" s="3"/>
      <c r="D174" s="3"/>
      <c r="E174" s="3"/>
      <c r="F174" s="3"/>
      <c r="G174" s="3"/>
      <c r="H174" s="3"/>
      <c r="I174" s="3"/>
      <c r="J174" s="3"/>
    </row>
    <row r="175" spans="3:10" ht="15" hidden="1" x14ac:dyDescent="0.25">
      <c r="C175" s="3"/>
      <c r="D175" s="3"/>
      <c r="E175" s="3"/>
      <c r="F175" s="3"/>
      <c r="G175" s="3"/>
      <c r="H175" s="3"/>
      <c r="I175" s="3"/>
      <c r="J175" s="3"/>
    </row>
    <row r="176" spans="3:10" ht="15" hidden="1" x14ac:dyDescent="0.25">
      <c r="C176" s="3"/>
      <c r="D176" s="3"/>
      <c r="E176" s="3"/>
      <c r="F176" s="3"/>
      <c r="G176" s="3"/>
      <c r="H176" s="3"/>
      <c r="I176" s="3"/>
      <c r="J176" s="3"/>
    </row>
    <row r="177" spans="3:10" ht="15" hidden="1" x14ac:dyDescent="0.25">
      <c r="C177" s="3"/>
      <c r="D177" s="3"/>
      <c r="E177" s="3"/>
      <c r="F177" s="3"/>
      <c r="G177" s="3"/>
      <c r="H177" s="3"/>
      <c r="I177" s="3"/>
      <c r="J177" s="3"/>
    </row>
    <row r="178" spans="3:10" ht="15" hidden="1" x14ac:dyDescent="0.25">
      <c r="C178" s="3"/>
      <c r="D178" s="3"/>
      <c r="E178" s="3"/>
      <c r="F178" s="3"/>
      <c r="G178" s="3"/>
      <c r="H178" s="3"/>
      <c r="I178" s="3"/>
      <c r="J178" s="3"/>
    </row>
    <row r="179" spans="3:10" ht="15" hidden="1" x14ac:dyDescent="0.25">
      <c r="C179" s="3"/>
      <c r="D179" s="3"/>
      <c r="E179" s="3"/>
      <c r="F179" s="3"/>
      <c r="G179" s="3"/>
      <c r="H179" s="3"/>
      <c r="I179" s="3"/>
      <c r="J179" s="3"/>
    </row>
    <row r="180" spans="3:10" ht="15" hidden="1" x14ac:dyDescent="0.25">
      <c r="C180" s="3"/>
      <c r="D180" s="3"/>
      <c r="E180" s="3"/>
      <c r="F180" s="3"/>
      <c r="G180" s="3"/>
      <c r="H180" s="3"/>
      <c r="I180" s="3"/>
      <c r="J180" s="3"/>
    </row>
    <row r="181" spans="3:10" ht="15" hidden="1" x14ac:dyDescent="0.25">
      <c r="C181" s="3"/>
      <c r="D181" s="3"/>
      <c r="E181" s="3"/>
      <c r="F181" s="3"/>
      <c r="G181" s="3"/>
      <c r="H181" s="3"/>
      <c r="I181" s="3"/>
      <c r="J181" s="3"/>
    </row>
    <row r="182" spans="3:10" ht="15" hidden="1" x14ac:dyDescent="0.25">
      <c r="C182" s="3"/>
      <c r="D182" s="3"/>
      <c r="E182" s="3"/>
      <c r="F182" s="3"/>
      <c r="G182" s="3"/>
      <c r="H182" s="3"/>
      <c r="I182" s="3"/>
      <c r="J182" s="3"/>
    </row>
    <row r="183" spans="3:10" ht="15" hidden="1" x14ac:dyDescent="0.25">
      <c r="C183" s="3"/>
      <c r="D183" s="3"/>
      <c r="E183" s="3"/>
      <c r="F183" s="3"/>
      <c r="G183" s="3"/>
      <c r="H183" s="3"/>
      <c r="I183" s="3"/>
      <c r="J183" s="3"/>
    </row>
    <row r="184" spans="3:10" ht="15" hidden="1" x14ac:dyDescent="0.25">
      <c r="C184" s="3"/>
      <c r="D184" s="3"/>
      <c r="E184" s="3"/>
      <c r="F184" s="3"/>
      <c r="G184" s="3"/>
      <c r="H184" s="3"/>
      <c r="I184" s="3"/>
      <c r="J184" s="3"/>
    </row>
    <row r="185" spans="3:10" ht="15" hidden="1" x14ac:dyDescent="0.25">
      <c r="C185" s="3"/>
      <c r="D185" s="3"/>
      <c r="E185" s="3"/>
      <c r="F185" s="3"/>
      <c r="G185" s="3"/>
      <c r="H185" s="3"/>
      <c r="I185" s="3"/>
      <c r="J185" s="3"/>
    </row>
    <row r="186" spans="3:10" ht="15" hidden="1" x14ac:dyDescent="0.25">
      <c r="C186" s="3"/>
      <c r="D186" s="3"/>
      <c r="E186" s="3"/>
      <c r="F186" s="3"/>
      <c r="G186" s="3"/>
      <c r="H186" s="3"/>
      <c r="I186" s="3"/>
      <c r="J186" s="3"/>
    </row>
    <row r="187" spans="3:10" ht="15" hidden="1" x14ac:dyDescent="0.25">
      <c r="C187" s="3"/>
      <c r="D187" s="3"/>
      <c r="E187" s="3"/>
      <c r="F187" s="3"/>
      <c r="G187" s="3"/>
      <c r="H187" s="3"/>
      <c r="I187" s="3"/>
      <c r="J187" s="3"/>
    </row>
    <row r="188" spans="3:10" ht="15" hidden="1" x14ac:dyDescent="0.25">
      <c r="C188" s="3"/>
      <c r="D188" s="3"/>
      <c r="E188" s="3"/>
      <c r="F188" s="3"/>
      <c r="G188" s="3"/>
      <c r="H188" s="3"/>
      <c r="I188" s="3"/>
      <c r="J188" s="3"/>
    </row>
    <row r="189" spans="3:10" ht="15" hidden="1" x14ac:dyDescent="0.25">
      <c r="C189" s="3"/>
      <c r="D189" s="3"/>
      <c r="E189" s="3"/>
      <c r="F189" s="3"/>
      <c r="G189" s="3"/>
      <c r="H189" s="3"/>
      <c r="I189" s="3"/>
      <c r="J189" s="3"/>
    </row>
    <row r="190" spans="3:10" ht="15" hidden="1" x14ac:dyDescent="0.25">
      <c r="C190" s="3"/>
      <c r="D190" s="3"/>
      <c r="E190" s="3"/>
      <c r="F190" s="3"/>
      <c r="G190" s="3"/>
      <c r="H190" s="3"/>
      <c r="I190" s="3"/>
      <c r="J190" s="3"/>
    </row>
    <row r="191" spans="3:10" ht="15" hidden="1" x14ac:dyDescent="0.25">
      <c r="C191" s="3"/>
      <c r="D191" s="3"/>
      <c r="E191" s="3"/>
      <c r="F191" s="3"/>
      <c r="G191" s="3"/>
      <c r="H191" s="3"/>
      <c r="I191" s="3"/>
      <c r="J191" s="3"/>
    </row>
    <row r="192" spans="3:10" ht="15" hidden="1" x14ac:dyDescent="0.25">
      <c r="C192" s="3"/>
      <c r="D192" s="3"/>
      <c r="E192" s="3"/>
      <c r="F192" s="3"/>
      <c r="G192" s="3"/>
      <c r="H192" s="3"/>
      <c r="I192" s="3"/>
      <c r="J192" s="3"/>
    </row>
    <row r="193" spans="3:10" ht="15" hidden="1" x14ac:dyDescent="0.25">
      <c r="C193" s="3"/>
      <c r="D193" s="3"/>
      <c r="E193" s="3"/>
      <c r="F193" s="3"/>
      <c r="G193" s="3"/>
      <c r="H193" s="3"/>
      <c r="I193" s="3"/>
      <c r="J193" s="3"/>
    </row>
    <row r="194" spans="3:10" ht="15" hidden="1" x14ac:dyDescent="0.25">
      <c r="C194" s="3"/>
      <c r="D194" s="3"/>
      <c r="E194" s="3"/>
      <c r="F194" s="3"/>
      <c r="G194" s="3"/>
      <c r="H194" s="3"/>
      <c r="I194" s="3"/>
      <c r="J194" s="3"/>
    </row>
    <row r="195" spans="3:10" ht="15" hidden="1" x14ac:dyDescent="0.25">
      <c r="C195" s="3"/>
      <c r="D195" s="3"/>
      <c r="E195" s="3"/>
      <c r="F195" s="3"/>
      <c r="G195" s="3"/>
      <c r="H195" s="3"/>
      <c r="I195" s="3"/>
      <c r="J195" s="3"/>
    </row>
    <row r="196" spans="3:10" ht="15" hidden="1" x14ac:dyDescent="0.25">
      <c r="C196" s="3"/>
      <c r="D196" s="3"/>
      <c r="E196" s="3"/>
      <c r="F196" s="3"/>
      <c r="G196" s="3"/>
      <c r="H196" s="3"/>
      <c r="I196" s="3"/>
      <c r="J196" s="3"/>
    </row>
    <row r="197" spans="3:10" ht="15" hidden="1" x14ac:dyDescent="0.25">
      <c r="C197" s="3"/>
      <c r="D197" s="3"/>
      <c r="E197" s="3"/>
      <c r="F197" s="3"/>
      <c r="G197" s="3"/>
      <c r="H197" s="3"/>
      <c r="I197" s="3"/>
      <c r="J197" s="3"/>
    </row>
    <row r="198" spans="3:10" ht="15" hidden="1" x14ac:dyDescent="0.25">
      <c r="C198" s="3"/>
      <c r="D198" s="3"/>
      <c r="E198" s="3"/>
      <c r="F198" s="3"/>
      <c r="G198" s="3"/>
      <c r="H198" s="3"/>
      <c r="I198" s="3"/>
      <c r="J198" s="3"/>
    </row>
    <row r="199" spans="3:10" ht="15" hidden="1" x14ac:dyDescent="0.25">
      <c r="C199" s="3"/>
      <c r="D199" s="3"/>
      <c r="E199" s="3"/>
      <c r="F199" s="3"/>
      <c r="G199" s="3"/>
      <c r="H199" s="3"/>
      <c r="I199" s="3"/>
      <c r="J199" s="3"/>
    </row>
    <row r="200" spans="3:10" ht="15" hidden="1" x14ac:dyDescent="0.25">
      <c r="C200" s="3"/>
      <c r="D200" s="3"/>
      <c r="E200" s="3"/>
      <c r="F200" s="3"/>
      <c r="G200" s="3"/>
      <c r="H200" s="3"/>
      <c r="I200" s="3"/>
      <c r="J200" s="3"/>
    </row>
    <row r="201" spans="3:10" ht="15" hidden="1" x14ac:dyDescent="0.25">
      <c r="C201" s="3"/>
      <c r="D201" s="3"/>
      <c r="E201" s="3"/>
      <c r="F201" s="3"/>
      <c r="G201" s="3"/>
      <c r="H201" s="3"/>
      <c r="I201" s="3"/>
      <c r="J201" s="3"/>
    </row>
    <row r="202" spans="3:10" ht="15" hidden="1" x14ac:dyDescent="0.25">
      <c r="C202" s="3"/>
      <c r="D202" s="3"/>
      <c r="E202" s="3"/>
      <c r="F202" s="3"/>
      <c r="G202" s="3"/>
      <c r="H202" s="3"/>
      <c r="I202" s="3"/>
      <c r="J202" s="3"/>
    </row>
    <row r="203" spans="3:10" ht="15" hidden="1" x14ac:dyDescent="0.25">
      <c r="C203" s="3"/>
      <c r="D203" s="3"/>
      <c r="E203" s="3"/>
      <c r="F203" s="3"/>
      <c r="G203" s="3"/>
      <c r="H203" s="3"/>
      <c r="I203" s="3"/>
      <c r="J203" s="3"/>
    </row>
    <row r="204" spans="3:10" ht="15" hidden="1" x14ac:dyDescent="0.25">
      <c r="C204" s="3"/>
      <c r="D204" s="3"/>
      <c r="E204" s="3"/>
      <c r="F204" s="3"/>
      <c r="G204" s="3"/>
      <c r="H204" s="3"/>
      <c r="I204" s="3"/>
      <c r="J204" s="3"/>
    </row>
    <row r="205" spans="3:10" ht="15" hidden="1" x14ac:dyDescent="0.25">
      <c r="C205" s="3"/>
      <c r="D205" s="3"/>
      <c r="E205" s="3"/>
      <c r="F205" s="3"/>
      <c r="G205" s="3"/>
      <c r="H205" s="3"/>
      <c r="I205" s="3"/>
      <c r="J205" s="3"/>
    </row>
    <row r="206" spans="3:10" ht="15" hidden="1" x14ac:dyDescent="0.25">
      <c r="C206" s="3"/>
      <c r="D206" s="3"/>
      <c r="E206" s="3"/>
      <c r="F206" s="3"/>
      <c r="G206" s="3"/>
      <c r="H206" s="3"/>
      <c r="I206" s="3"/>
      <c r="J206" s="3"/>
    </row>
    <row r="207" spans="3:10" ht="15" hidden="1" x14ac:dyDescent="0.25">
      <c r="C207" s="3"/>
      <c r="D207" s="3"/>
      <c r="E207" s="3"/>
      <c r="F207" s="3"/>
      <c r="G207" s="3"/>
      <c r="H207" s="3"/>
      <c r="I207" s="3"/>
      <c r="J207" s="3"/>
    </row>
    <row r="208" spans="3:10" ht="15" hidden="1" x14ac:dyDescent="0.25">
      <c r="C208" s="3"/>
      <c r="D208" s="3"/>
      <c r="E208" s="3"/>
      <c r="F208" s="3"/>
      <c r="G208" s="3"/>
      <c r="H208" s="3"/>
      <c r="I208" s="3"/>
      <c r="J208" s="3"/>
    </row>
    <row r="209" spans="3:10" ht="15" hidden="1" x14ac:dyDescent="0.25">
      <c r="C209" s="3"/>
      <c r="D209" s="3"/>
      <c r="E209" s="3"/>
      <c r="F209" s="3"/>
      <c r="G209" s="3"/>
      <c r="H209" s="3"/>
      <c r="I209" s="3"/>
      <c r="J209" s="3"/>
    </row>
    <row r="210" spans="3:10" ht="15" hidden="1" x14ac:dyDescent="0.25">
      <c r="C210" s="3"/>
      <c r="D210" s="3"/>
      <c r="E210" s="3"/>
      <c r="F210" s="3"/>
      <c r="G210" s="3"/>
      <c r="H210" s="3"/>
      <c r="I210" s="3"/>
      <c r="J210" s="3"/>
    </row>
    <row r="211" spans="3:10" ht="15" hidden="1" x14ac:dyDescent="0.25">
      <c r="C211" s="3"/>
      <c r="D211" s="3"/>
      <c r="E211" s="3"/>
      <c r="F211" s="3"/>
      <c r="G211" s="3"/>
      <c r="H211" s="3"/>
      <c r="I211" s="3"/>
      <c r="J211" s="3"/>
    </row>
    <row r="212" spans="3:10" ht="15" hidden="1" x14ac:dyDescent="0.25">
      <c r="C212" s="3"/>
      <c r="D212" s="3"/>
      <c r="E212" s="3"/>
      <c r="F212" s="3"/>
      <c r="G212" s="3"/>
      <c r="H212" s="3"/>
      <c r="I212" s="3"/>
      <c r="J212" s="3"/>
    </row>
    <row r="213" spans="3:10" ht="15" hidden="1" x14ac:dyDescent="0.25">
      <c r="C213" s="3"/>
      <c r="D213" s="3"/>
      <c r="E213" s="3"/>
      <c r="F213" s="3"/>
      <c r="G213" s="3"/>
      <c r="H213" s="3"/>
      <c r="I213" s="3"/>
      <c r="J213" s="3"/>
    </row>
    <row r="214" spans="3:10" ht="15" hidden="1" x14ac:dyDescent="0.25">
      <c r="C214" s="3"/>
      <c r="D214" s="3"/>
      <c r="E214" s="3"/>
      <c r="F214" s="3"/>
      <c r="G214" s="3"/>
      <c r="H214" s="3"/>
      <c r="I214" s="3"/>
      <c r="J214" s="3"/>
    </row>
    <row r="215" spans="3:10" ht="15" hidden="1" x14ac:dyDescent="0.25">
      <c r="C215" s="3"/>
      <c r="D215" s="3"/>
      <c r="E215" s="3"/>
      <c r="F215" s="3"/>
      <c r="G215" s="3"/>
      <c r="H215" s="3"/>
      <c r="I215" s="3"/>
      <c r="J215" s="3"/>
    </row>
    <row r="216" spans="3:10" ht="15" hidden="1" x14ac:dyDescent="0.25">
      <c r="C216" s="3"/>
      <c r="D216" s="3"/>
      <c r="E216" s="3"/>
      <c r="F216" s="3"/>
      <c r="G216" s="3"/>
      <c r="H216" s="3"/>
      <c r="I216" s="3"/>
      <c r="J216" s="3"/>
    </row>
    <row r="217" spans="3:10" ht="15" hidden="1" x14ac:dyDescent="0.25">
      <c r="C217" s="3"/>
      <c r="D217" s="3"/>
      <c r="E217" s="3"/>
      <c r="F217" s="3"/>
      <c r="G217" s="3"/>
      <c r="H217" s="3"/>
      <c r="I217" s="3"/>
      <c r="J217" s="3"/>
    </row>
    <row r="218" spans="3:10" ht="15" hidden="1" x14ac:dyDescent="0.25">
      <c r="C218" s="3"/>
      <c r="D218" s="3"/>
      <c r="E218" s="3"/>
      <c r="F218" s="3"/>
      <c r="G218" s="3"/>
      <c r="H218" s="3"/>
      <c r="I218" s="3"/>
      <c r="J218" s="3"/>
    </row>
    <row r="219" spans="3:10" ht="15" hidden="1" x14ac:dyDescent="0.25">
      <c r="C219" s="3"/>
      <c r="D219" s="3"/>
      <c r="E219" s="3"/>
      <c r="F219" s="3"/>
      <c r="G219" s="3"/>
      <c r="H219" s="3"/>
      <c r="I219" s="3"/>
      <c r="J219" s="3"/>
    </row>
    <row r="220" spans="3:10" ht="15" hidden="1" x14ac:dyDescent="0.25">
      <c r="C220" s="3"/>
      <c r="D220" s="3"/>
      <c r="E220" s="3"/>
      <c r="F220" s="3"/>
      <c r="G220" s="3"/>
      <c r="H220" s="3"/>
      <c r="I220" s="3"/>
      <c r="J220" s="3"/>
    </row>
    <row r="221" spans="3:10" ht="15" hidden="1" x14ac:dyDescent="0.25">
      <c r="C221" s="3"/>
      <c r="D221" s="3"/>
      <c r="E221" s="3"/>
      <c r="F221" s="3"/>
      <c r="G221" s="3"/>
      <c r="H221" s="3"/>
      <c r="I221" s="3"/>
      <c r="J221" s="3"/>
    </row>
    <row r="222" spans="3:10" ht="15" hidden="1" x14ac:dyDescent="0.25">
      <c r="C222" s="3"/>
      <c r="D222" s="3"/>
      <c r="E222" s="3"/>
      <c r="F222" s="3"/>
      <c r="G222" s="3"/>
      <c r="H222" s="3"/>
      <c r="I222" s="3"/>
      <c r="J222" s="3"/>
    </row>
    <row r="223" spans="3:10" ht="15" hidden="1" x14ac:dyDescent="0.25">
      <c r="C223" s="3"/>
      <c r="D223" s="3"/>
      <c r="E223" s="3"/>
      <c r="F223" s="3"/>
      <c r="G223" s="3"/>
      <c r="H223" s="3"/>
      <c r="I223" s="3"/>
      <c r="J223" s="3"/>
    </row>
    <row r="224" spans="3:10" ht="15" hidden="1" x14ac:dyDescent="0.25">
      <c r="C224" s="3"/>
      <c r="D224" s="3"/>
      <c r="E224" s="3"/>
      <c r="F224" s="3"/>
      <c r="G224" s="3"/>
      <c r="H224" s="3"/>
      <c r="I224" s="3"/>
      <c r="J224" s="3"/>
    </row>
    <row r="225" spans="3:10" ht="15" hidden="1" x14ac:dyDescent="0.25">
      <c r="C225" s="3"/>
      <c r="D225" s="3"/>
      <c r="E225" s="3"/>
      <c r="F225" s="3"/>
      <c r="G225" s="3"/>
      <c r="H225" s="3"/>
      <c r="I225" s="3"/>
      <c r="J225" s="3"/>
    </row>
    <row r="226" spans="3:10" ht="15" hidden="1" x14ac:dyDescent="0.25">
      <c r="C226" s="3"/>
      <c r="D226" s="3"/>
      <c r="E226" s="3"/>
      <c r="F226" s="3"/>
      <c r="G226" s="3"/>
      <c r="H226" s="3"/>
      <c r="I226" s="3"/>
      <c r="J226" s="3"/>
    </row>
    <row r="227" spans="3:10" ht="15" hidden="1" x14ac:dyDescent="0.25">
      <c r="C227" s="3"/>
      <c r="D227" s="3"/>
      <c r="E227" s="3"/>
      <c r="F227" s="3"/>
      <c r="G227" s="3"/>
      <c r="H227" s="3"/>
      <c r="I227" s="3"/>
      <c r="J227" s="3"/>
    </row>
    <row r="228" spans="3:10" ht="15" hidden="1" x14ac:dyDescent="0.25">
      <c r="C228" s="3"/>
      <c r="D228" s="3"/>
      <c r="E228" s="3"/>
      <c r="F228" s="3"/>
      <c r="G228" s="3"/>
      <c r="H228" s="3"/>
      <c r="I228" s="3"/>
      <c r="J228" s="3"/>
    </row>
    <row r="229" spans="3:10" ht="15" hidden="1" x14ac:dyDescent="0.25">
      <c r="C229" s="3"/>
      <c r="D229" s="3"/>
      <c r="E229" s="3"/>
      <c r="F229" s="3"/>
      <c r="G229" s="3"/>
      <c r="H229" s="3"/>
      <c r="I229" s="3"/>
      <c r="J229" s="3"/>
    </row>
    <row r="230" spans="3:10" ht="15" hidden="1" x14ac:dyDescent="0.25">
      <c r="C230" s="3"/>
      <c r="D230" s="3"/>
      <c r="E230" s="3"/>
      <c r="F230" s="3"/>
      <c r="G230" s="3"/>
      <c r="H230" s="3"/>
      <c r="I230" s="3"/>
      <c r="J230" s="3"/>
    </row>
    <row r="231" spans="3:10" ht="15" hidden="1" x14ac:dyDescent="0.25">
      <c r="C231" s="3"/>
      <c r="D231" s="3"/>
      <c r="E231" s="3"/>
      <c r="F231" s="3"/>
      <c r="G231" s="3"/>
      <c r="H231" s="3"/>
      <c r="I231" s="3"/>
      <c r="J231" s="3"/>
    </row>
    <row r="232" spans="3:10" ht="15" hidden="1" x14ac:dyDescent="0.25">
      <c r="C232" s="3"/>
      <c r="D232" s="3"/>
      <c r="E232" s="3"/>
      <c r="F232" s="3"/>
      <c r="G232" s="3"/>
      <c r="H232" s="3"/>
      <c r="I232" s="3"/>
      <c r="J232" s="3"/>
    </row>
    <row r="233" spans="3:10" ht="15" hidden="1" x14ac:dyDescent="0.25">
      <c r="C233" s="3"/>
      <c r="D233" s="3"/>
      <c r="E233" s="3"/>
      <c r="F233" s="3"/>
      <c r="G233" s="3"/>
      <c r="H233" s="3"/>
      <c r="I233" s="3"/>
      <c r="J233" s="3"/>
    </row>
    <row r="234" spans="3:10" ht="15" hidden="1" x14ac:dyDescent="0.25">
      <c r="C234" s="3"/>
      <c r="D234" s="3"/>
      <c r="E234" s="3"/>
      <c r="F234" s="3"/>
      <c r="G234" s="3"/>
      <c r="H234" s="3"/>
      <c r="I234" s="3"/>
      <c r="J234" s="3"/>
    </row>
    <row r="235" spans="3:10" ht="15" hidden="1" x14ac:dyDescent="0.25">
      <c r="C235" s="3"/>
      <c r="D235" s="3"/>
      <c r="E235" s="3"/>
      <c r="F235" s="3"/>
      <c r="G235" s="3"/>
      <c r="H235" s="3"/>
      <c r="I235" s="3"/>
      <c r="J235" s="3"/>
    </row>
    <row r="236" spans="3:10" ht="15" hidden="1" x14ac:dyDescent="0.25">
      <c r="C236" s="3"/>
      <c r="D236" s="3"/>
      <c r="E236" s="3"/>
      <c r="F236" s="3"/>
      <c r="G236" s="3"/>
      <c r="H236" s="3"/>
      <c r="I236" s="3"/>
      <c r="J236" s="3"/>
    </row>
    <row r="237" spans="3:10" ht="15" hidden="1" x14ac:dyDescent="0.25">
      <c r="C237" s="3"/>
      <c r="D237" s="3"/>
      <c r="E237" s="3"/>
      <c r="F237" s="3"/>
      <c r="G237" s="3"/>
      <c r="H237" s="3"/>
      <c r="I237" s="3"/>
      <c r="J237" s="3"/>
    </row>
    <row r="238" spans="3:10" ht="15" hidden="1" x14ac:dyDescent="0.25">
      <c r="C238" s="3"/>
      <c r="D238" s="3"/>
      <c r="E238" s="3"/>
      <c r="F238" s="3"/>
      <c r="G238" s="3"/>
      <c r="H238" s="3"/>
      <c r="I238" s="3"/>
      <c r="J238" s="3"/>
    </row>
    <row r="239" spans="3:10" ht="15" hidden="1" x14ac:dyDescent="0.25">
      <c r="C239" s="3"/>
      <c r="D239" s="3"/>
      <c r="E239" s="3"/>
      <c r="F239" s="3"/>
      <c r="G239" s="3"/>
      <c r="H239" s="3"/>
      <c r="I239" s="3"/>
      <c r="J239" s="3"/>
    </row>
    <row r="240" spans="3:10" ht="15" hidden="1" x14ac:dyDescent="0.25">
      <c r="C240" s="3"/>
      <c r="D240" s="3"/>
      <c r="E240" s="3"/>
      <c r="F240" s="3"/>
      <c r="G240" s="3"/>
      <c r="H240" s="3"/>
      <c r="I240" s="3"/>
      <c r="J240" s="3"/>
    </row>
    <row r="241" spans="3:10" ht="15" hidden="1" x14ac:dyDescent="0.25">
      <c r="C241" s="3"/>
      <c r="D241" s="3"/>
      <c r="E241" s="3"/>
      <c r="F241" s="3"/>
      <c r="G241" s="3"/>
      <c r="H241" s="3"/>
      <c r="I241" s="3"/>
      <c r="J241" s="3"/>
    </row>
    <row r="242" spans="3:10" ht="15" hidden="1" x14ac:dyDescent="0.25">
      <c r="C242" s="3"/>
      <c r="D242" s="3"/>
      <c r="E242" s="3"/>
      <c r="F242" s="3"/>
      <c r="G242" s="3"/>
      <c r="H242" s="3"/>
      <c r="I242" s="3"/>
      <c r="J242" s="3"/>
    </row>
    <row r="243" spans="3:10" ht="15" hidden="1" x14ac:dyDescent="0.25">
      <c r="C243" s="3"/>
      <c r="D243" s="3"/>
      <c r="E243" s="3"/>
      <c r="F243" s="3"/>
      <c r="G243" s="3"/>
      <c r="H243" s="3"/>
      <c r="I243" s="3"/>
      <c r="J243" s="3"/>
    </row>
    <row r="244" spans="3:10" ht="15" hidden="1" x14ac:dyDescent="0.25">
      <c r="C244" s="3"/>
      <c r="D244" s="3"/>
      <c r="E244" s="3"/>
      <c r="F244" s="3"/>
      <c r="G244" s="3"/>
      <c r="H244" s="3"/>
      <c r="I244" s="3"/>
      <c r="J244" s="3"/>
    </row>
    <row r="245" spans="3:10" ht="15" hidden="1" x14ac:dyDescent="0.25">
      <c r="C245" s="3"/>
      <c r="D245" s="3"/>
      <c r="E245" s="3"/>
      <c r="F245" s="3"/>
      <c r="G245" s="3"/>
      <c r="H245" s="3"/>
      <c r="I245" s="3"/>
      <c r="J245" s="3"/>
    </row>
    <row r="246" spans="3:10" ht="15" hidden="1" x14ac:dyDescent="0.25">
      <c r="C246" s="3"/>
      <c r="D246" s="3"/>
      <c r="E246" s="3"/>
      <c r="F246" s="3"/>
      <c r="G246" s="3"/>
      <c r="H246" s="3"/>
      <c r="I246" s="3"/>
      <c r="J246" s="3"/>
    </row>
    <row r="247" spans="3:10" ht="15" hidden="1" x14ac:dyDescent="0.25">
      <c r="C247" s="3"/>
      <c r="D247" s="3"/>
      <c r="E247" s="3"/>
      <c r="F247" s="3"/>
      <c r="G247" s="3"/>
      <c r="H247" s="3"/>
      <c r="I247" s="3"/>
      <c r="J247" s="3"/>
    </row>
    <row r="248" spans="3:10" ht="15" hidden="1" x14ac:dyDescent="0.25">
      <c r="C248" s="3"/>
      <c r="D248" s="3"/>
      <c r="E248" s="3"/>
      <c r="F248" s="3"/>
      <c r="G248" s="3"/>
      <c r="H248" s="3"/>
      <c r="I248" s="3"/>
      <c r="J248" s="3"/>
    </row>
    <row r="249" spans="3:10" ht="15" hidden="1" x14ac:dyDescent="0.25">
      <c r="C249" s="3"/>
      <c r="D249" s="3"/>
      <c r="E249" s="3"/>
      <c r="F249" s="3"/>
      <c r="G249" s="3"/>
      <c r="H249" s="3"/>
      <c r="I249" s="3"/>
      <c r="J249" s="3"/>
    </row>
    <row r="250" spans="3:10" ht="15" hidden="1" x14ac:dyDescent="0.25">
      <c r="C250" s="3"/>
      <c r="D250" s="3"/>
      <c r="E250" s="3"/>
      <c r="F250" s="3"/>
      <c r="G250" s="3"/>
      <c r="H250" s="3"/>
      <c r="I250" s="3"/>
      <c r="J250" s="3"/>
    </row>
    <row r="251" spans="3:10" ht="15" hidden="1" x14ac:dyDescent="0.25">
      <c r="C251" s="3"/>
      <c r="D251" s="3"/>
      <c r="E251" s="3"/>
      <c r="F251" s="3"/>
      <c r="G251" s="3"/>
      <c r="H251" s="3"/>
      <c r="I251" s="3"/>
      <c r="J251" s="3"/>
    </row>
    <row r="252" spans="3:10" ht="15" hidden="1" x14ac:dyDescent="0.25">
      <c r="C252" s="3"/>
      <c r="D252" s="3"/>
      <c r="E252" s="3"/>
      <c r="F252" s="3"/>
      <c r="G252" s="3"/>
      <c r="H252" s="3"/>
      <c r="I252" s="3"/>
      <c r="J252" s="3"/>
    </row>
    <row r="253" spans="3:10" ht="15" hidden="1" x14ac:dyDescent="0.25">
      <c r="C253" s="3"/>
      <c r="D253" s="3"/>
      <c r="E253" s="3"/>
      <c r="F253" s="3"/>
      <c r="G253" s="3"/>
      <c r="H253" s="3"/>
      <c r="I253" s="3"/>
      <c r="J253" s="3"/>
    </row>
    <row r="254" spans="3:10" ht="15" hidden="1" x14ac:dyDescent="0.25">
      <c r="C254" s="3"/>
      <c r="D254" s="3"/>
      <c r="E254" s="3"/>
      <c r="F254" s="3"/>
      <c r="G254" s="3"/>
      <c r="H254" s="3"/>
      <c r="I254" s="3"/>
      <c r="J254" s="3"/>
    </row>
    <row r="255" spans="3:10" ht="15" hidden="1" x14ac:dyDescent="0.25">
      <c r="C255" s="3"/>
      <c r="D255" s="3"/>
      <c r="E255" s="3"/>
      <c r="F255" s="3"/>
      <c r="G255" s="3"/>
      <c r="H255" s="3"/>
      <c r="I255" s="3"/>
      <c r="J255" s="3"/>
    </row>
    <row r="256" spans="3:10" ht="15" hidden="1" x14ac:dyDescent="0.25">
      <c r="C256" s="3"/>
      <c r="D256" s="3"/>
      <c r="E256" s="3"/>
      <c r="F256" s="3"/>
      <c r="G256" s="3"/>
      <c r="H256" s="3"/>
      <c r="I256" s="3"/>
      <c r="J256" s="3"/>
    </row>
    <row r="257" spans="3:10" ht="15" hidden="1" x14ac:dyDescent="0.25">
      <c r="C257" s="3"/>
      <c r="D257" s="3"/>
      <c r="E257" s="3"/>
      <c r="F257" s="3"/>
      <c r="G257" s="3"/>
      <c r="H257" s="3"/>
      <c r="I257" s="3"/>
      <c r="J257" s="3"/>
    </row>
    <row r="258" spans="3:10" ht="15" hidden="1" x14ac:dyDescent="0.25">
      <c r="C258" s="3"/>
      <c r="D258" s="3"/>
      <c r="E258" s="3"/>
      <c r="F258" s="3"/>
      <c r="G258" s="3"/>
      <c r="H258" s="3"/>
      <c r="I258" s="3"/>
      <c r="J258" s="3"/>
    </row>
    <row r="259" spans="3:10" ht="15" hidden="1" x14ac:dyDescent="0.25">
      <c r="C259" s="3"/>
      <c r="D259" s="3"/>
      <c r="E259" s="3"/>
      <c r="F259" s="3"/>
      <c r="G259" s="3"/>
      <c r="H259" s="3"/>
      <c r="I259" s="3"/>
      <c r="J259" s="3"/>
    </row>
    <row r="260" spans="3:10" ht="15" hidden="1" x14ac:dyDescent="0.25">
      <c r="C260" s="3"/>
      <c r="D260" s="3"/>
      <c r="E260" s="3"/>
      <c r="F260" s="3"/>
      <c r="G260" s="3"/>
      <c r="H260" s="3"/>
      <c r="I260" s="3"/>
      <c r="J260" s="3"/>
    </row>
    <row r="261" spans="3:10" ht="15" hidden="1" x14ac:dyDescent="0.25">
      <c r="C261" s="3"/>
      <c r="D261" s="3"/>
      <c r="E261" s="3"/>
      <c r="F261" s="3"/>
      <c r="G261" s="3"/>
      <c r="H261" s="3"/>
      <c r="I261" s="3"/>
      <c r="J261" s="3"/>
    </row>
    <row r="262" spans="3:10" ht="15" hidden="1" x14ac:dyDescent="0.25">
      <c r="C262" s="3"/>
      <c r="D262" s="3"/>
      <c r="E262" s="3"/>
      <c r="F262" s="3"/>
      <c r="G262" s="3"/>
      <c r="H262" s="3"/>
      <c r="I262" s="3"/>
      <c r="J262" s="3"/>
    </row>
    <row r="263" spans="3:10" ht="15" hidden="1" x14ac:dyDescent="0.25">
      <c r="C263" s="3"/>
      <c r="D263" s="3"/>
      <c r="E263" s="3"/>
      <c r="F263" s="3"/>
      <c r="G263" s="3"/>
      <c r="H263" s="3"/>
      <c r="I263" s="3"/>
      <c r="J263" s="3"/>
    </row>
    <row r="264" spans="3:10" ht="15" hidden="1" x14ac:dyDescent="0.25">
      <c r="C264" s="3"/>
      <c r="D264" s="3"/>
      <c r="E264" s="3"/>
      <c r="F264" s="3"/>
      <c r="G264" s="3"/>
      <c r="H264" s="3"/>
      <c r="I264" s="3"/>
      <c r="J264" s="3"/>
    </row>
    <row r="265" spans="3:10" ht="15" hidden="1" x14ac:dyDescent="0.25">
      <c r="C265" s="3"/>
      <c r="D265" s="3"/>
      <c r="E265" s="3"/>
      <c r="F265" s="3"/>
      <c r="G265" s="3"/>
      <c r="H265" s="3"/>
      <c r="I265" s="3"/>
      <c r="J265" s="3"/>
    </row>
    <row r="266" spans="3:10" ht="15" hidden="1" x14ac:dyDescent="0.25">
      <c r="C266" s="3"/>
      <c r="D266" s="3"/>
      <c r="E266" s="3"/>
      <c r="F266" s="3"/>
      <c r="G266" s="3"/>
      <c r="H266" s="3"/>
      <c r="I266" s="3"/>
      <c r="J266" s="3"/>
    </row>
    <row r="267" spans="3:10" ht="15" hidden="1" x14ac:dyDescent="0.25">
      <c r="C267" s="3"/>
      <c r="D267" s="3"/>
      <c r="E267" s="3"/>
      <c r="F267" s="3"/>
      <c r="G267" s="3"/>
      <c r="H267" s="3"/>
      <c r="I267" s="3"/>
      <c r="J267" s="3"/>
    </row>
    <row r="268" spans="3:10" ht="15" hidden="1" x14ac:dyDescent="0.25">
      <c r="C268" s="3"/>
      <c r="D268" s="3"/>
      <c r="E268" s="3"/>
      <c r="F268" s="3"/>
      <c r="G268" s="3"/>
      <c r="H268" s="3"/>
      <c r="I268" s="3"/>
      <c r="J268" s="3"/>
    </row>
    <row r="269" spans="3:10" ht="15" hidden="1" x14ac:dyDescent="0.25">
      <c r="C269" s="3"/>
      <c r="D269" s="3"/>
      <c r="E269" s="3"/>
      <c r="F269" s="3"/>
      <c r="G269" s="3"/>
      <c r="H269" s="3"/>
      <c r="I269" s="3"/>
      <c r="J269" s="3"/>
    </row>
    <row r="270" spans="3:10" ht="15" hidden="1" x14ac:dyDescent="0.25">
      <c r="C270" s="3"/>
      <c r="D270" s="3"/>
      <c r="E270" s="3"/>
      <c r="F270" s="3"/>
      <c r="G270" s="3"/>
      <c r="H270" s="3"/>
      <c r="I270" s="3"/>
      <c r="J270" s="3"/>
    </row>
    <row r="271" spans="3:10" ht="15" hidden="1" x14ac:dyDescent="0.25">
      <c r="C271" s="3"/>
      <c r="D271" s="3"/>
      <c r="E271" s="3"/>
      <c r="F271" s="3"/>
      <c r="G271" s="3"/>
      <c r="H271" s="3"/>
      <c r="I271" s="3"/>
      <c r="J271" s="3"/>
    </row>
    <row r="272" spans="3:10" ht="15" hidden="1" x14ac:dyDescent="0.25">
      <c r="C272" s="3"/>
      <c r="D272" s="3"/>
      <c r="E272" s="3"/>
      <c r="F272" s="3"/>
      <c r="G272" s="3"/>
      <c r="H272" s="3"/>
      <c r="I272" s="3"/>
      <c r="J272" s="3"/>
    </row>
    <row r="273" spans="3:10" ht="15" hidden="1" x14ac:dyDescent="0.25">
      <c r="C273" s="3"/>
      <c r="D273" s="3"/>
      <c r="E273" s="3"/>
      <c r="F273" s="3"/>
      <c r="G273" s="3"/>
      <c r="H273" s="3"/>
      <c r="I273" s="3"/>
      <c r="J273" s="3"/>
    </row>
    <row r="274" spans="3:10" ht="15" hidden="1" x14ac:dyDescent="0.25">
      <c r="C274" s="3"/>
      <c r="D274" s="3"/>
      <c r="E274" s="3"/>
      <c r="F274" s="3"/>
      <c r="G274" s="3"/>
      <c r="H274" s="3"/>
      <c r="I274" s="3"/>
      <c r="J274" s="3"/>
    </row>
    <row r="275" spans="3:10" ht="15" hidden="1" x14ac:dyDescent="0.25">
      <c r="C275" s="3"/>
      <c r="D275" s="3"/>
      <c r="E275" s="3"/>
      <c r="F275" s="3"/>
      <c r="G275" s="3"/>
      <c r="H275" s="3"/>
      <c r="I275" s="3"/>
      <c r="J275" s="3"/>
    </row>
    <row r="276" spans="3:10" ht="15" hidden="1" x14ac:dyDescent="0.25">
      <c r="C276" s="3"/>
      <c r="D276" s="3"/>
      <c r="E276" s="3"/>
      <c r="F276" s="3"/>
      <c r="G276" s="3"/>
      <c r="H276" s="3"/>
      <c r="I276" s="3"/>
      <c r="J276" s="3"/>
    </row>
    <row r="277" spans="3:10" ht="15" hidden="1" x14ac:dyDescent="0.25">
      <c r="C277" s="3"/>
      <c r="D277" s="3"/>
      <c r="E277" s="3"/>
      <c r="F277" s="3"/>
      <c r="G277" s="3"/>
      <c r="H277" s="3"/>
      <c r="I277" s="3"/>
      <c r="J277" s="3"/>
    </row>
    <row r="278" spans="3:10" ht="15" hidden="1" x14ac:dyDescent="0.25">
      <c r="C278" s="3"/>
      <c r="D278" s="3"/>
      <c r="E278" s="3"/>
      <c r="F278" s="3"/>
      <c r="G278" s="3"/>
      <c r="H278" s="3"/>
      <c r="I278" s="3"/>
      <c r="J278" s="3"/>
    </row>
    <row r="279" spans="3:10" ht="15" hidden="1" x14ac:dyDescent="0.25">
      <c r="C279" s="3"/>
      <c r="D279" s="3"/>
      <c r="E279" s="3"/>
      <c r="F279" s="3"/>
      <c r="G279" s="3"/>
      <c r="H279" s="3"/>
      <c r="I279" s="3"/>
      <c r="J279" s="3"/>
    </row>
    <row r="280" spans="3:10" ht="15" hidden="1" x14ac:dyDescent="0.25">
      <c r="C280" s="3"/>
      <c r="D280" s="3"/>
      <c r="E280" s="3"/>
      <c r="F280" s="3"/>
      <c r="G280" s="3"/>
      <c r="H280" s="3"/>
      <c r="I280" s="3"/>
      <c r="J280" s="3"/>
    </row>
    <row r="281" spans="3:10" ht="15" hidden="1" x14ac:dyDescent="0.25">
      <c r="C281" s="3"/>
      <c r="D281" s="3"/>
      <c r="E281" s="3"/>
      <c r="F281" s="3"/>
      <c r="G281" s="3"/>
      <c r="H281" s="3"/>
      <c r="I281" s="3"/>
      <c r="J281" s="3"/>
    </row>
    <row r="282" spans="3:10" ht="15" hidden="1" x14ac:dyDescent="0.25">
      <c r="C282" s="3"/>
      <c r="D282" s="3"/>
      <c r="E282" s="3"/>
      <c r="F282" s="3"/>
      <c r="G282" s="3"/>
      <c r="H282" s="3"/>
      <c r="I282" s="3"/>
      <c r="J282" s="3"/>
    </row>
    <row r="283" spans="3:10" ht="15" hidden="1" x14ac:dyDescent="0.25">
      <c r="C283" s="3"/>
      <c r="D283" s="3"/>
      <c r="E283" s="3"/>
      <c r="F283" s="3"/>
      <c r="G283" s="3"/>
      <c r="H283" s="3"/>
      <c r="I283" s="3"/>
      <c r="J283" s="3"/>
    </row>
    <row r="284" spans="3:10" ht="15" hidden="1" x14ac:dyDescent="0.25">
      <c r="C284" s="3"/>
      <c r="D284" s="3"/>
      <c r="E284" s="3"/>
      <c r="F284" s="3"/>
      <c r="G284" s="3"/>
      <c r="H284" s="3"/>
      <c r="I284" s="3"/>
      <c r="J284" s="3"/>
    </row>
    <row r="285" spans="3:10" ht="15" hidden="1" x14ac:dyDescent="0.25">
      <c r="C285" s="3"/>
      <c r="D285" s="3"/>
      <c r="E285" s="3"/>
      <c r="F285" s="3"/>
      <c r="G285" s="3"/>
      <c r="H285" s="3"/>
      <c r="I285" s="3"/>
      <c r="J285" s="3"/>
    </row>
    <row r="286" spans="3:10" ht="15" hidden="1" x14ac:dyDescent="0.25">
      <c r="C286" s="3"/>
      <c r="D286" s="3"/>
      <c r="E286" s="3"/>
      <c r="F286" s="3"/>
      <c r="G286" s="3"/>
      <c r="H286" s="3"/>
      <c r="I286" s="3"/>
      <c r="J286" s="3"/>
    </row>
    <row r="287" spans="3:10" ht="15" hidden="1" x14ac:dyDescent="0.25">
      <c r="C287" s="3"/>
      <c r="D287" s="3"/>
      <c r="E287" s="3"/>
      <c r="F287" s="3"/>
      <c r="G287" s="3"/>
      <c r="H287" s="3"/>
      <c r="I287" s="3"/>
      <c r="J287" s="3"/>
    </row>
    <row r="288" spans="3:10" ht="15" hidden="1" x14ac:dyDescent="0.25">
      <c r="C288" s="3"/>
      <c r="D288" s="3"/>
      <c r="E288" s="3"/>
      <c r="F288" s="3"/>
      <c r="G288" s="3"/>
      <c r="H288" s="3"/>
      <c r="I288" s="3"/>
      <c r="J288" s="3"/>
    </row>
    <row r="289" spans="3:10" ht="15" hidden="1" x14ac:dyDescent="0.25">
      <c r="C289" s="3"/>
      <c r="D289" s="3"/>
      <c r="E289" s="3"/>
      <c r="F289" s="3"/>
      <c r="G289" s="3"/>
      <c r="H289" s="3"/>
      <c r="I289" s="3"/>
      <c r="J289" s="3"/>
    </row>
    <row r="290" spans="3:10" ht="15" hidden="1" x14ac:dyDescent="0.25">
      <c r="C290" s="3"/>
      <c r="D290" s="3"/>
      <c r="E290" s="3"/>
      <c r="F290" s="3"/>
      <c r="G290" s="3"/>
      <c r="H290" s="3"/>
      <c r="I290" s="3"/>
      <c r="J290" s="3"/>
    </row>
    <row r="291" spans="3:10" ht="15" hidden="1" x14ac:dyDescent="0.25">
      <c r="C291" s="3"/>
      <c r="D291" s="3"/>
      <c r="E291" s="3"/>
      <c r="F291" s="3"/>
      <c r="G291" s="3"/>
      <c r="H291" s="3"/>
      <c r="I291" s="3"/>
      <c r="J291" s="3"/>
    </row>
    <row r="292" spans="3:10" ht="15" hidden="1" x14ac:dyDescent="0.25">
      <c r="C292" s="3"/>
      <c r="D292" s="3"/>
      <c r="E292" s="3"/>
      <c r="F292" s="3"/>
      <c r="G292" s="3"/>
      <c r="H292" s="3"/>
      <c r="I292" s="3"/>
      <c r="J292" s="3"/>
    </row>
    <row r="293" spans="3:10" ht="15" hidden="1" x14ac:dyDescent="0.25">
      <c r="C293" s="3"/>
      <c r="D293" s="3"/>
      <c r="E293" s="3"/>
      <c r="F293" s="3"/>
      <c r="G293" s="3"/>
      <c r="H293" s="3"/>
      <c r="I293" s="3"/>
      <c r="J293" s="3"/>
    </row>
    <row r="294" spans="3:10" ht="15" hidden="1" x14ac:dyDescent="0.25">
      <c r="C294" s="3"/>
      <c r="D294" s="3"/>
      <c r="E294" s="3"/>
      <c r="F294" s="3"/>
      <c r="G294" s="3"/>
      <c r="H294" s="3"/>
      <c r="I294" s="3"/>
      <c r="J294" s="3"/>
    </row>
    <row r="295" spans="3:10" ht="15" hidden="1" x14ac:dyDescent="0.25">
      <c r="C295" s="3"/>
      <c r="D295" s="3"/>
      <c r="E295" s="3"/>
      <c r="F295" s="3"/>
      <c r="G295" s="3"/>
      <c r="H295" s="3"/>
      <c r="I295" s="3"/>
      <c r="J295" s="3"/>
    </row>
    <row r="296" spans="3:10" ht="15" hidden="1" x14ac:dyDescent="0.25">
      <c r="C296" s="3"/>
      <c r="D296" s="3"/>
      <c r="E296" s="3"/>
      <c r="F296" s="3"/>
      <c r="G296" s="3"/>
      <c r="H296" s="3"/>
      <c r="I296" s="3"/>
      <c r="J296" s="3"/>
    </row>
    <row r="297" spans="3:10" ht="15" hidden="1" x14ac:dyDescent="0.25">
      <c r="C297" s="3"/>
      <c r="D297" s="3"/>
      <c r="E297" s="3"/>
      <c r="F297" s="3"/>
      <c r="G297" s="3"/>
      <c r="H297" s="3"/>
      <c r="I297" s="3"/>
      <c r="J297" s="3"/>
    </row>
    <row r="298" spans="3:10" ht="15" hidden="1" x14ac:dyDescent="0.25">
      <c r="C298" s="3"/>
      <c r="D298" s="3"/>
      <c r="E298" s="3"/>
      <c r="F298" s="3"/>
      <c r="G298" s="3"/>
      <c r="H298" s="3"/>
      <c r="I298" s="3"/>
      <c r="J298" s="3"/>
    </row>
    <row r="299" spans="3:10" ht="15" hidden="1" x14ac:dyDescent="0.25">
      <c r="C299" s="3"/>
      <c r="D299" s="3"/>
      <c r="E299" s="3"/>
      <c r="F299" s="3"/>
      <c r="G299" s="3"/>
      <c r="H299" s="3"/>
      <c r="I299" s="3"/>
      <c r="J299" s="3"/>
    </row>
    <row r="300" spans="3:10" ht="15" hidden="1" x14ac:dyDescent="0.25">
      <c r="C300" s="3"/>
      <c r="D300" s="3"/>
      <c r="E300" s="3"/>
      <c r="F300" s="3"/>
      <c r="G300" s="3"/>
      <c r="H300" s="3"/>
      <c r="I300" s="3"/>
      <c r="J300" s="3"/>
    </row>
    <row r="301" spans="3:10" ht="15" hidden="1" x14ac:dyDescent="0.25">
      <c r="C301" s="3"/>
      <c r="D301" s="3"/>
      <c r="E301" s="3"/>
      <c r="F301" s="3"/>
      <c r="G301" s="3"/>
      <c r="H301" s="3"/>
      <c r="I301" s="3"/>
      <c r="J301" s="3"/>
    </row>
    <row r="302" spans="3:10" ht="15" hidden="1" x14ac:dyDescent="0.25">
      <c r="C302" s="3"/>
      <c r="D302" s="3"/>
      <c r="E302" s="3"/>
      <c r="F302" s="3"/>
      <c r="G302" s="3"/>
      <c r="H302" s="3"/>
      <c r="I302" s="3"/>
      <c r="J302" s="3"/>
    </row>
    <row r="303" spans="3:10" ht="15" hidden="1" x14ac:dyDescent="0.25">
      <c r="C303" s="3"/>
      <c r="D303" s="3"/>
      <c r="E303" s="3"/>
      <c r="F303" s="3"/>
      <c r="G303" s="3"/>
      <c r="H303" s="3"/>
      <c r="I303" s="3"/>
      <c r="J303" s="3"/>
    </row>
    <row r="304" spans="3:10" ht="15" hidden="1" x14ac:dyDescent="0.25">
      <c r="C304" s="3"/>
      <c r="D304" s="3"/>
      <c r="E304" s="3"/>
      <c r="F304" s="3"/>
      <c r="G304" s="3"/>
      <c r="H304" s="3"/>
      <c r="I304" s="3"/>
      <c r="J304" s="3"/>
    </row>
    <row r="305" spans="3:10" ht="15" hidden="1" x14ac:dyDescent="0.25">
      <c r="C305" s="3"/>
      <c r="D305" s="3"/>
      <c r="E305" s="3"/>
      <c r="F305" s="3"/>
      <c r="G305" s="3"/>
      <c r="H305" s="3"/>
      <c r="I305" s="3"/>
      <c r="J305" s="3"/>
    </row>
    <row r="306" spans="3:10" ht="15" hidden="1" x14ac:dyDescent="0.25">
      <c r="C306" s="3"/>
      <c r="D306" s="3"/>
      <c r="E306" s="3"/>
      <c r="F306" s="3"/>
      <c r="G306" s="3"/>
      <c r="H306" s="3"/>
      <c r="I306" s="3"/>
      <c r="J306" s="3"/>
    </row>
    <row r="307" spans="3:10" ht="15" hidden="1" x14ac:dyDescent="0.25">
      <c r="C307" s="3"/>
      <c r="D307" s="3"/>
      <c r="E307" s="3"/>
      <c r="F307" s="3"/>
      <c r="G307" s="3"/>
      <c r="H307" s="3"/>
      <c r="I307" s="3"/>
      <c r="J307" s="3"/>
    </row>
    <row r="308" spans="3:10" ht="15" hidden="1" x14ac:dyDescent="0.25">
      <c r="C308" s="3"/>
      <c r="D308" s="3"/>
      <c r="E308" s="3"/>
      <c r="F308" s="3"/>
      <c r="G308" s="3"/>
      <c r="H308" s="3"/>
      <c r="I308" s="3"/>
      <c r="J308" s="3"/>
    </row>
    <row r="309" spans="3:10" ht="15" hidden="1" x14ac:dyDescent="0.25">
      <c r="C309" s="3"/>
      <c r="D309" s="3"/>
      <c r="E309" s="3"/>
      <c r="F309" s="3"/>
      <c r="G309" s="3"/>
      <c r="H309" s="3"/>
      <c r="I309" s="3"/>
      <c r="J309" s="3"/>
    </row>
    <row r="310" spans="3:10" ht="15" hidden="1" x14ac:dyDescent="0.25">
      <c r="C310" s="3"/>
      <c r="D310" s="3"/>
      <c r="E310" s="3"/>
      <c r="F310" s="3"/>
      <c r="G310" s="3"/>
      <c r="H310" s="3"/>
      <c r="I310" s="3"/>
      <c r="J310" s="3"/>
    </row>
    <row r="311" spans="3:10" ht="15" hidden="1" x14ac:dyDescent="0.25">
      <c r="C311" s="3"/>
      <c r="D311" s="3"/>
      <c r="E311" s="3"/>
      <c r="F311" s="3"/>
      <c r="G311" s="3"/>
      <c r="H311" s="3"/>
      <c r="I311" s="3"/>
      <c r="J311" s="3"/>
    </row>
    <row r="312" spans="3:10" ht="15" hidden="1" x14ac:dyDescent="0.25">
      <c r="C312" s="3"/>
      <c r="D312" s="3"/>
      <c r="E312" s="3"/>
      <c r="F312" s="3"/>
      <c r="G312" s="3"/>
      <c r="H312" s="3"/>
      <c r="I312" s="3"/>
      <c r="J312" s="3"/>
    </row>
    <row r="313" spans="3:10" ht="15" hidden="1" x14ac:dyDescent="0.25">
      <c r="C313" s="3"/>
      <c r="D313" s="3"/>
      <c r="E313" s="3"/>
      <c r="F313" s="3"/>
      <c r="G313" s="3"/>
      <c r="H313" s="3"/>
      <c r="I313" s="3"/>
      <c r="J313" s="3"/>
    </row>
    <row r="314" spans="3:10" ht="15" hidden="1" x14ac:dyDescent="0.25">
      <c r="C314" s="3"/>
      <c r="D314" s="3"/>
      <c r="E314" s="3"/>
      <c r="F314" s="3"/>
      <c r="G314" s="3"/>
      <c r="H314" s="3"/>
      <c r="I314" s="3"/>
      <c r="J314" s="3"/>
    </row>
    <row r="315" spans="3:10" ht="15" hidden="1" x14ac:dyDescent="0.25">
      <c r="C315" s="3"/>
      <c r="D315" s="3"/>
      <c r="E315" s="3"/>
      <c r="F315" s="3"/>
      <c r="G315" s="3"/>
      <c r="H315" s="3"/>
      <c r="I315" s="3"/>
      <c r="J315" s="3"/>
    </row>
    <row r="316" spans="3:10" ht="15" hidden="1" x14ac:dyDescent="0.25">
      <c r="C316" s="3"/>
      <c r="D316" s="3"/>
      <c r="E316" s="3"/>
      <c r="F316" s="3"/>
      <c r="G316" s="3"/>
      <c r="H316" s="3"/>
      <c r="I316" s="3"/>
      <c r="J316" s="3"/>
    </row>
    <row r="317" spans="3:10" ht="15" hidden="1" x14ac:dyDescent="0.25">
      <c r="C317" s="3"/>
      <c r="D317" s="3"/>
      <c r="E317" s="3"/>
      <c r="F317" s="3"/>
      <c r="G317" s="3"/>
      <c r="H317" s="3"/>
      <c r="I317" s="3"/>
      <c r="J317" s="3"/>
    </row>
    <row r="318" spans="3:10" ht="15" hidden="1" x14ac:dyDescent="0.25">
      <c r="C318" s="3"/>
      <c r="D318" s="3"/>
      <c r="E318" s="3"/>
      <c r="F318" s="3"/>
      <c r="G318" s="3"/>
      <c r="H318" s="3"/>
      <c r="I318" s="3"/>
      <c r="J318" s="3"/>
    </row>
    <row r="319" spans="3:10" ht="15" hidden="1" x14ac:dyDescent="0.25">
      <c r="C319" s="3"/>
      <c r="D319" s="3"/>
      <c r="E319" s="3"/>
      <c r="F319" s="3"/>
      <c r="G319" s="3"/>
      <c r="H319" s="3"/>
      <c r="I319" s="3"/>
      <c r="J319" s="3"/>
    </row>
    <row r="320" spans="3:10" ht="15" hidden="1" x14ac:dyDescent="0.25">
      <c r="C320" s="3"/>
      <c r="D320" s="3"/>
      <c r="E320" s="3"/>
      <c r="F320" s="3"/>
      <c r="G320" s="3"/>
      <c r="H320" s="3"/>
      <c r="I320" s="3"/>
      <c r="J320" s="3"/>
    </row>
    <row r="321" spans="3:10" ht="15" hidden="1" x14ac:dyDescent="0.25">
      <c r="C321" s="3"/>
      <c r="D321" s="3"/>
      <c r="E321" s="3"/>
      <c r="F321" s="3"/>
      <c r="G321" s="3"/>
      <c r="H321" s="3"/>
      <c r="I321" s="3"/>
      <c r="J321" s="3"/>
    </row>
    <row r="322" spans="3:10" ht="15" hidden="1" x14ac:dyDescent="0.25">
      <c r="C322" s="3"/>
      <c r="D322" s="3"/>
      <c r="E322" s="3"/>
      <c r="F322" s="3"/>
      <c r="G322" s="3"/>
      <c r="H322" s="3"/>
      <c r="I322" s="3"/>
      <c r="J322" s="3"/>
    </row>
    <row r="323" spans="3:10" ht="15" hidden="1" x14ac:dyDescent="0.25">
      <c r="C323" s="3"/>
      <c r="D323" s="3"/>
      <c r="E323" s="3"/>
      <c r="F323" s="3"/>
      <c r="G323" s="3"/>
      <c r="H323" s="3"/>
      <c r="I323" s="3"/>
      <c r="J323" s="3"/>
    </row>
    <row r="324" spans="3:10" ht="15" hidden="1" x14ac:dyDescent="0.25">
      <c r="C324" s="3"/>
      <c r="D324" s="3"/>
      <c r="E324" s="3"/>
      <c r="F324" s="3"/>
      <c r="G324" s="3"/>
      <c r="H324" s="3"/>
      <c r="I324" s="3"/>
      <c r="J324" s="3"/>
    </row>
    <row r="325" spans="3:10" ht="15" hidden="1" x14ac:dyDescent="0.25">
      <c r="C325" s="3"/>
      <c r="D325" s="3"/>
      <c r="E325" s="3"/>
      <c r="F325" s="3"/>
      <c r="G325" s="3"/>
      <c r="H325" s="3"/>
      <c r="I325" s="3"/>
      <c r="J325" s="3"/>
    </row>
    <row r="326" spans="3:10" ht="15" hidden="1" x14ac:dyDescent="0.25">
      <c r="C326" s="3"/>
      <c r="D326" s="3"/>
      <c r="E326" s="3"/>
      <c r="F326" s="3"/>
      <c r="G326" s="3"/>
      <c r="H326" s="3"/>
      <c r="I326" s="3"/>
      <c r="J326" s="3"/>
    </row>
    <row r="327" spans="3:10" ht="15" hidden="1" x14ac:dyDescent="0.25">
      <c r="C327" s="3"/>
      <c r="D327" s="3"/>
      <c r="E327" s="3"/>
      <c r="F327" s="3"/>
      <c r="G327" s="3"/>
      <c r="H327" s="3"/>
      <c r="I327" s="3"/>
      <c r="J327" s="3"/>
    </row>
    <row r="328" spans="3:10" ht="15" hidden="1" x14ac:dyDescent="0.25">
      <c r="C328" s="3"/>
      <c r="D328" s="3"/>
      <c r="E328" s="3"/>
      <c r="F328" s="3"/>
      <c r="G328" s="3"/>
      <c r="H328" s="3"/>
      <c r="I328" s="3"/>
      <c r="J328" s="3"/>
    </row>
    <row r="329" spans="3:10" ht="15" hidden="1" x14ac:dyDescent="0.25">
      <c r="C329" s="3"/>
      <c r="D329" s="3"/>
      <c r="E329" s="3"/>
      <c r="F329" s="3"/>
      <c r="G329" s="3"/>
      <c r="H329" s="3"/>
      <c r="I329" s="3"/>
      <c r="J329" s="3"/>
    </row>
    <row r="330" spans="3:10" ht="15" hidden="1" x14ac:dyDescent="0.25">
      <c r="C330" s="3"/>
      <c r="D330" s="3"/>
      <c r="E330" s="3"/>
      <c r="F330" s="3"/>
      <c r="G330" s="3"/>
      <c r="H330" s="3"/>
      <c r="I330" s="3"/>
      <c r="J330" s="3"/>
    </row>
    <row r="331" spans="3:10" ht="15" hidden="1" x14ac:dyDescent="0.25">
      <c r="C331" s="3"/>
      <c r="D331" s="3"/>
      <c r="E331" s="3"/>
      <c r="F331" s="3"/>
      <c r="G331" s="3"/>
      <c r="H331" s="3"/>
      <c r="I331" s="3"/>
      <c r="J331" s="3"/>
    </row>
    <row r="332" spans="3:10" ht="15" hidden="1" x14ac:dyDescent="0.25">
      <c r="C332" s="3"/>
      <c r="D332" s="3"/>
      <c r="E332" s="3"/>
      <c r="F332" s="3"/>
      <c r="G332" s="3"/>
      <c r="H332" s="3"/>
      <c r="I332" s="3"/>
      <c r="J332" s="3"/>
    </row>
    <row r="333" spans="3:10" ht="15" hidden="1" x14ac:dyDescent="0.25">
      <c r="C333" s="3"/>
      <c r="D333" s="3"/>
      <c r="E333" s="3"/>
      <c r="F333" s="3"/>
      <c r="G333" s="3"/>
      <c r="H333" s="3"/>
      <c r="I333" s="3"/>
      <c r="J333" s="3"/>
    </row>
    <row r="334" spans="3:10" ht="15" hidden="1" x14ac:dyDescent="0.25">
      <c r="C334" s="3"/>
      <c r="D334" s="3"/>
      <c r="E334" s="3"/>
      <c r="F334" s="3"/>
      <c r="G334" s="3"/>
      <c r="H334" s="3"/>
      <c r="I334" s="3"/>
      <c r="J334" s="3"/>
    </row>
    <row r="335" spans="3:10" ht="15" hidden="1" x14ac:dyDescent="0.25">
      <c r="C335" s="3"/>
      <c r="D335" s="3"/>
      <c r="E335" s="3"/>
      <c r="F335" s="3"/>
      <c r="G335" s="3"/>
      <c r="H335" s="3"/>
      <c r="I335" s="3"/>
      <c r="J335" s="3"/>
    </row>
    <row r="336" spans="3:10" ht="15" hidden="1" x14ac:dyDescent="0.25">
      <c r="C336" s="3"/>
      <c r="D336" s="3"/>
      <c r="E336" s="3"/>
      <c r="F336" s="3"/>
      <c r="G336" s="3"/>
      <c r="H336" s="3"/>
      <c r="I336" s="3"/>
      <c r="J336" s="3"/>
    </row>
    <row r="337" spans="3:10" ht="15" hidden="1" x14ac:dyDescent="0.25">
      <c r="C337" s="3"/>
      <c r="D337" s="3"/>
      <c r="E337" s="3"/>
      <c r="F337" s="3"/>
      <c r="G337" s="3"/>
      <c r="H337" s="3"/>
      <c r="I337" s="3"/>
      <c r="J337" s="3"/>
    </row>
    <row r="338" spans="3:10" ht="15" hidden="1" x14ac:dyDescent="0.25">
      <c r="C338" s="3"/>
      <c r="D338" s="3"/>
      <c r="E338" s="3"/>
      <c r="F338" s="3"/>
      <c r="G338" s="3"/>
      <c r="H338" s="3"/>
      <c r="I338" s="3"/>
      <c r="J338" s="3"/>
    </row>
    <row r="339" spans="3:10" ht="15" hidden="1" x14ac:dyDescent="0.25">
      <c r="C339" s="3"/>
      <c r="D339" s="3"/>
      <c r="E339" s="3"/>
      <c r="F339" s="3"/>
      <c r="G339" s="3"/>
      <c r="H339" s="3"/>
      <c r="I339" s="3"/>
      <c r="J339" s="3"/>
    </row>
    <row r="340" spans="3:10" ht="15" hidden="1" x14ac:dyDescent="0.25">
      <c r="C340" s="3"/>
      <c r="D340" s="3"/>
      <c r="E340" s="3"/>
      <c r="F340" s="3"/>
      <c r="G340" s="3"/>
      <c r="H340" s="3"/>
      <c r="I340" s="3"/>
      <c r="J340" s="3"/>
    </row>
    <row r="341" spans="3:10" ht="15" hidden="1" x14ac:dyDescent="0.25">
      <c r="C341" s="3"/>
      <c r="D341" s="3"/>
      <c r="E341" s="3"/>
      <c r="F341" s="3"/>
      <c r="G341" s="3"/>
      <c r="H341" s="3"/>
      <c r="I341" s="3"/>
      <c r="J341" s="3"/>
    </row>
    <row r="342" spans="3:10" ht="15" hidden="1" x14ac:dyDescent="0.25">
      <c r="C342" s="3"/>
      <c r="D342" s="3"/>
      <c r="E342" s="3"/>
      <c r="F342" s="3"/>
      <c r="G342" s="3"/>
      <c r="H342" s="3"/>
      <c r="I342" s="3"/>
      <c r="J342" s="3"/>
    </row>
    <row r="343" spans="3:10" ht="15" hidden="1" x14ac:dyDescent="0.25">
      <c r="C343" s="3"/>
      <c r="D343" s="3"/>
      <c r="E343" s="3"/>
      <c r="F343" s="3"/>
      <c r="G343" s="3"/>
      <c r="H343" s="3"/>
      <c r="I343" s="3"/>
      <c r="J343" s="3"/>
    </row>
    <row r="344" spans="3:10" ht="15" hidden="1" x14ac:dyDescent="0.25">
      <c r="C344" s="3"/>
      <c r="D344" s="3"/>
      <c r="E344" s="3"/>
      <c r="F344" s="3"/>
      <c r="G344" s="3"/>
      <c r="H344" s="3"/>
      <c r="I344" s="3"/>
      <c r="J344" s="3"/>
    </row>
    <row r="345" spans="3:10" ht="15" hidden="1" x14ac:dyDescent="0.25">
      <c r="C345" s="3"/>
      <c r="D345" s="3"/>
      <c r="E345" s="3"/>
      <c r="F345" s="3"/>
      <c r="G345" s="3"/>
      <c r="H345" s="3"/>
      <c r="I345" s="3"/>
      <c r="J345" s="3"/>
    </row>
    <row r="346" spans="3:10" ht="15" hidden="1" x14ac:dyDescent="0.25">
      <c r="C346" s="3"/>
      <c r="D346" s="3"/>
      <c r="E346" s="3"/>
      <c r="F346" s="3"/>
      <c r="G346" s="3"/>
      <c r="H346" s="3"/>
      <c r="I346" s="3"/>
      <c r="J346" s="3"/>
    </row>
    <row r="347" spans="3:10" ht="15" hidden="1" x14ac:dyDescent="0.25">
      <c r="C347" s="3"/>
      <c r="D347" s="3"/>
      <c r="E347" s="3"/>
      <c r="F347" s="3"/>
      <c r="G347" s="3"/>
      <c r="H347" s="3"/>
      <c r="I347" s="3"/>
      <c r="J347" s="3"/>
    </row>
    <row r="348" spans="3:10" ht="15" hidden="1" x14ac:dyDescent="0.25">
      <c r="C348" s="3"/>
      <c r="D348" s="3"/>
      <c r="E348" s="3"/>
      <c r="F348" s="3"/>
      <c r="G348" s="3"/>
      <c r="H348" s="3"/>
      <c r="I348" s="3"/>
      <c r="J348" s="3"/>
    </row>
    <row r="349" spans="3:10" ht="15" hidden="1" x14ac:dyDescent="0.25">
      <c r="C349" s="3"/>
      <c r="D349" s="3"/>
      <c r="E349" s="3"/>
      <c r="F349" s="3"/>
      <c r="G349" s="3"/>
      <c r="H349" s="3"/>
      <c r="I349" s="3"/>
      <c r="J349" s="3"/>
    </row>
    <row r="350" spans="3:10" ht="15" hidden="1" x14ac:dyDescent="0.25">
      <c r="C350" s="3"/>
      <c r="D350" s="3"/>
      <c r="E350" s="3"/>
      <c r="F350" s="3"/>
      <c r="G350" s="3"/>
      <c r="H350" s="3"/>
      <c r="I350" s="3"/>
      <c r="J350" s="3"/>
    </row>
    <row r="351" spans="3:10" ht="15" hidden="1" x14ac:dyDescent="0.25">
      <c r="C351" s="3"/>
      <c r="D351" s="3"/>
      <c r="E351" s="3"/>
      <c r="F351" s="3"/>
      <c r="G351" s="3"/>
      <c r="H351" s="3"/>
      <c r="I351" s="3"/>
      <c r="J351" s="3"/>
    </row>
    <row r="352" spans="3:10" ht="15" hidden="1" x14ac:dyDescent="0.25">
      <c r="C352" s="3"/>
      <c r="D352" s="3"/>
      <c r="E352" s="3"/>
      <c r="F352" s="3"/>
      <c r="G352" s="3"/>
      <c r="H352" s="3"/>
      <c r="I352" s="3"/>
      <c r="J352" s="3"/>
    </row>
    <row r="353" spans="3:10" ht="15" hidden="1" x14ac:dyDescent="0.25">
      <c r="C353" s="3"/>
      <c r="D353" s="3"/>
      <c r="E353" s="3"/>
      <c r="F353" s="3"/>
      <c r="G353" s="3"/>
      <c r="H353" s="3"/>
      <c r="I353" s="3"/>
      <c r="J353" s="3"/>
    </row>
    <row r="354" spans="3:10" ht="15" hidden="1" x14ac:dyDescent="0.25">
      <c r="C354" s="3"/>
      <c r="D354" s="3"/>
      <c r="E354" s="3"/>
      <c r="F354" s="3"/>
      <c r="G354" s="3"/>
      <c r="H354" s="3"/>
      <c r="I354" s="3"/>
      <c r="J354" s="3"/>
    </row>
    <row r="355" spans="3:10" ht="15" hidden="1" x14ac:dyDescent="0.25">
      <c r="C355" s="3"/>
      <c r="D355" s="3"/>
      <c r="E355" s="3"/>
      <c r="F355" s="3"/>
      <c r="G355" s="3"/>
      <c r="H355" s="3"/>
      <c r="I355" s="3"/>
      <c r="J355" s="3"/>
    </row>
    <row r="356" spans="3:10" ht="15" hidden="1" x14ac:dyDescent="0.25">
      <c r="C356" s="3"/>
      <c r="D356" s="3"/>
      <c r="E356" s="3"/>
      <c r="F356" s="3"/>
      <c r="G356" s="3"/>
      <c r="H356" s="3"/>
      <c r="I356" s="3"/>
      <c r="J356" s="3"/>
    </row>
    <row r="357" spans="3:10" ht="15" hidden="1" x14ac:dyDescent="0.25">
      <c r="C357" s="3"/>
      <c r="D357" s="3"/>
      <c r="E357" s="3"/>
      <c r="F357" s="3"/>
      <c r="G357" s="3"/>
      <c r="H357" s="3"/>
      <c r="I357" s="3"/>
      <c r="J357" s="3"/>
    </row>
    <row r="358" spans="3:10" ht="15" hidden="1" x14ac:dyDescent="0.25">
      <c r="C358" s="3"/>
      <c r="D358" s="3"/>
      <c r="E358" s="3"/>
      <c r="F358" s="3"/>
      <c r="G358" s="3"/>
      <c r="H358" s="3"/>
      <c r="I358" s="3"/>
      <c r="J358" s="3"/>
    </row>
    <row r="359" spans="3:10" ht="15" hidden="1" x14ac:dyDescent="0.25">
      <c r="C359" s="3"/>
      <c r="D359" s="3"/>
      <c r="E359" s="3"/>
      <c r="F359" s="3"/>
      <c r="G359" s="3"/>
      <c r="H359" s="3"/>
      <c r="I359" s="3"/>
      <c r="J359" s="3"/>
    </row>
    <row r="360" spans="3:10" ht="15" hidden="1" x14ac:dyDescent="0.25">
      <c r="C360" s="3"/>
      <c r="D360" s="3"/>
      <c r="E360" s="3"/>
      <c r="F360" s="3"/>
      <c r="G360" s="3"/>
      <c r="H360" s="3"/>
      <c r="I360" s="3"/>
      <c r="J360" s="3"/>
    </row>
    <row r="361" spans="3:10" ht="15" hidden="1" x14ac:dyDescent="0.25">
      <c r="C361" s="3"/>
      <c r="D361" s="3"/>
      <c r="E361" s="3"/>
      <c r="F361" s="3"/>
      <c r="G361" s="3"/>
      <c r="H361" s="3"/>
      <c r="I361" s="3"/>
      <c r="J361" s="3"/>
    </row>
    <row r="362" spans="3:10" ht="15" hidden="1" x14ac:dyDescent="0.25">
      <c r="C362" s="3"/>
      <c r="D362" s="3"/>
      <c r="E362" s="3"/>
      <c r="F362" s="3"/>
      <c r="G362" s="3"/>
      <c r="H362" s="3"/>
      <c r="I362" s="3"/>
      <c r="J362" s="3"/>
    </row>
    <row r="363" spans="3:10" ht="15" hidden="1" x14ac:dyDescent="0.25">
      <c r="C363" s="3"/>
      <c r="D363" s="3"/>
      <c r="E363" s="3"/>
      <c r="F363" s="3"/>
      <c r="G363" s="3"/>
      <c r="H363" s="3"/>
      <c r="I363" s="3"/>
      <c r="J363" s="3"/>
    </row>
    <row r="364" spans="3:10" ht="15" hidden="1" x14ac:dyDescent="0.25">
      <c r="C364" s="3"/>
      <c r="D364" s="3"/>
      <c r="E364" s="3"/>
      <c r="F364" s="3"/>
      <c r="G364" s="3"/>
      <c r="H364" s="3"/>
      <c r="I364" s="3"/>
      <c r="J364" s="3"/>
    </row>
    <row r="365" spans="3:10" ht="15" hidden="1" x14ac:dyDescent="0.25">
      <c r="C365" s="3"/>
      <c r="D365" s="3"/>
      <c r="E365" s="3"/>
      <c r="F365" s="3"/>
      <c r="G365" s="3"/>
      <c r="H365" s="3"/>
      <c r="I365" s="3"/>
      <c r="J365" s="3"/>
    </row>
    <row r="366" spans="3:10" ht="15" hidden="1" x14ac:dyDescent="0.25">
      <c r="C366" s="3"/>
      <c r="D366" s="3"/>
      <c r="E366" s="3"/>
      <c r="F366" s="3"/>
      <c r="G366" s="3"/>
      <c r="H366" s="3"/>
      <c r="I366" s="3"/>
      <c r="J366" s="3"/>
    </row>
    <row r="367" spans="3:10" ht="15" hidden="1" x14ac:dyDescent="0.25">
      <c r="C367" s="3"/>
      <c r="D367" s="3"/>
      <c r="E367" s="3"/>
      <c r="F367" s="3"/>
      <c r="G367" s="3"/>
      <c r="H367" s="3"/>
      <c r="I367" s="3"/>
      <c r="J367" s="3"/>
    </row>
    <row r="368" spans="3:10" ht="15" hidden="1" x14ac:dyDescent="0.25">
      <c r="C368" s="3"/>
      <c r="D368" s="3"/>
      <c r="E368" s="3"/>
      <c r="F368" s="3"/>
      <c r="G368" s="3"/>
      <c r="H368" s="3"/>
      <c r="I368" s="3"/>
      <c r="J368" s="3"/>
    </row>
    <row r="369" spans="3:10" ht="15" hidden="1" x14ac:dyDescent="0.25">
      <c r="C369" s="3"/>
      <c r="D369" s="3"/>
      <c r="E369" s="3"/>
      <c r="F369" s="3"/>
      <c r="G369" s="3"/>
      <c r="H369" s="3"/>
      <c r="I369" s="3"/>
      <c r="J369" s="3"/>
    </row>
    <row r="370" spans="3:10" ht="15" hidden="1" x14ac:dyDescent="0.25">
      <c r="C370" s="3"/>
      <c r="D370" s="3"/>
      <c r="E370" s="3"/>
      <c r="F370" s="3"/>
      <c r="G370" s="3"/>
      <c r="H370" s="3"/>
      <c r="I370" s="3"/>
      <c r="J370" s="3"/>
    </row>
    <row r="371" spans="3:10" ht="15" hidden="1" x14ac:dyDescent="0.25">
      <c r="C371" s="3"/>
      <c r="D371" s="3"/>
      <c r="E371" s="3"/>
      <c r="F371" s="3"/>
      <c r="G371" s="3"/>
      <c r="H371" s="3"/>
      <c r="I371" s="3"/>
      <c r="J371" s="3"/>
    </row>
    <row r="372" spans="3:10" ht="15" hidden="1" x14ac:dyDescent="0.25">
      <c r="C372" s="3"/>
      <c r="D372" s="3"/>
      <c r="E372" s="3"/>
      <c r="F372" s="3"/>
      <c r="G372" s="3"/>
      <c r="H372" s="3"/>
      <c r="I372" s="3"/>
      <c r="J372" s="3"/>
    </row>
    <row r="373" spans="3:10" ht="15" hidden="1" x14ac:dyDescent="0.25">
      <c r="C373" s="3"/>
      <c r="D373" s="3"/>
      <c r="E373" s="3"/>
      <c r="F373" s="3"/>
      <c r="G373" s="3"/>
      <c r="H373" s="3"/>
      <c r="I373" s="3"/>
      <c r="J373" s="3"/>
    </row>
    <row r="374" spans="3:10" ht="15" hidden="1" x14ac:dyDescent="0.25">
      <c r="C374" s="3"/>
      <c r="D374" s="3"/>
      <c r="E374" s="3"/>
      <c r="F374" s="3"/>
      <c r="G374" s="3"/>
      <c r="H374" s="3"/>
      <c r="I374" s="3"/>
      <c r="J374" s="3"/>
    </row>
    <row r="375" spans="3:10" ht="15" hidden="1" x14ac:dyDescent="0.25">
      <c r="C375" s="3"/>
      <c r="D375" s="3"/>
      <c r="E375" s="3"/>
      <c r="F375" s="3"/>
      <c r="G375" s="3"/>
      <c r="H375" s="3"/>
      <c r="I375" s="3"/>
      <c r="J375" s="3"/>
    </row>
    <row r="376" spans="3:10" ht="15" hidden="1" x14ac:dyDescent="0.25">
      <c r="C376" s="3"/>
      <c r="D376" s="3"/>
      <c r="E376" s="3"/>
      <c r="F376" s="3"/>
      <c r="G376" s="3"/>
      <c r="H376" s="3"/>
      <c r="I376" s="3"/>
      <c r="J376" s="3"/>
    </row>
    <row r="377" spans="3:10" ht="15" hidden="1" x14ac:dyDescent="0.25">
      <c r="C377" s="3"/>
      <c r="D377" s="3"/>
      <c r="E377" s="3"/>
      <c r="F377" s="3"/>
      <c r="G377" s="3"/>
      <c r="H377" s="3"/>
      <c r="I377" s="3"/>
      <c r="J377" s="3"/>
    </row>
    <row r="378" spans="3:10" ht="15" hidden="1" x14ac:dyDescent="0.25">
      <c r="C378" s="3"/>
      <c r="D378" s="3"/>
      <c r="E378" s="3"/>
      <c r="F378" s="3"/>
      <c r="G378" s="3"/>
      <c r="H378" s="3"/>
      <c r="I378" s="3"/>
      <c r="J378" s="3"/>
    </row>
    <row r="379" spans="3:10" ht="15" hidden="1" x14ac:dyDescent="0.25">
      <c r="C379" s="3"/>
      <c r="D379" s="3"/>
      <c r="E379" s="3"/>
      <c r="F379" s="3"/>
      <c r="G379" s="3"/>
      <c r="H379" s="3"/>
      <c r="I379" s="3"/>
      <c r="J379" s="3"/>
    </row>
    <row r="380" spans="3:10" ht="15" hidden="1" x14ac:dyDescent="0.25">
      <c r="C380" s="3"/>
      <c r="D380" s="3"/>
      <c r="E380" s="3"/>
      <c r="F380" s="3"/>
      <c r="G380" s="3"/>
      <c r="H380" s="3"/>
      <c r="I380" s="3"/>
      <c r="J380" s="3"/>
    </row>
    <row r="381" spans="3:10" ht="15" hidden="1" x14ac:dyDescent="0.25">
      <c r="C381" s="3"/>
      <c r="D381" s="3"/>
      <c r="E381" s="3"/>
      <c r="F381" s="3"/>
      <c r="G381" s="3"/>
      <c r="H381" s="3"/>
      <c r="I381" s="3"/>
      <c r="J381" s="3"/>
    </row>
    <row r="382" spans="3:10" ht="15" hidden="1" x14ac:dyDescent="0.25">
      <c r="C382" s="3"/>
      <c r="D382" s="3"/>
      <c r="E382" s="3"/>
      <c r="F382" s="3"/>
      <c r="G382" s="3"/>
      <c r="H382" s="3"/>
      <c r="I382" s="3"/>
      <c r="J382" s="3"/>
    </row>
    <row r="383" spans="3:10" ht="15" hidden="1" x14ac:dyDescent="0.25">
      <c r="C383" s="3"/>
      <c r="D383" s="3"/>
      <c r="E383" s="3"/>
      <c r="F383" s="3"/>
      <c r="G383" s="3"/>
      <c r="H383" s="3"/>
      <c r="I383" s="3"/>
      <c r="J383" s="3"/>
    </row>
    <row r="384" spans="3:10" ht="15" hidden="1" x14ac:dyDescent="0.25">
      <c r="C384" s="3"/>
      <c r="D384" s="3"/>
      <c r="E384" s="3"/>
      <c r="F384" s="3"/>
      <c r="G384" s="3"/>
      <c r="H384" s="3"/>
      <c r="I384" s="3"/>
      <c r="J384" s="3"/>
    </row>
    <row r="385" spans="3:10" ht="15" hidden="1" x14ac:dyDescent="0.25">
      <c r="C385" s="3"/>
      <c r="D385" s="3"/>
      <c r="E385" s="3"/>
      <c r="F385" s="3"/>
      <c r="G385" s="3"/>
      <c r="H385" s="3"/>
      <c r="I385" s="3"/>
      <c r="J385" s="3"/>
    </row>
    <row r="386" spans="3:10" ht="15" hidden="1" x14ac:dyDescent="0.25">
      <c r="C386" s="3"/>
      <c r="D386" s="3"/>
      <c r="E386" s="3"/>
      <c r="F386" s="3"/>
      <c r="G386" s="3"/>
      <c r="H386" s="3"/>
      <c r="I386" s="3"/>
      <c r="J386" s="3"/>
    </row>
    <row r="387" spans="3:10" ht="15" hidden="1" x14ac:dyDescent="0.25">
      <c r="C387" s="3"/>
      <c r="D387" s="3"/>
      <c r="E387" s="3"/>
      <c r="F387" s="3"/>
      <c r="G387" s="3"/>
      <c r="H387" s="3"/>
      <c r="I387" s="3"/>
      <c r="J387" s="3"/>
    </row>
    <row r="388" spans="3:10" ht="15" hidden="1" x14ac:dyDescent="0.25">
      <c r="C388" s="3"/>
      <c r="D388" s="3"/>
      <c r="E388" s="3"/>
      <c r="F388" s="3"/>
      <c r="G388" s="3"/>
      <c r="H388" s="3"/>
      <c r="I388" s="3"/>
      <c r="J388" s="3"/>
    </row>
    <row r="389" spans="3:10" ht="15" hidden="1" x14ac:dyDescent="0.25">
      <c r="C389" s="3"/>
      <c r="D389" s="3"/>
      <c r="E389" s="3"/>
      <c r="F389" s="3"/>
      <c r="G389" s="3"/>
      <c r="H389" s="3"/>
      <c r="I389" s="3"/>
      <c r="J389" s="3"/>
    </row>
    <row r="390" spans="3:10" ht="15" hidden="1" x14ac:dyDescent="0.25">
      <c r="C390" s="3"/>
      <c r="D390" s="3"/>
      <c r="E390" s="3"/>
      <c r="F390" s="3"/>
      <c r="G390" s="3"/>
      <c r="H390" s="3"/>
      <c r="I390" s="3"/>
      <c r="J390" s="3"/>
    </row>
    <row r="391" spans="3:10" ht="15" hidden="1" x14ac:dyDescent="0.25">
      <c r="C391" s="3"/>
      <c r="D391" s="3"/>
      <c r="E391" s="3"/>
      <c r="F391" s="3"/>
      <c r="G391" s="3"/>
      <c r="H391" s="3"/>
      <c r="I391" s="3"/>
      <c r="J391" s="3"/>
    </row>
    <row r="392" spans="3:10" ht="15" hidden="1" x14ac:dyDescent="0.25">
      <c r="C392" s="3"/>
      <c r="D392" s="3"/>
      <c r="E392" s="3"/>
      <c r="F392" s="3"/>
      <c r="G392" s="3"/>
      <c r="H392" s="3"/>
      <c r="I392" s="3"/>
      <c r="J392" s="3"/>
    </row>
    <row r="393" spans="3:10" ht="15" hidden="1" x14ac:dyDescent="0.25">
      <c r="C393" s="3"/>
      <c r="D393" s="3"/>
      <c r="E393" s="3"/>
      <c r="F393" s="3"/>
      <c r="G393" s="3"/>
      <c r="H393" s="3"/>
      <c r="I393" s="3"/>
      <c r="J393" s="3"/>
    </row>
    <row r="394" spans="3:10" ht="15" hidden="1" x14ac:dyDescent="0.25">
      <c r="C394" s="3"/>
      <c r="D394" s="3"/>
      <c r="E394" s="3"/>
      <c r="F394" s="3"/>
      <c r="G394" s="3"/>
      <c r="H394" s="3"/>
      <c r="I394" s="3"/>
      <c r="J394" s="3"/>
    </row>
    <row r="395" spans="3:10" ht="15" hidden="1" x14ac:dyDescent="0.25">
      <c r="C395" s="3"/>
      <c r="D395" s="3"/>
      <c r="E395" s="3"/>
      <c r="F395" s="3"/>
      <c r="G395" s="3"/>
      <c r="H395" s="3"/>
      <c r="I395" s="3"/>
      <c r="J395" s="3"/>
    </row>
    <row r="396" spans="3:10" ht="15" hidden="1" x14ac:dyDescent="0.25">
      <c r="C396" s="3"/>
      <c r="D396" s="3"/>
      <c r="E396" s="3"/>
      <c r="F396" s="3"/>
      <c r="G396" s="3"/>
      <c r="H396" s="3"/>
      <c r="I396" s="3"/>
      <c r="J396" s="3"/>
    </row>
    <row r="397" spans="3:10" ht="15" hidden="1" x14ac:dyDescent="0.25">
      <c r="C397" s="3"/>
      <c r="D397" s="3"/>
      <c r="E397" s="3"/>
      <c r="F397" s="3"/>
      <c r="G397" s="3"/>
      <c r="H397" s="3"/>
      <c r="I397" s="3"/>
      <c r="J397" s="3"/>
    </row>
    <row r="398" spans="3:10" ht="15" hidden="1" x14ac:dyDescent="0.25">
      <c r="C398" s="3"/>
      <c r="D398" s="3"/>
      <c r="E398" s="3"/>
      <c r="F398" s="3"/>
      <c r="G398" s="3"/>
      <c r="H398" s="3"/>
      <c r="I398" s="3"/>
      <c r="J398" s="3"/>
    </row>
    <row r="399" spans="3:10" ht="15" hidden="1" x14ac:dyDescent="0.25">
      <c r="C399" s="3"/>
      <c r="D399" s="3"/>
      <c r="E399" s="3"/>
      <c r="F399" s="3"/>
      <c r="G399" s="3"/>
      <c r="H399" s="3"/>
      <c r="I399" s="3"/>
      <c r="J399" s="3"/>
    </row>
    <row r="400" spans="3:10" ht="15" hidden="1" x14ac:dyDescent="0.25">
      <c r="C400" s="3"/>
      <c r="D400" s="3"/>
      <c r="E400" s="3"/>
      <c r="F400" s="3"/>
      <c r="G400" s="3"/>
      <c r="H400" s="3"/>
      <c r="I400" s="3"/>
      <c r="J400" s="3"/>
    </row>
    <row r="401" spans="3:10" ht="15" hidden="1" x14ac:dyDescent="0.25">
      <c r="C401" s="3"/>
      <c r="D401" s="3"/>
      <c r="E401" s="3"/>
      <c r="F401" s="3"/>
      <c r="G401" s="3"/>
      <c r="H401" s="3"/>
      <c r="I401" s="3"/>
      <c r="J401" s="3"/>
    </row>
    <row r="402" spans="3:10" ht="15" hidden="1" x14ac:dyDescent="0.25">
      <c r="C402" s="3"/>
      <c r="D402" s="3"/>
      <c r="E402" s="3"/>
      <c r="F402" s="3"/>
      <c r="G402" s="3"/>
      <c r="H402" s="3"/>
      <c r="I402" s="3"/>
      <c r="J402" s="3"/>
    </row>
    <row r="403" spans="3:10" ht="15" hidden="1" x14ac:dyDescent="0.25">
      <c r="C403" s="3"/>
      <c r="D403" s="3"/>
      <c r="E403" s="3"/>
      <c r="F403" s="3"/>
      <c r="G403" s="3"/>
      <c r="H403" s="3"/>
      <c r="I403" s="3"/>
      <c r="J403" s="3"/>
    </row>
    <row r="404" spans="3:10" ht="15" hidden="1" x14ac:dyDescent="0.25">
      <c r="C404" s="3"/>
      <c r="D404" s="3"/>
      <c r="E404" s="3"/>
      <c r="F404" s="3"/>
      <c r="G404" s="3"/>
      <c r="H404" s="3"/>
      <c r="I404" s="3"/>
      <c r="J404" s="3"/>
    </row>
    <row r="405" spans="3:10" ht="15" hidden="1" x14ac:dyDescent="0.25">
      <c r="C405" s="3"/>
      <c r="D405" s="3"/>
      <c r="E405" s="3"/>
      <c r="F405" s="3"/>
      <c r="G405" s="3"/>
      <c r="H405" s="3"/>
      <c r="I405" s="3"/>
      <c r="J405" s="3"/>
    </row>
    <row r="406" spans="3:10" ht="15" hidden="1" x14ac:dyDescent="0.25">
      <c r="C406" s="3"/>
      <c r="D406" s="3"/>
      <c r="E406" s="3"/>
      <c r="F406" s="3"/>
      <c r="G406" s="3"/>
      <c r="H406" s="3"/>
      <c r="I406" s="3"/>
      <c r="J406" s="3"/>
    </row>
    <row r="407" spans="3:10" ht="15" hidden="1" x14ac:dyDescent="0.25">
      <c r="C407" s="3"/>
      <c r="D407" s="3"/>
      <c r="E407" s="3"/>
      <c r="F407" s="3"/>
      <c r="G407" s="3"/>
      <c r="H407" s="3"/>
      <c r="I407" s="3"/>
      <c r="J407" s="3"/>
    </row>
    <row r="408" spans="3:10" ht="15" hidden="1" x14ac:dyDescent="0.25">
      <c r="C408" s="3"/>
      <c r="D408" s="3"/>
      <c r="E408" s="3"/>
      <c r="F408" s="3"/>
      <c r="G408" s="3"/>
      <c r="H408" s="3"/>
      <c r="I408" s="3"/>
      <c r="J408" s="3"/>
    </row>
    <row r="409" spans="3:10" ht="15" hidden="1" x14ac:dyDescent="0.25">
      <c r="C409" s="3"/>
      <c r="D409" s="3"/>
      <c r="E409" s="3"/>
      <c r="F409" s="3"/>
      <c r="G409" s="3"/>
      <c r="H409" s="3"/>
      <c r="I409" s="3"/>
      <c r="J409" s="3"/>
    </row>
    <row r="410" spans="3:10" ht="15" hidden="1" x14ac:dyDescent="0.25">
      <c r="C410" s="3"/>
      <c r="D410" s="3"/>
      <c r="E410" s="3"/>
      <c r="F410" s="3"/>
      <c r="G410" s="3"/>
      <c r="H410" s="3"/>
      <c r="I410" s="3"/>
      <c r="J410" s="3"/>
    </row>
    <row r="411" spans="3:10" ht="15" hidden="1" x14ac:dyDescent="0.25">
      <c r="C411" s="3"/>
      <c r="D411" s="3"/>
      <c r="E411" s="3"/>
      <c r="F411" s="3"/>
      <c r="G411" s="3"/>
      <c r="H411" s="3"/>
      <c r="I411" s="3"/>
      <c r="J411" s="3"/>
    </row>
    <row r="412" spans="3:10" ht="15" hidden="1" x14ac:dyDescent="0.25">
      <c r="C412" s="3"/>
      <c r="D412" s="3"/>
      <c r="E412" s="3"/>
      <c r="F412" s="3"/>
      <c r="G412" s="3"/>
      <c r="H412" s="3"/>
      <c r="I412" s="3"/>
      <c r="J412" s="3"/>
    </row>
    <row r="413" spans="3:10" ht="15" hidden="1" x14ac:dyDescent="0.25">
      <c r="C413" s="3"/>
      <c r="D413" s="3"/>
      <c r="E413" s="3"/>
      <c r="F413" s="3"/>
      <c r="G413" s="3"/>
      <c r="H413" s="3"/>
      <c r="I413" s="3"/>
      <c r="J413" s="3"/>
    </row>
    <row r="414" spans="3:10" ht="15" hidden="1" x14ac:dyDescent="0.25">
      <c r="C414" s="3"/>
      <c r="D414" s="3"/>
      <c r="E414" s="3"/>
      <c r="F414" s="3"/>
      <c r="G414" s="3"/>
      <c r="H414" s="3"/>
      <c r="I414" s="3"/>
      <c r="J414" s="3"/>
    </row>
    <row r="415" spans="3:10" ht="15" hidden="1" x14ac:dyDescent="0.25">
      <c r="C415" s="3"/>
      <c r="D415" s="3"/>
      <c r="E415" s="3"/>
      <c r="F415" s="3"/>
      <c r="G415" s="3"/>
      <c r="H415" s="3"/>
      <c r="I415" s="3"/>
      <c r="J415" s="3"/>
    </row>
    <row r="416" spans="3:10" ht="15" hidden="1" x14ac:dyDescent="0.25">
      <c r="C416" s="3"/>
      <c r="D416" s="3"/>
      <c r="E416" s="3"/>
      <c r="F416" s="3"/>
      <c r="G416" s="3"/>
      <c r="H416" s="3"/>
      <c r="I416" s="3"/>
      <c r="J416" s="3"/>
    </row>
    <row r="417" spans="3:10" ht="15" hidden="1" x14ac:dyDescent="0.25">
      <c r="C417" s="3"/>
      <c r="D417" s="3"/>
      <c r="E417" s="3"/>
      <c r="F417" s="3"/>
      <c r="G417" s="3"/>
      <c r="H417" s="3"/>
      <c r="I417" s="3"/>
      <c r="J417" s="3"/>
    </row>
    <row r="418" spans="3:10" ht="15" hidden="1" x14ac:dyDescent="0.25">
      <c r="C418" s="3"/>
      <c r="D418" s="3"/>
      <c r="E418" s="3"/>
      <c r="F418" s="3"/>
      <c r="G418" s="3"/>
      <c r="H418" s="3"/>
      <c r="I418" s="3"/>
      <c r="J418" s="3"/>
    </row>
    <row r="419" spans="3:10" ht="15" hidden="1" x14ac:dyDescent="0.25">
      <c r="C419" s="3"/>
      <c r="D419" s="3"/>
      <c r="E419" s="3"/>
      <c r="F419" s="3"/>
      <c r="G419" s="3"/>
      <c r="H419" s="3"/>
      <c r="I419" s="3"/>
      <c r="J419" s="3"/>
    </row>
    <row r="420" spans="3:10" ht="15" hidden="1" x14ac:dyDescent="0.25">
      <c r="C420" s="3"/>
      <c r="D420" s="3"/>
      <c r="E420" s="3"/>
      <c r="F420" s="3"/>
      <c r="G420" s="3"/>
      <c r="H420" s="3"/>
      <c r="I420" s="3"/>
      <c r="J420" s="3"/>
    </row>
    <row r="421" spans="3:10" ht="15" hidden="1" x14ac:dyDescent="0.25">
      <c r="C421" s="3"/>
      <c r="D421" s="3"/>
      <c r="E421" s="3"/>
      <c r="F421" s="3"/>
      <c r="G421" s="3"/>
      <c r="H421" s="3"/>
      <c r="I421" s="3"/>
      <c r="J421" s="3"/>
    </row>
    <row r="422" spans="3:10" ht="15" hidden="1" x14ac:dyDescent="0.25">
      <c r="C422" s="3"/>
      <c r="D422" s="3"/>
      <c r="E422" s="3"/>
      <c r="F422" s="3"/>
      <c r="G422" s="3"/>
      <c r="H422" s="3"/>
      <c r="I422" s="3"/>
      <c r="J422" s="3"/>
    </row>
    <row r="423" spans="3:10" ht="15" hidden="1" x14ac:dyDescent="0.25">
      <c r="C423" s="3"/>
      <c r="D423" s="3"/>
      <c r="E423" s="3"/>
      <c r="F423" s="3"/>
      <c r="G423" s="3"/>
      <c r="H423" s="3"/>
      <c r="I423" s="3"/>
      <c r="J423" s="3"/>
    </row>
    <row r="424" spans="3:10" ht="15" hidden="1" x14ac:dyDescent="0.25">
      <c r="C424" s="3"/>
      <c r="D424" s="3"/>
      <c r="E424" s="3"/>
      <c r="F424" s="3"/>
      <c r="G424" s="3"/>
      <c r="H424" s="3"/>
      <c r="I424" s="3"/>
      <c r="J424" s="3"/>
    </row>
    <row r="425" spans="3:10" ht="15" hidden="1" x14ac:dyDescent="0.25">
      <c r="C425" s="3"/>
      <c r="D425" s="3"/>
      <c r="E425" s="3"/>
      <c r="F425" s="3"/>
      <c r="G425" s="3"/>
      <c r="H425" s="3"/>
      <c r="I425" s="3"/>
      <c r="J425" s="3"/>
    </row>
    <row r="426" spans="3:10" ht="15" hidden="1" x14ac:dyDescent="0.25">
      <c r="C426" s="3"/>
      <c r="D426" s="3"/>
      <c r="E426" s="3"/>
      <c r="F426" s="3"/>
      <c r="G426" s="3"/>
      <c r="H426" s="3"/>
      <c r="I426" s="3"/>
      <c r="J426" s="3"/>
    </row>
    <row r="427" spans="3:10" ht="15" hidden="1" x14ac:dyDescent="0.25">
      <c r="C427" s="3"/>
      <c r="D427" s="3"/>
      <c r="E427" s="3"/>
      <c r="F427" s="3"/>
      <c r="G427" s="3"/>
      <c r="H427" s="3"/>
      <c r="I427" s="3"/>
      <c r="J427" s="3"/>
    </row>
    <row r="428" spans="3:10" ht="15" hidden="1" x14ac:dyDescent="0.25">
      <c r="C428" s="3"/>
      <c r="D428" s="3"/>
      <c r="E428" s="3"/>
      <c r="F428" s="3"/>
      <c r="G428" s="3"/>
      <c r="H428" s="3"/>
      <c r="I428" s="3"/>
      <c r="J428" s="3"/>
    </row>
    <row r="429" spans="3:10" ht="15" hidden="1" x14ac:dyDescent="0.25">
      <c r="C429" s="3"/>
      <c r="D429" s="3"/>
      <c r="E429" s="3"/>
      <c r="F429" s="3"/>
      <c r="G429" s="3"/>
      <c r="H429" s="3"/>
      <c r="I429" s="3"/>
      <c r="J429" s="3"/>
    </row>
    <row r="430" spans="3:10" ht="15" hidden="1" x14ac:dyDescent="0.25">
      <c r="C430" s="3"/>
      <c r="D430" s="3"/>
      <c r="E430" s="3"/>
      <c r="F430" s="3"/>
      <c r="G430" s="3"/>
      <c r="H430" s="3"/>
      <c r="I430" s="3"/>
      <c r="J430" s="3"/>
    </row>
    <row r="431" spans="3:10" ht="15" hidden="1" x14ac:dyDescent="0.25">
      <c r="C431" s="3"/>
      <c r="D431" s="3"/>
      <c r="E431" s="3"/>
      <c r="F431" s="3"/>
      <c r="G431" s="3"/>
      <c r="H431" s="3"/>
      <c r="I431" s="3"/>
      <c r="J431" s="3"/>
    </row>
    <row r="432" spans="3:10" ht="15" hidden="1" x14ac:dyDescent="0.25">
      <c r="C432" s="3"/>
      <c r="D432" s="3"/>
      <c r="E432" s="3"/>
      <c r="F432" s="3"/>
      <c r="G432" s="3"/>
      <c r="H432" s="3"/>
      <c r="I432" s="3"/>
      <c r="J432" s="3"/>
    </row>
    <row r="433" spans="3:10" ht="15" hidden="1" x14ac:dyDescent="0.25">
      <c r="C433" s="3"/>
      <c r="D433" s="3"/>
      <c r="E433" s="3"/>
      <c r="F433" s="3"/>
      <c r="G433" s="3"/>
      <c r="H433" s="3"/>
      <c r="I433" s="3"/>
      <c r="J433" s="3"/>
    </row>
    <row r="434" spans="3:10" ht="15" hidden="1" x14ac:dyDescent="0.25">
      <c r="C434" s="3"/>
      <c r="D434" s="3"/>
      <c r="E434" s="3"/>
      <c r="F434" s="3"/>
      <c r="G434" s="3"/>
      <c r="H434" s="3"/>
      <c r="I434" s="3"/>
      <c r="J434" s="3"/>
    </row>
    <row r="435" spans="3:10" ht="15" hidden="1" x14ac:dyDescent="0.25">
      <c r="C435" s="3"/>
      <c r="D435" s="3"/>
      <c r="E435" s="3"/>
      <c r="F435" s="3"/>
      <c r="G435" s="3"/>
      <c r="H435" s="3"/>
      <c r="I435" s="3"/>
      <c r="J435" s="3"/>
    </row>
    <row r="436" spans="3:10" ht="15" hidden="1" x14ac:dyDescent="0.25">
      <c r="C436" s="3"/>
      <c r="D436" s="3"/>
      <c r="E436" s="3"/>
      <c r="F436" s="3"/>
      <c r="G436" s="3"/>
      <c r="H436" s="3"/>
      <c r="I436" s="3"/>
      <c r="J436" s="3"/>
    </row>
    <row r="437" spans="3:10" ht="15" hidden="1" x14ac:dyDescent="0.25">
      <c r="C437" s="3"/>
      <c r="D437" s="3"/>
      <c r="E437" s="3"/>
      <c r="F437" s="3"/>
      <c r="G437" s="3"/>
      <c r="H437" s="3"/>
      <c r="I437" s="3"/>
      <c r="J437" s="3"/>
    </row>
    <row r="438" spans="3:10" ht="15" hidden="1" x14ac:dyDescent="0.25">
      <c r="C438" s="3"/>
      <c r="D438" s="3"/>
      <c r="E438" s="3"/>
      <c r="F438" s="3"/>
      <c r="G438" s="3"/>
      <c r="H438" s="3"/>
      <c r="I438" s="3"/>
      <c r="J438" s="3"/>
    </row>
    <row r="439" spans="3:10" ht="15" hidden="1" x14ac:dyDescent="0.25">
      <c r="C439" s="3"/>
      <c r="D439" s="3"/>
      <c r="E439" s="3"/>
      <c r="F439" s="3"/>
      <c r="G439" s="3"/>
      <c r="H439" s="3"/>
      <c r="I439" s="3"/>
      <c r="J439" s="3"/>
    </row>
    <row r="440" spans="3:10" ht="15" hidden="1" x14ac:dyDescent="0.25">
      <c r="C440" s="3"/>
      <c r="D440" s="3"/>
      <c r="E440" s="3"/>
      <c r="F440" s="3"/>
      <c r="G440" s="3"/>
      <c r="H440" s="3"/>
      <c r="I440" s="3"/>
      <c r="J440" s="3"/>
    </row>
    <row r="441" spans="3:10" ht="15" hidden="1" x14ac:dyDescent="0.25">
      <c r="C441" s="3"/>
      <c r="D441" s="3"/>
      <c r="E441" s="3"/>
      <c r="F441" s="3"/>
      <c r="G441" s="3"/>
      <c r="H441" s="3"/>
      <c r="I441" s="3"/>
      <c r="J441" s="3"/>
    </row>
    <row r="442" spans="3:10" ht="15" hidden="1" x14ac:dyDescent="0.25">
      <c r="C442" s="3"/>
      <c r="D442" s="3"/>
      <c r="E442" s="3"/>
      <c r="F442" s="3"/>
      <c r="G442" s="3"/>
      <c r="H442" s="3"/>
      <c r="I442" s="3"/>
      <c r="J442" s="3"/>
    </row>
    <row r="443" spans="3:10" ht="15" hidden="1" x14ac:dyDescent="0.25">
      <c r="C443" s="3"/>
      <c r="D443" s="3"/>
      <c r="E443" s="3"/>
      <c r="F443" s="3"/>
      <c r="G443" s="3"/>
      <c r="H443" s="3"/>
      <c r="I443" s="3"/>
      <c r="J443" s="3"/>
    </row>
    <row r="444" spans="3:10" ht="15" hidden="1" x14ac:dyDescent="0.25">
      <c r="C444" s="3"/>
      <c r="D444" s="3"/>
      <c r="E444" s="3"/>
      <c r="F444" s="3"/>
      <c r="G444" s="3"/>
      <c r="H444" s="3"/>
      <c r="I444" s="3"/>
      <c r="J444" s="3"/>
    </row>
    <row r="445" spans="3:10" ht="15" hidden="1" x14ac:dyDescent="0.25">
      <c r="C445" s="3"/>
      <c r="D445" s="3"/>
      <c r="E445" s="3"/>
      <c r="F445" s="3"/>
      <c r="G445" s="3"/>
      <c r="H445" s="3"/>
      <c r="I445" s="3"/>
      <c r="J445" s="3"/>
    </row>
    <row r="446" spans="3:10" ht="15" hidden="1" x14ac:dyDescent="0.25">
      <c r="C446" s="3"/>
      <c r="D446" s="3"/>
      <c r="E446" s="3"/>
      <c r="F446" s="3"/>
      <c r="G446" s="3"/>
      <c r="H446" s="3"/>
      <c r="I446" s="3"/>
      <c r="J446" s="3"/>
    </row>
    <row r="447" spans="3:10" ht="15" hidden="1" x14ac:dyDescent="0.25">
      <c r="C447" s="3"/>
      <c r="D447" s="3"/>
      <c r="E447" s="3"/>
      <c r="F447" s="3"/>
      <c r="G447" s="3"/>
      <c r="H447" s="3"/>
      <c r="I447" s="3"/>
      <c r="J447" s="3"/>
    </row>
    <row r="448" spans="3:10" ht="15" hidden="1" x14ac:dyDescent="0.25">
      <c r="C448" s="3"/>
      <c r="D448" s="3"/>
      <c r="E448" s="3"/>
      <c r="F448" s="3"/>
      <c r="G448" s="3"/>
      <c r="H448" s="3"/>
      <c r="I448" s="3"/>
      <c r="J448" s="3"/>
    </row>
    <row r="449" spans="3:10" ht="15" hidden="1" x14ac:dyDescent="0.25">
      <c r="C449" s="3"/>
      <c r="D449" s="3"/>
      <c r="E449" s="3"/>
      <c r="F449" s="3"/>
      <c r="G449" s="3"/>
      <c r="H449" s="3"/>
      <c r="I449" s="3"/>
      <c r="J449" s="3"/>
    </row>
    <row r="450" spans="3:10" ht="15" hidden="1" x14ac:dyDescent="0.25">
      <c r="C450" s="3"/>
      <c r="D450" s="3"/>
      <c r="E450" s="3"/>
      <c r="F450" s="3"/>
      <c r="G450" s="3"/>
      <c r="H450" s="3"/>
      <c r="I450" s="3"/>
      <c r="J450" s="3"/>
    </row>
    <row r="451" spans="3:10" ht="15" hidden="1" x14ac:dyDescent="0.25">
      <c r="C451" s="3"/>
      <c r="D451" s="3"/>
      <c r="E451" s="3"/>
      <c r="F451" s="3"/>
      <c r="G451" s="3"/>
      <c r="H451" s="3"/>
      <c r="I451" s="3"/>
      <c r="J451" s="3"/>
    </row>
    <row r="452" spans="3:10" ht="15" hidden="1" x14ac:dyDescent="0.25">
      <c r="C452" s="3"/>
      <c r="D452" s="3"/>
      <c r="E452" s="3"/>
      <c r="F452" s="3"/>
      <c r="G452" s="3"/>
      <c r="H452" s="3"/>
      <c r="I452" s="3"/>
      <c r="J452" s="3"/>
    </row>
    <row r="453" spans="3:10" ht="15" hidden="1" x14ac:dyDescent="0.25">
      <c r="C453" s="3"/>
      <c r="D453" s="3"/>
      <c r="E453" s="3"/>
      <c r="F453" s="3"/>
      <c r="G453" s="3"/>
      <c r="H453" s="3"/>
      <c r="I453" s="3"/>
      <c r="J453" s="3"/>
    </row>
    <row r="454" spans="3:10" ht="15" hidden="1" x14ac:dyDescent="0.25">
      <c r="C454" s="3"/>
      <c r="D454" s="3"/>
      <c r="E454" s="3"/>
      <c r="F454" s="3"/>
      <c r="G454" s="3"/>
      <c r="H454" s="3"/>
      <c r="I454" s="3"/>
      <c r="J454" s="3"/>
    </row>
    <row r="455" spans="3:10" ht="15" hidden="1" x14ac:dyDescent="0.25">
      <c r="C455" s="3"/>
      <c r="D455" s="3"/>
      <c r="E455" s="3"/>
      <c r="F455" s="3"/>
      <c r="G455" s="3"/>
      <c r="H455" s="3"/>
      <c r="I455" s="3"/>
      <c r="J455" s="3"/>
    </row>
    <row r="456" spans="3:10" ht="15" hidden="1" x14ac:dyDescent="0.25">
      <c r="C456" s="3"/>
      <c r="D456" s="3"/>
      <c r="E456" s="3"/>
      <c r="F456" s="3"/>
      <c r="G456" s="3"/>
      <c r="H456" s="3"/>
      <c r="I456" s="3"/>
      <c r="J456" s="3"/>
    </row>
    <row r="457" spans="3:10" ht="15" hidden="1" x14ac:dyDescent="0.25">
      <c r="C457" s="3"/>
      <c r="D457" s="3"/>
      <c r="E457" s="3"/>
      <c r="F457" s="3"/>
      <c r="G457" s="3"/>
      <c r="H457" s="3"/>
      <c r="I457" s="3"/>
      <c r="J457" s="3"/>
    </row>
    <row r="458" spans="3:10" ht="15" hidden="1" x14ac:dyDescent="0.25">
      <c r="C458" s="3"/>
      <c r="D458" s="3"/>
      <c r="E458" s="3"/>
      <c r="F458" s="3"/>
      <c r="G458" s="3"/>
      <c r="H458" s="3"/>
      <c r="I458" s="3"/>
      <c r="J458" s="3"/>
    </row>
    <row r="459" spans="3:10" ht="15" hidden="1" x14ac:dyDescent="0.25">
      <c r="C459" s="3"/>
      <c r="D459" s="3"/>
      <c r="E459" s="3"/>
      <c r="F459" s="3"/>
      <c r="G459" s="3"/>
      <c r="H459" s="3"/>
      <c r="I459" s="3"/>
      <c r="J459" s="3"/>
    </row>
    <row r="460" spans="3:10" ht="15" hidden="1" x14ac:dyDescent="0.25">
      <c r="C460" s="3"/>
      <c r="D460" s="3"/>
      <c r="E460" s="3"/>
      <c r="F460" s="3"/>
      <c r="G460" s="3"/>
      <c r="H460" s="3"/>
      <c r="I460" s="3"/>
      <c r="J460" s="3"/>
    </row>
    <row r="461" spans="3:10" ht="15" hidden="1" x14ac:dyDescent="0.25">
      <c r="C461" s="3"/>
      <c r="D461" s="3"/>
      <c r="E461" s="3"/>
      <c r="F461" s="3"/>
      <c r="G461" s="3"/>
      <c r="H461" s="3"/>
      <c r="I461" s="3"/>
      <c r="J461" s="3"/>
    </row>
    <row r="462" spans="3:10" ht="15" hidden="1" x14ac:dyDescent="0.25">
      <c r="C462" s="3"/>
      <c r="D462" s="3"/>
      <c r="E462" s="3"/>
      <c r="F462" s="3"/>
      <c r="G462" s="3"/>
      <c r="H462" s="3"/>
      <c r="I462" s="3"/>
      <c r="J462" s="3"/>
    </row>
    <row r="463" spans="3:10" ht="15" hidden="1" x14ac:dyDescent="0.25">
      <c r="C463" s="3"/>
      <c r="D463" s="3"/>
      <c r="E463" s="3"/>
      <c r="F463" s="3"/>
      <c r="G463" s="3"/>
      <c r="H463" s="3"/>
      <c r="I463" s="3"/>
      <c r="J463" s="3"/>
    </row>
    <row r="464" spans="3:10" ht="15" hidden="1" x14ac:dyDescent="0.25">
      <c r="C464" s="3"/>
      <c r="D464" s="3"/>
      <c r="E464" s="3"/>
      <c r="F464" s="3"/>
      <c r="G464" s="3"/>
      <c r="H464" s="3"/>
      <c r="I464" s="3"/>
      <c r="J464" s="3"/>
    </row>
    <row r="465" spans="3:10" ht="15" hidden="1" x14ac:dyDescent="0.25">
      <c r="C465" s="3"/>
      <c r="D465" s="3"/>
      <c r="E465" s="3"/>
      <c r="F465" s="3"/>
      <c r="G465" s="3"/>
      <c r="H465" s="3"/>
      <c r="I465" s="3"/>
      <c r="J465" s="3"/>
    </row>
    <row r="466" spans="3:10" ht="15" hidden="1" x14ac:dyDescent="0.25">
      <c r="C466" s="3"/>
      <c r="D466" s="3"/>
      <c r="E466" s="3"/>
      <c r="F466" s="3"/>
      <c r="G466" s="3"/>
      <c r="H466" s="3"/>
      <c r="I466" s="3"/>
      <c r="J466" s="3"/>
    </row>
    <row r="467" spans="3:10" ht="15" hidden="1" x14ac:dyDescent="0.25">
      <c r="C467" s="3"/>
      <c r="D467" s="3"/>
      <c r="E467" s="3"/>
      <c r="F467" s="3"/>
      <c r="G467" s="3"/>
      <c r="H467" s="3"/>
      <c r="I467" s="3"/>
      <c r="J467" s="3"/>
    </row>
    <row r="468" spans="3:10" ht="15" hidden="1" x14ac:dyDescent="0.25">
      <c r="C468" s="3"/>
      <c r="D468" s="3"/>
      <c r="E468" s="3"/>
      <c r="F468" s="3"/>
      <c r="G468" s="3"/>
      <c r="H468" s="3"/>
      <c r="I468" s="3"/>
      <c r="J468" s="3"/>
    </row>
    <row r="469" spans="3:10" ht="15" hidden="1" x14ac:dyDescent="0.25">
      <c r="C469" s="3"/>
      <c r="D469" s="3"/>
      <c r="E469" s="3"/>
      <c r="F469" s="3"/>
      <c r="G469" s="3"/>
      <c r="H469" s="3"/>
      <c r="I469" s="3"/>
      <c r="J469" s="3"/>
    </row>
    <row r="470" spans="3:10" ht="15" hidden="1" x14ac:dyDescent="0.25">
      <c r="C470" s="3"/>
      <c r="D470" s="3"/>
      <c r="E470" s="3"/>
      <c r="F470" s="3"/>
      <c r="G470" s="3"/>
      <c r="H470" s="3"/>
      <c r="I470" s="3"/>
      <c r="J470" s="3"/>
    </row>
    <row r="471" spans="3:10" ht="15" hidden="1" x14ac:dyDescent="0.25">
      <c r="C471" s="3"/>
      <c r="D471" s="3"/>
      <c r="E471" s="3"/>
      <c r="F471" s="3"/>
      <c r="G471" s="3"/>
      <c r="H471" s="3"/>
      <c r="I471" s="3"/>
      <c r="J471" s="3"/>
    </row>
    <row r="472" spans="3:10" ht="15" hidden="1" x14ac:dyDescent="0.25">
      <c r="C472" s="3"/>
      <c r="D472" s="3"/>
      <c r="E472" s="3"/>
      <c r="F472" s="3"/>
      <c r="G472" s="3"/>
      <c r="H472" s="3"/>
      <c r="I472" s="3"/>
      <c r="J472" s="3"/>
    </row>
    <row r="473" spans="3:10" ht="15" hidden="1" x14ac:dyDescent="0.25">
      <c r="C473" s="3"/>
      <c r="D473" s="3"/>
      <c r="E473" s="3"/>
      <c r="F473" s="3"/>
      <c r="G473" s="3"/>
      <c r="H473" s="3"/>
      <c r="I473" s="3"/>
      <c r="J473" s="3"/>
    </row>
    <row r="474" spans="3:10" ht="15" hidden="1" x14ac:dyDescent="0.25">
      <c r="C474" s="3"/>
      <c r="D474" s="3"/>
      <c r="E474" s="3"/>
      <c r="F474" s="3"/>
      <c r="G474" s="3"/>
      <c r="H474" s="3"/>
      <c r="I474" s="3"/>
      <c r="J474" s="3"/>
    </row>
    <row r="475" spans="3:10" ht="15" hidden="1" x14ac:dyDescent="0.25">
      <c r="C475" s="3"/>
      <c r="D475" s="3"/>
      <c r="E475" s="3"/>
      <c r="F475" s="3"/>
      <c r="G475" s="3"/>
      <c r="H475" s="3"/>
      <c r="I475" s="3"/>
      <c r="J475" s="3"/>
    </row>
    <row r="476" spans="3:10" ht="15" hidden="1" x14ac:dyDescent="0.25">
      <c r="C476" s="3"/>
      <c r="D476" s="3"/>
      <c r="E476" s="3"/>
      <c r="F476" s="3"/>
      <c r="G476" s="3"/>
      <c r="H476" s="3"/>
      <c r="I476" s="3"/>
      <c r="J476" s="3"/>
    </row>
    <row r="477" spans="3:10" ht="15" hidden="1" x14ac:dyDescent="0.25">
      <c r="C477" s="3"/>
      <c r="D477" s="3"/>
      <c r="E477" s="3"/>
      <c r="F477" s="3"/>
      <c r="G477" s="3"/>
      <c r="H477" s="3"/>
      <c r="I477" s="3"/>
      <c r="J477" s="3"/>
    </row>
    <row r="478" spans="3:10" ht="15" hidden="1" x14ac:dyDescent="0.25">
      <c r="C478" s="3"/>
      <c r="D478" s="3"/>
      <c r="E478" s="3"/>
      <c r="F478" s="3"/>
      <c r="G478" s="3"/>
      <c r="H478" s="3"/>
      <c r="I478" s="3"/>
      <c r="J478" s="3"/>
    </row>
    <row r="479" spans="3:10" ht="15" hidden="1" x14ac:dyDescent="0.25">
      <c r="C479" s="3"/>
      <c r="D479" s="3"/>
      <c r="E479" s="3"/>
      <c r="F479" s="3"/>
      <c r="G479" s="3"/>
      <c r="H479" s="3"/>
      <c r="I479" s="3"/>
      <c r="J479" s="3"/>
    </row>
    <row r="480" spans="3:10" ht="15" hidden="1" x14ac:dyDescent="0.25">
      <c r="C480" s="3"/>
      <c r="D480" s="3"/>
      <c r="E480" s="3"/>
      <c r="F480" s="3"/>
      <c r="G480" s="3"/>
      <c r="H480" s="3"/>
      <c r="I480" s="3"/>
      <c r="J480" s="3"/>
    </row>
    <row r="481" spans="3:10" ht="15" hidden="1" x14ac:dyDescent="0.25">
      <c r="C481" s="3"/>
      <c r="D481" s="3"/>
      <c r="E481" s="3"/>
      <c r="F481" s="3"/>
      <c r="G481" s="3"/>
      <c r="H481" s="3"/>
      <c r="I481" s="3"/>
      <c r="J481" s="3"/>
    </row>
    <row r="482" spans="3:10" ht="15" hidden="1" x14ac:dyDescent="0.25">
      <c r="C482" s="3"/>
      <c r="D482" s="3"/>
      <c r="E482" s="3"/>
      <c r="F482" s="3"/>
      <c r="G482" s="3"/>
      <c r="H482" s="3"/>
      <c r="I482" s="3"/>
      <c r="J482" s="3"/>
    </row>
    <row r="483" spans="3:10" ht="15" hidden="1" x14ac:dyDescent="0.25">
      <c r="C483" s="3"/>
      <c r="D483" s="3"/>
      <c r="E483" s="3"/>
      <c r="F483" s="3"/>
      <c r="G483" s="3"/>
      <c r="H483" s="3"/>
      <c r="I483" s="3"/>
      <c r="J483" s="3"/>
    </row>
    <row r="484" spans="3:10" ht="15" hidden="1" x14ac:dyDescent="0.25">
      <c r="C484" s="3"/>
      <c r="D484" s="3"/>
      <c r="E484" s="3"/>
      <c r="F484" s="3"/>
      <c r="G484" s="3"/>
      <c r="H484" s="3"/>
      <c r="I484" s="3"/>
      <c r="J484" s="3"/>
    </row>
    <row r="485" spans="3:10" ht="15" hidden="1" x14ac:dyDescent="0.25">
      <c r="C485" s="3"/>
      <c r="D485" s="3"/>
      <c r="E485" s="3"/>
      <c r="F485" s="3"/>
      <c r="G485" s="3"/>
      <c r="H485" s="3"/>
      <c r="I485" s="3"/>
      <c r="J485" s="3"/>
    </row>
    <row r="486" spans="3:10" ht="15" hidden="1" x14ac:dyDescent="0.25">
      <c r="C486" s="3"/>
      <c r="D486" s="3"/>
      <c r="E486" s="3"/>
      <c r="F486" s="3"/>
      <c r="G486" s="3"/>
      <c r="H486" s="3"/>
      <c r="I486" s="3"/>
      <c r="J486" s="3"/>
    </row>
    <row r="487" spans="3:10" ht="15" hidden="1" x14ac:dyDescent="0.25">
      <c r="C487" s="3"/>
      <c r="D487" s="3"/>
      <c r="E487" s="3"/>
      <c r="F487" s="3"/>
      <c r="G487" s="3"/>
      <c r="H487" s="3"/>
      <c r="I487" s="3"/>
      <c r="J487" s="3"/>
    </row>
    <row r="488" spans="3:10" ht="15" hidden="1" x14ac:dyDescent="0.25">
      <c r="C488" s="3"/>
      <c r="D488" s="3"/>
      <c r="E488" s="3"/>
      <c r="F488" s="3"/>
      <c r="G488" s="3"/>
      <c r="H488" s="3"/>
      <c r="I488" s="3"/>
      <c r="J488" s="3"/>
    </row>
    <row r="489" spans="3:10" ht="15" hidden="1" x14ac:dyDescent="0.25">
      <c r="C489" s="3"/>
      <c r="D489" s="3"/>
      <c r="E489" s="3"/>
      <c r="F489" s="3"/>
      <c r="G489" s="3"/>
      <c r="H489" s="3"/>
      <c r="I489" s="3"/>
      <c r="J489" s="3"/>
    </row>
    <row r="490" spans="3:10" ht="15" hidden="1" x14ac:dyDescent="0.25">
      <c r="C490" s="3"/>
      <c r="D490" s="3"/>
      <c r="E490" s="3"/>
      <c r="F490" s="3"/>
      <c r="G490" s="3"/>
      <c r="H490" s="3"/>
      <c r="I490" s="3"/>
      <c r="J490" s="3"/>
    </row>
    <row r="491" spans="3:10" ht="15" hidden="1" x14ac:dyDescent="0.25">
      <c r="C491" s="3"/>
      <c r="D491" s="3"/>
      <c r="E491" s="3"/>
      <c r="F491" s="3"/>
      <c r="G491" s="3"/>
      <c r="H491" s="3"/>
      <c r="I491" s="3"/>
      <c r="J491" s="3"/>
    </row>
    <row r="492" spans="3:10" ht="15" hidden="1" x14ac:dyDescent="0.25">
      <c r="C492" s="3"/>
      <c r="D492" s="3"/>
      <c r="E492" s="3"/>
      <c r="F492" s="3"/>
      <c r="G492" s="3"/>
      <c r="H492" s="3"/>
      <c r="I492" s="3"/>
      <c r="J492" s="3"/>
    </row>
    <row r="493" spans="3:10" ht="15" hidden="1" x14ac:dyDescent="0.25">
      <c r="C493" s="3"/>
      <c r="D493" s="3"/>
      <c r="E493" s="3"/>
      <c r="F493" s="3"/>
      <c r="G493" s="3"/>
      <c r="H493" s="3"/>
      <c r="I493" s="3"/>
      <c r="J493" s="3"/>
    </row>
    <row r="494" spans="3:10" ht="15" hidden="1" x14ac:dyDescent="0.25">
      <c r="C494" s="3"/>
      <c r="D494" s="3"/>
      <c r="E494" s="3"/>
      <c r="F494" s="3"/>
      <c r="G494" s="3"/>
      <c r="H494" s="3"/>
      <c r="I494" s="3"/>
      <c r="J494" s="3"/>
    </row>
    <row r="495" spans="3:10" ht="15" hidden="1" x14ac:dyDescent="0.25">
      <c r="C495" s="3"/>
      <c r="D495" s="3"/>
      <c r="E495" s="3"/>
      <c r="F495" s="3"/>
      <c r="G495" s="3"/>
      <c r="H495" s="3"/>
      <c r="I495" s="3"/>
      <c r="J495" s="3"/>
    </row>
    <row r="496" spans="3:10" ht="15" hidden="1" x14ac:dyDescent="0.25">
      <c r="C496" s="3"/>
      <c r="D496" s="3"/>
      <c r="E496" s="3"/>
      <c r="F496" s="3"/>
      <c r="G496" s="3"/>
      <c r="H496" s="3"/>
      <c r="I496" s="3"/>
      <c r="J496" s="3"/>
    </row>
    <row r="497" spans="3:10" ht="15" hidden="1" x14ac:dyDescent="0.25">
      <c r="C497" s="3"/>
      <c r="D497" s="3"/>
      <c r="E497" s="3"/>
      <c r="F497" s="3"/>
      <c r="G497" s="3"/>
      <c r="H497" s="3"/>
      <c r="I497" s="3"/>
      <c r="J497" s="3"/>
    </row>
    <row r="498" spans="3:10" ht="15" hidden="1" x14ac:dyDescent="0.25">
      <c r="C498" s="3"/>
      <c r="D498" s="3"/>
      <c r="E498" s="3"/>
      <c r="F498" s="3"/>
      <c r="G498" s="3"/>
      <c r="H498" s="3"/>
      <c r="I498" s="3"/>
      <c r="J498" s="3"/>
    </row>
    <row r="499" spans="3:10" ht="15" hidden="1" x14ac:dyDescent="0.25">
      <c r="C499" s="3"/>
      <c r="D499" s="3"/>
      <c r="E499" s="3"/>
      <c r="F499" s="3"/>
      <c r="G499" s="3"/>
      <c r="H499" s="3"/>
      <c r="I499" s="3"/>
      <c r="J499" s="3"/>
    </row>
    <row r="500" spans="3:10" ht="15" hidden="1" x14ac:dyDescent="0.25">
      <c r="C500" s="3"/>
      <c r="D500" s="3"/>
      <c r="E500" s="3"/>
      <c r="F500" s="3"/>
      <c r="G500" s="3"/>
      <c r="H500" s="3"/>
      <c r="I500" s="3"/>
      <c r="J500" s="3"/>
    </row>
    <row r="501" spans="3:10" ht="15" hidden="1" x14ac:dyDescent="0.25">
      <c r="C501" s="3"/>
      <c r="D501" s="3"/>
      <c r="E501" s="3"/>
      <c r="F501" s="3"/>
      <c r="G501" s="3"/>
      <c r="H501" s="3"/>
      <c r="I501" s="3"/>
      <c r="J501" s="3"/>
    </row>
    <row r="502" spans="3:10" ht="15" hidden="1" x14ac:dyDescent="0.25">
      <c r="C502" s="3"/>
      <c r="D502" s="3"/>
      <c r="E502" s="3"/>
      <c r="F502" s="3"/>
      <c r="G502" s="3"/>
      <c r="H502" s="3"/>
      <c r="I502" s="3"/>
      <c r="J502" s="3"/>
    </row>
    <row r="503" spans="3:10" ht="15" hidden="1" x14ac:dyDescent="0.25">
      <c r="C503" s="3"/>
      <c r="D503" s="3"/>
      <c r="E503" s="3"/>
      <c r="F503" s="3"/>
      <c r="G503" s="3"/>
      <c r="H503" s="3"/>
      <c r="I503" s="3"/>
      <c r="J503" s="3"/>
    </row>
    <row r="504" spans="3:10" ht="15" hidden="1" x14ac:dyDescent="0.25">
      <c r="C504" s="3"/>
      <c r="D504" s="3"/>
      <c r="E504" s="3"/>
      <c r="F504" s="3"/>
      <c r="G504" s="3"/>
      <c r="H504" s="3"/>
      <c r="I504" s="3"/>
      <c r="J504" s="3"/>
    </row>
    <row r="505" spans="3:10" ht="15" hidden="1" x14ac:dyDescent="0.25">
      <c r="C505" s="3"/>
      <c r="D505" s="3"/>
      <c r="E505" s="3"/>
      <c r="F505" s="3"/>
      <c r="G505" s="3"/>
      <c r="H505" s="3"/>
      <c r="I505" s="3"/>
      <c r="J505" s="3"/>
    </row>
    <row r="506" spans="3:10" ht="15" hidden="1" x14ac:dyDescent="0.25">
      <c r="C506" s="3"/>
      <c r="D506" s="3"/>
      <c r="E506" s="3"/>
      <c r="F506" s="3"/>
      <c r="G506" s="3"/>
      <c r="H506" s="3"/>
      <c r="I506" s="3"/>
      <c r="J506" s="3"/>
    </row>
    <row r="507" spans="3:10" ht="15" hidden="1" x14ac:dyDescent="0.25">
      <c r="C507" s="3"/>
      <c r="D507" s="3"/>
      <c r="E507" s="3"/>
      <c r="F507" s="3"/>
      <c r="G507" s="3"/>
      <c r="H507" s="3"/>
      <c r="I507" s="3"/>
      <c r="J507" s="3"/>
    </row>
    <row r="508" spans="3:10" ht="15" hidden="1" x14ac:dyDescent="0.25">
      <c r="C508" s="3"/>
      <c r="D508" s="3"/>
      <c r="E508" s="3"/>
      <c r="F508" s="3"/>
      <c r="G508" s="3"/>
      <c r="H508" s="3"/>
      <c r="I508" s="3"/>
      <c r="J508" s="3"/>
    </row>
    <row r="509" spans="3:10" ht="15" hidden="1" x14ac:dyDescent="0.25">
      <c r="C509" s="3"/>
      <c r="D509" s="3"/>
      <c r="E509" s="3"/>
      <c r="F509" s="3"/>
      <c r="G509" s="3"/>
      <c r="H509" s="3"/>
      <c r="I509" s="3"/>
      <c r="J509" s="3"/>
    </row>
    <row r="510" spans="3:10" ht="15" hidden="1" x14ac:dyDescent="0.25">
      <c r="C510" s="3"/>
      <c r="D510" s="3"/>
      <c r="E510" s="3"/>
      <c r="F510" s="3"/>
      <c r="G510" s="3"/>
      <c r="H510" s="3"/>
      <c r="I510" s="3"/>
      <c r="J510" s="3"/>
    </row>
    <row r="511" spans="3:10" ht="15" hidden="1" x14ac:dyDescent="0.25">
      <c r="C511" s="3"/>
      <c r="D511" s="3"/>
      <c r="E511" s="3"/>
      <c r="F511" s="3"/>
      <c r="G511" s="3"/>
      <c r="H511" s="3"/>
      <c r="I511" s="3"/>
      <c r="J511" s="3"/>
    </row>
    <row r="512" spans="3:10" ht="15" hidden="1" x14ac:dyDescent="0.25">
      <c r="C512" s="3"/>
      <c r="D512" s="3"/>
      <c r="E512" s="3"/>
      <c r="F512" s="3"/>
      <c r="G512" s="3"/>
      <c r="H512" s="3"/>
      <c r="I512" s="3"/>
      <c r="J512" s="3"/>
    </row>
    <row r="513" spans="3:10" ht="15" hidden="1" x14ac:dyDescent="0.25">
      <c r="C513" s="3"/>
      <c r="D513" s="3"/>
      <c r="E513" s="3"/>
      <c r="F513" s="3"/>
      <c r="G513" s="3"/>
      <c r="H513" s="3"/>
      <c r="I513" s="3"/>
      <c r="J513" s="3"/>
    </row>
    <row r="514" spans="3:10" ht="15" hidden="1" x14ac:dyDescent="0.25">
      <c r="C514" s="3"/>
      <c r="D514" s="3"/>
      <c r="E514" s="3"/>
      <c r="F514" s="3"/>
      <c r="G514" s="3"/>
      <c r="H514" s="3"/>
      <c r="I514" s="3"/>
      <c r="J514" s="3"/>
    </row>
    <row r="515" spans="3:10" ht="15" hidden="1" x14ac:dyDescent="0.25">
      <c r="C515" s="3"/>
      <c r="D515" s="3"/>
      <c r="E515" s="3"/>
      <c r="F515" s="3"/>
      <c r="G515" s="3"/>
      <c r="H515" s="3"/>
      <c r="I515" s="3"/>
      <c r="J515" s="3"/>
    </row>
    <row r="516" spans="3:10" ht="15" hidden="1" x14ac:dyDescent="0.25">
      <c r="C516" s="3"/>
      <c r="D516" s="3"/>
      <c r="E516" s="3"/>
      <c r="F516" s="3"/>
      <c r="G516" s="3"/>
      <c r="H516" s="3"/>
      <c r="I516" s="3"/>
      <c r="J516" s="3"/>
    </row>
    <row r="517" spans="3:10" ht="15" hidden="1" x14ac:dyDescent="0.25">
      <c r="C517" s="3"/>
      <c r="D517" s="3"/>
      <c r="E517" s="3"/>
      <c r="F517" s="3"/>
      <c r="G517" s="3"/>
      <c r="H517" s="3"/>
      <c r="I517" s="3"/>
      <c r="J517" s="3"/>
    </row>
    <row r="518" spans="3:10" ht="15" hidden="1" x14ac:dyDescent="0.25">
      <c r="C518" s="3"/>
      <c r="D518" s="3"/>
      <c r="E518" s="3"/>
      <c r="F518" s="3"/>
      <c r="G518" s="3"/>
      <c r="H518" s="3"/>
      <c r="I518" s="3"/>
      <c r="J518" s="3"/>
    </row>
    <row r="519" spans="3:10" ht="15" hidden="1" x14ac:dyDescent="0.25">
      <c r="C519" s="3"/>
      <c r="D519" s="3"/>
      <c r="E519" s="3"/>
      <c r="F519" s="3"/>
      <c r="G519" s="3"/>
      <c r="H519" s="3"/>
      <c r="I519" s="3"/>
      <c r="J519" s="3"/>
    </row>
    <row r="520" spans="3:10" ht="15" hidden="1" x14ac:dyDescent="0.25">
      <c r="C520" s="3"/>
      <c r="D520" s="3"/>
      <c r="E520" s="3"/>
      <c r="F520" s="3"/>
      <c r="G520" s="3"/>
      <c r="H520" s="3"/>
      <c r="I520" s="3"/>
      <c r="J520" s="3"/>
    </row>
    <row r="521" spans="3:10" ht="15" hidden="1" x14ac:dyDescent="0.25">
      <c r="C521" s="3"/>
      <c r="D521" s="3"/>
      <c r="E521" s="3"/>
      <c r="F521" s="3"/>
      <c r="G521" s="3"/>
      <c r="H521" s="3"/>
      <c r="I521" s="3"/>
      <c r="J521" s="3"/>
    </row>
    <row r="522" spans="3:10" ht="15" hidden="1" x14ac:dyDescent="0.25">
      <c r="C522" s="3"/>
      <c r="D522" s="3"/>
      <c r="E522" s="3"/>
      <c r="F522" s="3"/>
      <c r="G522" s="3"/>
      <c r="H522" s="3"/>
      <c r="I522" s="3"/>
      <c r="J522" s="3"/>
    </row>
    <row r="523" spans="3:10" ht="15" hidden="1" x14ac:dyDescent="0.25">
      <c r="C523" s="3"/>
      <c r="D523" s="3"/>
      <c r="E523" s="3"/>
      <c r="F523" s="3"/>
      <c r="G523" s="3"/>
      <c r="H523" s="3"/>
      <c r="I523" s="3"/>
      <c r="J523" s="3"/>
    </row>
    <row r="524" spans="3:10" ht="15" hidden="1" x14ac:dyDescent="0.25">
      <c r="C524" s="3"/>
      <c r="D524" s="3"/>
      <c r="E524" s="3"/>
      <c r="F524" s="3"/>
      <c r="G524" s="3"/>
      <c r="H524" s="3"/>
      <c r="I524" s="3"/>
      <c r="J524" s="3"/>
    </row>
    <row r="525" spans="3:10" ht="15" hidden="1" x14ac:dyDescent="0.25">
      <c r="C525" s="3"/>
      <c r="D525" s="3"/>
      <c r="E525" s="3"/>
      <c r="F525" s="3"/>
      <c r="G525" s="3"/>
      <c r="H525" s="3"/>
      <c r="I525" s="3"/>
      <c r="J525" s="3"/>
    </row>
    <row r="526" spans="3:10" ht="15" hidden="1" x14ac:dyDescent="0.25">
      <c r="C526" s="3"/>
      <c r="D526" s="3"/>
      <c r="E526" s="3"/>
      <c r="F526" s="3"/>
      <c r="G526" s="3"/>
      <c r="H526" s="3"/>
      <c r="I526" s="3"/>
      <c r="J526" s="3"/>
    </row>
    <row r="527" spans="3:10" ht="15" hidden="1" x14ac:dyDescent="0.25">
      <c r="C527" s="3"/>
      <c r="D527" s="3"/>
      <c r="E527" s="3"/>
      <c r="F527" s="3"/>
      <c r="G527" s="3"/>
      <c r="H527" s="3"/>
      <c r="I527" s="3"/>
      <c r="J527" s="3"/>
    </row>
    <row r="528" spans="3:10" ht="15" hidden="1" x14ac:dyDescent="0.25">
      <c r="C528" s="3"/>
      <c r="D528" s="3"/>
      <c r="E528" s="3"/>
      <c r="F528" s="3"/>
      <c r="G528" s="3"/>
      <c r="H528" s="3"/>
      <c r="I528" s="3"/>
      <c r="J528" s="3"/>
    </row>
    <row r="529" spans="3:10" ht="15" hidden="1" x14ac:dyDescent="0.25">
      <c r="C529" s="3"/>
      <c r="D529" s="3"/>
      <c r="E529" s="3"/>
      <c r="F529" s="3"/>
      <c r="G529" s="3"/>
      <c r="H529" s="3"/>
      <c r="I529" s="3"/>
      <c r="J529" s="3"/>
    </row>
    <row r="530" spans="3:10" ht="15" hidden="1" x14ac:dyDescent="0.25">
      <c r="C530" s="3"/>
      <c r="D530" s="3"/>
      <c r="E530" s="3"/>
      <c r="F530" s="3"/>
      <c r="G530" s="3"/>
      <c r="H530" s="3"/>
      <c r="I530" s="3"/>
      <c r="J530" s="3"/>
    </row>
    <row r="531" spans="3:10" ht="15" hidden="1" x14ac:dyDescent="0.25">
      <c r="C531" s="3"/>
      <c r="D531" s="3"/>
      <c r="E531" s="3"/>
      <c r="F531" s="3"/>
      <c r="G531" s="3"/>
      <c r="H531" s="3"/>
      <c r="I531" s="3"/>
      <c r="J531" s="3"/>
    </row>
    <row r="532" spans="3:10" ht="15" hidden="1" x14ac:dyDescent="0.25">
      <c r="C532" s="3"/>
      <c r="D532" s="3"/>
      <c r="E532" s="3"/>
      <c r="F532" s="3"/>
      <c r="G532" s="3"/>
      <c r="H532" s="3"/>
      <c r="I532" s="3"/>
      <c r="J532" s="3"/>
    </row>
    <row r="533" spans="3:10" ht="15" hidden="1" x14ac:dyDescent="0.25">
      <c r="C533" s="3"/>
      <c r="D533" s="3"/>
      <c r="E533" s="3"/>
      <c r="F533" s="3"/>
      <c r="G533" s="3"/>
      <c r="H533" s="3"/>
      <c r="I533" s="3"/>
      <c r="J533" s="3"/>
    </row>
    <row r="534" spans="3:10" ht="15" hidden="1" x14ac:dyDescent="0.25">
      <c r="C534" s="3"/>
      <c r="D534" s="3"/>
      <c r="E534" s="3"/>
      <c r="F534" s="3"/>
      <c r="G534" s="3"/>
      <c r="H534" s="3"/>
      <c r="I534" s="3"/>
      <c r="J534" s="3"/>
    </row>
    <row r="535" spans="3:10" ht="15" hidden="1" x14ac:dyDescent="0.25">
      <c r="C535" s="3"/>
      <c r="D535" s="3"/>
      <c r="E535" s="3"/>
      <c r="F535" s="3"/>
      <c r="G535" s="3"/>
      <c r="H535" s="3"/>
      <c r="I535" s="3"/>
      <c r="J535" s="3"/>
    </row>
    <row r="536" spans="3:10" ht="15" hidden="1" x14ac:dyDescent="0.25">
      <c r="C536" s="3"/>
      <c r="D536" s="3"/>
      <c r="E536" s="3"/>
      <c r="F536" s="3"/>
      <c r="G536" s="3"/>
      <c r="H536" s="3"/>
      <c r="I536" s="3"/>
      <c r="J536" s="3"/>
    </row>
    <row r="537" spans="3:10" ht="15" hidden="1" x14ac:dyDescent="0.25">
      <c r="C537" s="3"/>
      <c r="D537" s="3"/>
      <c r="E537" s="3"/>
      <c r="F537" s="3"/>
      <c r="G537" s="3"/>
      <c r="H537" s="3"/>
      <c r="I537" s="3"/>
      <c r="J537" s="3"/>
    </row>
    <row r="538" spans="3:10" ht="15" hidden="1" x14ac:dyDescent="0.25">
      <c r="C538" s="3"/>
      <c r="D538" s="3"/>
      <c r="E538" s="3"/>
      <c r="F538" s="3"/>
      <c r="G538" s="3"/>
      <c r="H538" s="3"/>
      <c r="I538" s="3"/>
      <c r="J538" s="3"/>
    </row>
    <row r="539" spans="3:10" ht="15" hidden="1" x14ac:dyDescent="0.25">
      <c r="C539" s="3"/>
      <c r="D539" s="3"/>
      <c r="E539" s="3"/>
      <c r="F539" s="3"/>
      <c r="G539" s="3"/>
      <c r="H539" s="3"/>
      <c r="I539" s="3"/>
      <c r="J539" s="3"/>
    </row>
    <row r="540" spans="3:10" ht="15" hidden="1" x14ac:dyDescent="0.25">
      <c r="C540" s="3"/>
      <c r="D540" s="3"/>
      <c r="E540" s="3"/>
      <c r="F540" s="3"/>
      <c r="G540" s="3"/>
      <c r="H540" s="3"/>
      <c r="I540" s="3"/>
      <c r="J540" s="3"/>
    </row>
    <row r="541" spans="3:10" ht="15" hidden="1" x14ac:dyDescent="0.25">
      <c r="C541" s="3"/>
      <c r="D541" s="3"/>
      <c r="E541" s="3"/>
      <c r="F541" s="3"/>
      <c r="G541" s="3"/>
      <c r="H541" s="3"/>
      <c r="I541" s="3"/>
      <c r="J541" s="3"/>
    </row>
    <row r="542" spans="3:10" ht="15" hidden="1" x14ac:dyDescent="0.25">
      <c r="C542" s="3"/>
      <c r="D542" s="3"/>
      <c r="E542" s="3"/>
      <c r="F542" s="3"/>
      <c r="G542" s="3"/>
      <c r="H542" s="3"/>
      <c r="I542" s="3"/>
      <c r="J542" s="3"/>
    </row>
    <row r="543" spans="3:10" ht="15" hidden="1" x14ac:dyDescent="0.25">
      <c r="C543" s="3"/>
      <c r="D543" s="3"/>
      <c r="E543" s="3"/>
      <c r="F543" s="3"/>
      <c r="G543" s="3"/>
      <c r="H543" s="3"/>
      <c r="I543" s="3"/>
      <c r="J543" s="3"/>
    </row>
    <row r="544" spans="3:10" ht="15" hidden="1" x14ac:dyDescent="0.25">
      <c r="C544" s="3"/>
      <c r="D544" s="3"/>
      <c r="E544" s="3"/>
      <c r="F544" s="3"/>
      <c r="G544" s="3"/>
      <c r="H544" s="3"/>
      <c r="I544" s="3"/>
      <c r="J544" s="3"/>
    </row>
    <row r="545" spans="3:10" ht="15" hidden="1" x14ac:dyDescent="0.25">
      <c r="C545" s="3"/>
      <c r="D545" s="3"/>
      <c r="E545" s="3"/>
      <c r="F545" s="3"/>
      <c r="G545" s="3"/>
      <c r="H545" s="3"/>
      <c r="I545" s="3"/>
      <c r="J545" s="3"/>
    </row>
    <row r="546" spans="3:10" ht="15" hidden="1" x14ac:dyDescent="0.25">
      <c r="C546" s="3"/>
      <c r="D546" s="3"/>
      <c r="E546" s="3"/>
      <c r="F546" s="3"/>
      <c r="G546" s="3"/>
      <c r="H546" s="3"/>
      <c r="I546" s="3"/>
      <c r="J546" s="3"/>
    </row>
    <row r="547" spans="3:10" ht="15" hidden="1" x14ac:dyDescent="0.25">
      <c r="C547" s="3"/>
      <c r="D547" s="3"/>
      <c r="E547" s="3"/>
      <c r="F547" s="3"/>
      <c r="G547" s="3"/>
      <c r="H547" s="3"/>
      <c r="I547" s="3"/>
      <c r="J547" s="3"/>
    </row>
    <row r="548" spans="3:10" ht="15" hidden="1" x14ac:dyDescent="0.25">
      <c r="C548" s="3"/>
      <c r="D548" s="3"/>
      <c r="E548" s="3"/>
      <c r="F548" s="3"/>
      <c r="G548" s="3"/>
      <c r="H548" s="3"/>
      <c r="I548" s="3"/>
      <c r="J548" s="3"/>
    </row>
    <row r="549" spans="3:10" ht="15" hidden="1" x14ac:dyDescent="0.25">
      <c r="C549" s="3"/>
      <c r="D549" s="3"/>
      <c r="E549" s="3"/>
      <c r="F549" s="3"/>
      <c r="G549" s="3"/>
      <c r="H549" s="3"/>
      <c r="I549" s="3"/>
      <c r="J549" s="3"/>
    </row>
    <row r="550" spans="3:10" ht="15" hidden="1" x14ac:dyDescent="0.25">
      <c r="C550" s="3"/>
      <c r="D550" s="3"/>
      <c r="E550" s="3"/>
      <c r="F550" s="3"/>
      <c r="G550" s="3"/>
      <c r="H550" s="3"/>
      <c r="I550" s="3"/>
      <c r="J550" s="3"/>
    </row>
    <row r="551" spans="3:10" ht="15" hidden="1" x14ac:dyDescent="0.25">
      <c r="C551" s="3"/>
      <c r="D551" s="3"/>
      <c r="E551" s="3"/>
      <c r="F551" s="3"/>
      <c r="G551" s="3"/>
      <c r="H551" s="3"/>
      <c r="I551" s="3"/>
      <c r="J551" s="3"/>
    </row>
    <row r="552" spans="3:10" ht="15" hidden="1" x14ac:dyDescent="0.25">
      <c r="C552" s="3"/>
      <c r="D552" s="3"/>
      <c r="E552" s="3"/>
      <c r="F552" s="3"/>
      <c r="G552" s="3"/>
      <c r="H552" s="3"/>
      <c r="I552" s="3"/>
      <c r="J552" s="3"/>
    </row>
    <row r="553" spans="3:10" ht="15" hidden="1" x14ac:dyDescent="0.25">
      <c r="C553" s="3"/>
      <c r="D553" s="3"/>
      <c r="E553" s="3"/>
      <c r="F553" s="3"/>
      <c r="G553" s="3"/>
      <c r="H553" s="3"/>
      <c r="I553" s="3"/>
      <c r="J553" s="3"/>
    </row>
    <row r="554" spans="3:10" ht="15" hidden="1" x14ac:dyDescent="0.25">
      <c r="C554" s="3"/>
      <c r="D554" s="3"/>
      <c r="E554" s="3"/>
      <c r="F554" s="3"/>
      <c r="G554" s="3"/>
      <c r="H554" s="3"/>
      <c r="I554" s="3"/>
      <c r="J554" s="3"/>
    </row>
    <row r="555" spans="3:10" ht="15" hidden="1" x14ac:dyDescent="0.25">
      <c r="C555" s="3"/>
      <c r="D555" s="3"/>
      <c r="E555" s="3"/>
      <c r="F555" s="3"/>
      <c r="G555" s="3"/>
      <c r="H555" s="3"/>
      <c r="I555" s="3"/>
      <c r="J555" s="3"/>
    </row>
    <row r="556" spans="3:10" ht="15" hidden="1" x14ac:dyDescent="0.25">
      <c r="C556" s="3"/>
      <c r="D556" s="3"/>
      <c r="E556" s="3"/>
      <c r="F556" s="3"/>
      <c r="G556" s="3"/>
      <c r="H556" s="3"/>
      <c r="I556" s="3"/>
      <c r="J556" s="3"/>
    </row>
    <row r="557" spans="3:10" ht="15" hidden="1" x14ac:dyDescent="0.25">
      <c r="C557" s="3"/>
      <c r="D557" s="3"/>
      <c r="E557" s="3"/>
      <c r="F557" s="3"/>
      <c r="G557" s="3"/>
      <c r="H557" s="3"/>
      <c r="I557" s="3"/>
      <c r="J557" s="3"/>
    </row>
    <row r="558" spans="3:10" ht="15" hidden="1" x14ac:dyDescent="0.25">
      <c r="C558" s="3"/>
      <c r="D558" s="3"/>
      <c r="E558" s="3"/>
      <c r="F558" s="3"/>
      <c r="G558" s="3"/>
      <c r="H558" s="3"/>
      <c r="I558" s="3"/>
      <c r="J558" s="3"/>
    </row>
    <row r="559" spans="3:10" ht="15" hidden="1" x14ac:dyDescent="0.25">
      <c r="C559" s="3"/>
      <c r="D559" s="3"/>
      <c r="E559" s="3"/>
      <c r="F559" s="3"/>
      <c r="G559" s="3"/>
      <c r="H559" s="3"/>
      <c r="I559" s="3"/>
      <c r="J559" s="3"/>
    </row>
    <row r="560" spans="3:10" ht="15" hidden="1" x14ac:dyDescent="0.25">
      <c r="C560" s="3"/>
      <c r="D560" s="3"/>
      <c r="E560" s="3"/>
      <c r="F560" s="3"/>
      <c r="G560" s="3"/>
      <c r="H560" s="3"/>
      <c r="I560" s="3"/>
      <c r="J560" s="3"/>
    </row>
    <row r="561" spans="3:10" ht="15" hidden="1" x14ac:dyDescent="0.25">
      <c r="C561" s="3"/>
      <c r="D561" s="3"/>
      <c r="E561" s="3"/>
      <c r="F561" s="3"/>
      <c r="G561" s="3"/>
      <c r="H561" s="3"/>
      <c r="I561" s="3"/>
      <c r="J561" s="3"/>
    </row>
    <row r="562" spans="3:10" ht="15" hidden="1" x14ac:dyDescent="0.25">
      <c r="C562" s="3"/>
      <c r="D562" s="3"/>
      <c r="E562" s="3"/>
      <c r="F562" s="3"/>
      <c r="G562" s="3"/>
      <c r="H562" s="3"/>
      <c r="I562" s="3"/>
      <c r="J562" s="3"/>
    </row>
    <row r="563" spans="3:10" ht="15" hidden="1" x14ac:dyDescent="0.25">
      <c r="C563" s="3"/>
      <c r="D563" s="3"/>
      <c r="E563" s="3"/>
      <c r="F563" s="3"/>
      <c r="G563" s="3"/>
      <c r="H563" s="3"/>
      <c r="I563" s="3"/>
      <c r="J563" s="3"/>
    </row>
    <row r="564" spans="3:10" ht="15" hidden="1" x14ac:dyDescent="0.25">
      <c r="C564" s="3"/>
      <c r="D564" s="3"/>
      <c r="E564" s="3"/>
      <c r="F564" s="3"/>
      <c r="G564" s="3"/>
      <c r="H564" s="3"/>
      <c r="I564" s="3"/>
      <c r="J564" s="3"/>
    </row>
    <row r="565" spans="3:10" ht="15" hidden="1" x14ac:dyDescent="0.25">
      <c r="C565" s="3"/>
      <c r="D565" s="3"/>
      <c r="E565" s="3"/>
      <c r="F565" s="3"/>
      <c r="G565" s="3"/>
      <c r="H565" s="3"/>
      <c r="I565" s="3"/>
      <c r="J565" s="3"/>
    </row>
    <row r="566" spans="3:10" ht="15" hidden="1" x14ac:dyDescent="0.25">
      <c r="C566" s="3"/>
      <c r="D566" s="3"/>
      <c r="E566" s="3"/>
      <c r="F566" s="3"/>
      <c r="G566" s="3"/>
      <c r="H566" s="3"/>
      <c r="I566" s="3"/>
      <c r="J566" s="3"/>
    </row>
    <row r="567" spans="3:10" ht="15" hidden="1" x14ac:dyDescent="0.25">
      <c r="C567" s="3"/>
      <c r="D567" s="3"/>
      <c r="E567" s="3"/>
      <c r="F567" s="3"/>
      <c r="G567" s="3"/>
      <c r="H567" s="3"/>
      <c r="I567" s="3"/>
      <c r="J567" s="3"/>
    </row>
    <row r="568" spans="3:10" ht="15" hidden="1" x14ac:dyDescent="0.25">
      <c r="C568" s="3"/>
      <c r="D568" s="3"/>
      <c r="E568" s="3"/>
      <c r="F568" s="3"/>
      <c r="G568" s="3"/>
      <c r="H568" s="3"/>
      <c r="I568" s="3"/>
      <c r="J568" s="3"/>
    </row>
    <row r="569" spans="3:10" ht="15" hidden="1" x14ac:dyDescent="0.25">
      <c r="C569" s="3"/>
      <c r="D569" s="3"/>
      <c r="E569" s="3"/>
      <c r="F569" s="3"/>
      <c r="G569" s="3"/>
      <c r="H569" s="3"/>
      <c r="I569" s="3"/>
      <c r="J569" s="3"/>
    </row>
    <row r="570" spans="3:10" ht="15" hidden="1" x14ac:dyDescent="0.25">
      <c r="C570" s="3"/>
      <c r="D570" s="3"/>
      <c r="E570" s="3"/>
      <c r="F570" s="3"/>
      <c r="G570" s="3"/>
      <c r="H570" s="3"/>
      <c r="I570" s="3"/>
      <c r="J570" s="3"/>
    </row>
    <row r="571" spans="3:10" ht="15" hidden="1" x14ac:dyDescent="0.25">
      <c r="C571" s="3"/>
      <c r="D571" s="3"/>
      <c r="E571" s="3"/>
      <c r="F571" s="3"/>
      <c r="G571" s="3"/>
      <c r="H571" s="3"/>
      <c r="I571" s="3"/>
      <c r="J571" s="3"/>
    </row>
    <row r="572" spans="3:10" ht="15" hidden="1" x14ac:dyDescent="0.25">
      <c r="C572" s="3"/>
      <c r="D572" s="3"/>
      <c r="E572" s="3"/>
      <c r="F572" s="3"/>
      <c r="G572" s="3"/>
      <c r="H572" s="3"/>
      <c r="I572" s="3"/>
      <c r="J572" s="3"/>
    </row>
    <row r="573" spans="3:10" ht="15" hidden="1" x14ac:dyDescent="0.25">
      <c r="C573" s="3"/>
      <c r="D573" s="3"/>
      <c r="E573" s="3"/>
      <c r="F573" s="3"/>
      <c r="G573" s="3"/>
      <c r="H573" s="3"/>
      <c r="I573" s="3"/>
      <c r="J573" s="3"/>
    </row>
    <row r="574" spans="3:10" ht="15" hidden="1" x14ac:dyDescent="0.25">
      <c r="C574" s="3"/>
      <c r="D574" s="3"/>
      <c r="E574" s="3"/>
      <c r="F574" s="3"/>
      <c r="G574" s="3"/>
      <c r="H574" s="3"/>
      <c r="I574" s="3"/>
      <c r="J574" s="3"/>
    </row>
    <row r="575" spans="3:10" ht="15" hidden="1" x14ac:dyDescent="0.25">
      <c r="C575" s="3"/>
      <c r="D575" s="3"/>
      <c r="E575" s="3"/>
      <c r="F575" s="3"/>
      <c r="G575" s="3"/>
      <c r="H575" s="3"/>
      <c r="I575" s="3"/>
      <c r="J575" s="3"/>
    </row>
    <row r="576" spans="3:10" ht="15" hidden="1" x14ac:dyDescent="0.25">
      <c r="C576" s="3"/>
      <c r="D576" s="3"/>
      <c r="E576" s="3"/>
      <c r="F576" s="3"/>
      <c r="G576" s="3"/>
      <c r="H576" s="3"/>
      <c r="I576" s="3"/>
      <c r="J576" s="3"/>
    </row>
    <row r="577" spans="3:10" ht="15" hidden="1" x14ac:dyDescent="0.25">
      <c r="C577" s="3"/>
      <c r="D577" s="3"/>
      <c r="E577" s="3"/>
      <c r="F577" s="3"/>
      <c r="G577" s="3"/>
      <c r="H577" s="3"/>
      <c r="I577" s="3"/>
      <c r="J577" s="3"/>
    </row>
    <row r="578" spans="3:10" ht="15" hidden="1" x14ac:dyDescent="0.25">
      <c r="C578" s="3"/>
      <c r="D578" s="3"/>
      <c r="E578" s="3"/>
      <c r="F578" s="3"/>
      <c r="G578" s="3"/>
      <c r="H578" s="3"/>
      <c r="I578" s="3"/>
      <c r="J578" s="3"/>
    </row>
    <row r="579" spans="3:10" ht="15" hidden="1" x14ac:dyDescent="0.25">
      <c r="C579" s="3"/>
      <c r="D579" s="3"/>
      <c r="E579" s="3"/>
      <c r="F579" s="3"/>
      <c r="G579" s="3"/>
      <c r="H579" s="3"/>
      <c r="I579" s="3"/>
      <c r="J579" s="3"/>
    </row>
    <row r="580" spans="3:10" ht="15" hidden="1" x14ac:dyDescent="0.25">
      <c r="C580" s="3"/>
      <c r="D580" s="3"/>
      <c r="E580" s="3"/>
      <c r="F580" s="3"/>
      <c r="G580" s="3"/>
      <c r="H580" s="3"/>
      <c r="I580" s="3"/>
      <c r="J580" s="3"/>
    </row>
    <row r="581" spans="3:10" ht="15" hidden="1" x14ac:dyDescent="0.25">
      <c r="C581" s="3"/>
      <c r="D581" s="3"/>
      <c r="E581" s="3"/>
      <c r="F581" s="3"/>
      <c r="G581" s="3"/>
      <c r="H581" s="3"/>
      <c r="I581" s="3"/>
      <c r="J581" s="3"/>
    </row>
    <row r="582" spans="3:10" ht="15" hidden="1" x14ac:dyDescent="0.25">
      <c r="C582" s="3"/>
      <c r="D582" s="3"/>
      <c r="E582" s="3"/>
      <c r="F582" s="3"/>
      <c r="G582" s="3"/>
      <c r="H582" s="3"/>
      <c r="I582" s="3"/>
      <c r="J582" s="3"/>
    </row>
    <row r="583" spans="3:10" ht="15" hidden="1" x14ac:dyDescent="0.25">
      <c r="C583" s="3"/>
      <c r="D583" s="3"/>
      <c r="E583" s="3"/>
      <c r="F583" s="3"/>
      <c r="G583" s="3"/>
      <c r="H583" s="3"/>
      <c r="I583" s="3"/>
      <c r="J583" s="3"/>
    </row>
    <row r="584" spans="3:10" ht="15" hidden="1" x14ac:dyDescent="0.25">
      <c r="C584" s="3"/>
      <c r="D584" s="3"/>
      <c r="E584" s="3"/>
      <c r="F584" s="3"/>
      <c r="G584" s="3"/>
      <c r="H584" s="3"/>
      <c r="I584" s="3"/>
      <c r="J584" s="3"/>
    </row>
    <row r="585" spans="3:10" ht="15" hidden="1" x14ac:dyDescent="0.25">
      <c r="C585" s="3"/>
      <c r="D585" s="3"/>
      <c r="E585" s="3"/>
      <c r="F585" s="3"/>
      <c r="G585" s="3"/>
      <c r="H585" s="3"/>
      <c r="I585" s="3"/>
      <c r="J585" s="3"/>
    </row>
    <row r="586" spans="3:10" ht="15" hidden="1" x14ac:dyDescent="0.25">
      <c r="C586" s="3"/>
      <c r="D586" s="3"/>
      <c r="E586" s="3"/>
      <c r="F586" s="3"/>
      <c r="G586" s="3"/>
      <c r="H586" s="3"/>
      <c r="I586" s="3"/>
      <c r="J586" s="3"/>
    </row>
    <row r="587" spans="3:10" ht="15" hidden="1" x14ac:dyDescent="0.25">
      <c r="C587" s="3"/>
      <c r="D587" s="3"/>
      <c r="E587" s="3"/>
      <c r="F587" s="3"/>
      <c r="G587" s="3"/>
      <c r="H587" s="3"/>
      <c r="I587" s="3"/>
      <c r="J587" s="3"/>
    </row>
    <row r="588" spans="3:10" ht="15" hidden="1" x14ac:dyDescent="0.25">
      <c r="C588" s="3"/>
      <c r="D588" s="3"/>
      <c r="E588" s="3"/>
      <c r="F588" s="3"/>
      <c r="G588" s="3"/>
      <c r="H588" s="3"/>
      <c r="I588" s="3"/>
      <c r="J588" s="3"/>
    </row>
    <row r="589" spans="3:10" ht="15" hidden="1" x14ac:dyDescent="0.25">
      <c r="C589" s="3"/>
      <c r="D589" s="3"/>
      <c r="E589" s="3"/>
      <c r="F589" s="3"/>
      <c r="G589" s="3"/>
      <c r="H589" s="3"/>
      <c r="I589" s="3"/>
      <c r="J589" s="3"/>
    </row>
    <row r="590" spans="3:10" ht="15" hidden="1" x14ac:dyDescent="0.25">
      <c r="C590" s="3"/>
      <c r="D590" s="3"/>
      <c r="E590" s="3"/>
      <c r="F590" s="3"/>
      <c r="G590" s="3"/>
      <c r="H590" s="3"/>
      <c r="I590" s="3"/>
      <c r="J590" s="3"/>
    </row>
    <row r="591" spans="3:10" ht="15" hidden="1" x14ac:dyDescent="0.25">
      <c r="C591" s="3"/>
      <c r="D591" s="3"/>
      <c r="E591" s="3"/>
      <c r="F591" s="3"/>
      <c r="G591" s="3"/>
      <c r="H591" s="3"/>
      <c r="I591" s="3"/>
      <c r="J591" s="3"/>
    </row>
    <row r="592" spans="3:10" ht="15" hidden="1" x14ac:dyDescent="0.25">
      <c r="C592" s="3"/>
      <c r="D592" s="3"/>
      <c r="E592" s="3"/>
      <c r="F592" s="3"/>
      <c r="G592" s="3"/>
      <c r="H592" s="3"/>
      <c r="I592" s="3"/>
      <c r="J592" s="3"/>
    </row>
    <row r="593" spans="3:10" ht="15" hidden="1" x14ac:dyDescent="0.25">
      <c r="C593" s="3"/>
      <c r="D593" s="3"/>
      <c r="E593" s="3"/>
      <c r="F593" s="3"/>
      <c r="G593" s="3"/>
      <c r="H593" s="3"/>
      <c r="I593" s="3"/>
      <c r="J593" s="3"/>
    </row>
    <row r="594" spans="3:10" ht="15" hidden="1" x14ac:dyDescent="0.25">
      <c r="C594" s="3"/>
      <c r="D594" s="3"/>
      <c r="E594" s="3"/>
      <c r="F594" s="3"/>
      <c r="G594" s="3"/>
      <c r="H594" s="3"/>
      <c r="I594" s="3"/>
      <c r="J594" s="3"/>
    </row>
    <row r="595" spans="3:10" ht="15" hidden="1" x14ac:dyDescent="0.25">
      <c r="C595" s="3"/>
      <c r="D595" s="3"/>
      <c r="E595" s="3"/>
      <c r="F595" s="3"/>
      <c r="G595" s="3"/>
      <c r="H595" s="3"/>
      <c r="I595" s="3"/>
      <c r="J595" s="3"/>
    </row>
    <row r="596" spans="3:10" ht="15" hidden="1" x14ac:dyDescent="0.25">
      <c r="C596" s="3"/>
      <c r="D596" s="3"/>
      <c r="E596" s="3"/>
      <c r="F596" s="3"/>
      <c r="G596" s="3"/>
      <c r="H596" s="3"/>
      <c r="I596" s="3"/>
      <c r="J596" s="3"/>
    </row>
    <row r="597" spans="3:10" ht="15" hidden="1" x14ac:dyDescent="0.25">
      <c r="C597" s="3"/>
      <c r="D597" s="3"/>
      <c r="E597" s="3"/>
      <c r="F597" s="3"/>
      <c r="G597" s="3"/>
      <c r="H597" s="3"/>
      <c r="I597" s="3"/>
      <c r="J597" s="3"/>
    </row>
    <row r="598" spans="3:10" ht="15" hidden="1" x14ac:dyDescent="0.25">
      <c r="C598" s="3"/>
      <c r="D598" s="3"/>
      <c r="E598" s="3"/>
      <c r="F598" s="3"/>
      <c r="G598" s="3"/>
      <c r="H598" s="3"/>
      <c r="I598" s="3"/>
      <c r="J598" s="3"/>
    </row>
    <row r="599" spans="3:10" ht="15" hidden="1" x14ac:dyDescent="0.25">
      <c r="C599" s="3"/>
      <c r="D599" s="3"/>
      <c r="E599" s="3"/>
      <c r="F599" s="3"/>
      <c r="G599" s="3"/>
      <c r="H599" s="3"/>
      <c r="I599" s="3"/>
      <c r="J599" s="3"/>
    </row>
    <row r="600" spans="3:10" ht="15" hidden="1" x14ac:dyDescent="0.25">
      <c r="C600" s="3"/>
      <c r="D600" s="3"/>
      <c r="E600" s="3"/>
      <c r="F600" s="3"/>
      <c r="G600" s="3"/>
      <c r="H600" s="3"/>
      <c r="I600" s="3"/>
      <c r="J600" s="3"/>
    </row>
    <row r="601" spans="3:10" ht="15" hidden="1" x14ac:dyDescent="0.25">
      <c r="C601" s="3"/>
      <c r="D601" s="3"/>
      <c r="E601" s="3"/>
      <c r="F601" s="3"/>
      <c r="G601" s="3"/>
      <c r="H601" s="3"/>
      <c r="I601" s="3"/>
      <c r="J601" s="3"/>
    </row>
    <row r="602" spans="3:10" ht="15" hidden="1" x14ac:dyDescent="0.25">
      <c r="C602" s="3"/>
      <c r="D602" s="3"/>
      <c r="E602" s="3"/>
      <c r="F602" s="3"/>
      <c r="G602" s="3"/>
      <c r="H602" s="3"/>
      <c r="I602" s="3"/>
      <c r="J602" s="3"/>
    </row>
    <row r="603" spans="3:10" ht="15" hidden="1" x14ac:dyDescent="0.25">
      <c r="C603" s="3"/>
      <c r="D603" s="3"/>
      <c r="E603" s="3"/>
      <c r="F603" s="3"/>
      <c r="G603" s="3"/>
      <c r="H603" s="3"/>
      <c r="I603" s="3"/>
      <c r="J603" s="3"/>
    </row>
    <row r="604" spans="3:10" ht="15" hidden="1" x14ac:dyDescent="0.25">
      <c r="C604" s="3"/>
      <c r="D604" s="3"/>
      <c r="E604" s="3"/>
      <c r="F604" s="3"/>
      <c r="G604" s="3"/>
      <c r="H604" s="3"/>
      <c r="I604" s="3"/>
      <c r="J604" s="3"/>
    </row>
    <row r="605" spans="3:10" ht="15" hidden="1" x14ac:dyDescent="0.25">
      <c r="C605" s="3"/>
      <c r="D605" s="3"/>
      <c r="E605" s="3"/>
      <c r="F605" s="3"/>
      <c r="G605" s="3"/>
      <c r="H605" s="3"/>
      <c r="I605" s="3"/>
      <c r="J605" s="3"/>
    </row>
    <row r="606" spans="3:10" ht="15" hidden="1" x14ac:dyDescent="0.25">
      <c r="C606" s="3"/>
      <c r="D606" s="3"/>
      <c r="E606" s="3"/>
      <c r="F606" s="3"/>
      <c r="G606" s="3"/>
      <c r="H606" s="3"/>
      <c r="I606" s="3"/>
      <c r="J606" s="3"/>
    </row>
    <row r="607" spans="3:10" ht="15" hidden="1" x14ac:dyDescent="0.25">
      <c r="C607" s="3"/>
      <c r="D607" s="3"/>
      <c r="E607" s="3"/>
      <c r="F607" s="3"/>
      <c r="G607" s="3"/>
      <c r="H607" s="3"/>
      <c r="I607" s="3"/>
      <c r="J607" s="3"/>
    </row>
    <row r="608" spans="3:10" ht="15" hidden="1" x14ac:dyDescent="0.25">
      <c r="C608" s="3"/>
      <c r="D608" s="3"/>
      <c r="E608" s="3"/>
      <c r="F608" s="3"/>
      <c r="G608" s="3"/>
      <c r="H608" s="3"/>
      <c r="I608" s="3"/>
      <c r="J608" s="3"/>
    </row>
    <row r="609" spans="3:10" ht="15" hidden="1" x14ac:dyDescent="0.25">
      <c r="C609" s="3"/>
      <c r="D609" s="3"/>
      <c r="E609" s="3"/>
      <c r="F609" s="3"/>
      <c r="G609" s="3"/>
      <c r="H609" s="3"/>
      <c r="I609" s="3"/>
      <c r="J609" s="3"/>
    </row>
    <row r="610" spans="3:10" ht="15" hidden="1" x14ac:dyDescent="0.25">
      <c r="C610" s="3"/>
      <c r="D610" s="3"/>
      <c r="E610" s="3"/>
      <c r="F610" s="3"/>
      <c r="G610" s="3"/>
      <c r="H610" s="3"/>
      <c r="I610" s="3"/>
      <c r="J610" s="3"/>
    </row>
    <row r="611" spans="3:10" ht="15" hidden="1" x14ac:dyDescent="0.25">
      <c r="C611" s="3"/>
      <c r="D611" s="3"/>
      <c r="E611" s="3"/>
      <c r="F611" s="3"/>
      <c r="G611" s="3"/>
      <c r="H611" s="3"/>
      <c r="I611" s="3"/>
      <c r="J611" s="3"/>
    </row>
    <row r="612" spans="3:10" ht="15" hidden="1" x14ac:dyDescent="0.25">
      <c r="C612" s="3"/>
      <c r="D612" s="3"/>
      <c r="E612" s="3"/>
      <c r="F612" s="3"/>
      <c r="G612" s="3"/>
      <c r="H612" s="3"/>
      <c r="I612" s="3"/>
      <c r="J612" s="3"/>
    </row>
    <row r="613" spans="3:10" ht="15" hidden="1" x14ac:dyDescent="0.25">
      <c r="C613" s="3"/>
      <c r="D613" s="3"/>
      <c r="E613" s="3"/>
      <c r="F613" s="3"/>
      <c r="G613" s="3"/>
      <c r="H613" s="3"/>
      <c r="I613" s="3"/>
      <c r="J613" s="3"/>
    </row>
    <row r="614" spans="3:10" ht="15" hidden="1" x14ac:dyDescent="0.25">
      <c r="C614" s="3"/>
      <c r="D614" s="3"/>
      <c r="E614" s="3"/>
      <c r="F614" s="3"/>
      <c r="G614" s="3"/>
      <c r="H614" s="3"/>
      <c r="I614" s="3"/>
      <c r="J614" s="3"/>
    </row>
    <row r="615" spans="3:10" ht="15" hidden="1" x14ac:dyDescent="0.25">
      <c r="C615" s="3"/>
      <c r="D615" s="3"/>
      <c r="E615" s="3"/>
      <c r="F615" s="3"/>
      <c r="G615" s="3"/>
      <c r="H615" s="3"/>
      <c r="I615" s="3"/>
      <c r="J615" s="3"/>
    </row>
    <row r="616" spans="3:10" ht="15" hidden="1" x14ac:dyDescent="0.25">
      <c r="C616" s="3"/>
      <c r="D616" s="3"/>
      <c r="E616" s="3"/>
      <c r="F616" s="3"/>
      <c r="G616" s="3"/>
      <c r="H616" s="3"/>
      <c r="I616" s="3"/>
      <c r="J616" s="3"/>
    </row>
    <row r="617" spans="3:10" ht="15" hidden="1" x14ac:dyDescent="0.25">
      <c r="C617" s="3"/>
      <c r="D617" s="3"/>
      <c r="E617" s="3"/>
      <c r="F617" s="3"/>
      <c r="G617" s="3"/>
      <c r="H617" s="3"/>
      <c r="I617" s="3"/>
      <c r="J617" s="3"/>
    </row>
    <row r="618" spans="3:10" ht="15" hidden="1" x14ac:dyDescent="0.25">
      <c r="C618" s="3"/>
      <c r="D618" s="3"/>
      <c r="E618" s="3"/>
      <c r="F618" s="3"/>
      <c r="G618" s="3"/>
      <c r="H618" s="3"/>
      <c r="I618" s="3"/>
      <c r="J618" s="3"/>
    </row>
    <row r="619" spans="3:10" ht="15" hidden="1" x14ac:dyDescent="0.25">
      <c r="C619" s="3"/>
      <c r="D619" s="3"/>
      <c r="E619" s="3"/>
      <c r="F619" s="3"/>
      <c r="G619" s="3"/>
      <c r="H619" s="3"/>
      <c r="I619" s="3"/>
      <c r="J619" s="3"/>
    </row>
    <row r="620" spans="3:10" ht="15" hidden="1" x14ac:dyDescent="0.25">
      <c r="C620" s="3"/>
      <c r="D620" s="3"/>
      <c r="E620" s="3"/>
      <c r="F620" s="3"/>
      <c r="G620" s="3"/>
      <c r="H620" s="3"/>
      <c r="I620" s="3"/>
      <c r="J620" s="3"/>
    </row>
    <row r="621" spans="3:10" ht="15" hidden="1" x14ac:dyDescent="0.25">
      <c r="C621" s="3"/>
      <c r="D621" s="3"/>
      <c r="E621" s="3"/>
      <c r="F621" s="3"/>
      <c r="G621" s="3"/>
      <c r="H621" s="3"/>
      <c r="I621" s="3"/>
      <c r="J621" s="3"/>
    </row>
    <row r="622" spans="3:10" ht="15" hidden="1" x14ac:dyDescent="0.25">
      <c r="C622" s="3"/>
      <c r="D622" s="3"/>
      <c r="E622" s="3"/>
      <c r="F622" s="3"/>
      <c r="G622" s="3"/>
      <c r="H622" s="3"/>
      <c r="I622" s="3"/>
      <c r="J622" s="3"/>
    </row>
    <row r="623" spans="3:10" ht="15" hidden="1" x14ac:dyDescent="0.25">
      <c r="C623" s="3"/>
      <c r="D623" s="3"/>
      <c r="E623" s="3"/>
      <c r="F623" s="3"/>
      <c r="G623" s="3"/>
      <c r="H623" s="3"/>
      <c r="I623" s="3"/>
      <c r="J623" s="3"/>
    </row>
    <row r="624" spans="3:10" ht="15" hidden="1" x14ac:dyDescent="0.25">
      <c r="C624" s="3"/>
      <c r="D624" s="3"/>
      <c r="E624" s="3"/>
      <c r="F624" s="3"/>
      <c r="G624" s="3"/>
      <c r="H624" s="3"/>
      <c r="I624" s="3"/>
      <c r="J624" s="3"/>
    </row>
    <row r="625" spans="3:10" ht="15" hidden="1" x14ac:dyDescent="0.25">
      <c r="C625" s="3"/>
      <c r="D625" s="3"/>
      <c r="E625" s="3"/>
      <c r="F625" s="3"/>
      <c r="G625" s="3"/>
      <c r="H625" s="3"/>
      <c r="I625" s="3"/>
      <c r="J625" s="3"/>
    </row>
    <row r="626" spans="3:10" ht="15" hidden="1" x14ac:dyDescent="0.25">
      <c r="C626" s="3"/>
      <c r="D626" s="3"/>
      <c r="E626" s="3"/>
      <c r="F626" s="3"/>
      <c r="G626" s="3"/>
      <c r="H626" s="3"/>
      <c r="I626" s="3"/>
      <c r="J626" s="3"/>
    </row>
    <row r="627" spans="3:10" ht="15" hidden="1" x14ac:dyDescent="0.25">
      <c r="C627" s="3"/>
      <c r="D627" s="3"/>
      <c r="E627" s="3"/>
      <c r="F627" s="3"/>
      <c r="G627" s="3"/>
      <c r="H627" s="3"/>
      <c r="I627" s="3"/>
      <c r="J627" s="3"/>
    </row>
    <row r="628" spans="3:10" ht="15" hidden="1" x14ac:dyDescent="0.25">
      <c r="C628" s="3"/>
      <c r="D628" s="3"/>
      <c r="E628" s="3"/>
      <c r="F628" s="3"/>
      <c r="G628" s="3"/>
      <c r="H628" s="3"/>
      <c r="I628" s="3"/>
      <c r="J628" s="3"/>
    </row>
    <row r="629" spans="3:10" ht="15" hidden="1" x14ac:dyDescent="0.25">
      <c r="C629" s="3"/>
      <c r="D629" s="3"/>
      <c r="E629" s="3"/>
      <c r="F629" s="3"/>
      <c r="G629" s="3"/>
      <c r="H629" s="3"/>
      <c r="I629" s="3"/>
      <c r="J629" s="3"/>
    </row>
    <row r="630" spans="3:10" ht="15" hidden="1" x14ac:dyDescent="0.25">
      <c r="C630" s="3"/>
      <c r="D630" s="3"/>
      <c r="E630" s="3"/>
      <c r="F630" s="3"/>
      <c r="G630" s="3"/>
      <c r="H630" s="3"/>
      <c r="I630" s="3"/>
      <c r="J630" s="3"/>
    </row>
    <row r="631" spans="3:10" ht="15" hidden="1" x14ac:dyDescent="0.25">
      <c r="C631" s="3"/>
      <c r="D631" s="3"/>
      <c r="E631" s="3"/>
      <c r="F631" s="3"/>
      <c r="G631" s="3"/>
      <c r="H631" s="3"/>
      <c r="I631" s="3"/>
      <c r="J631" s="3"/>
    </row>
    <row r="632" spans="3:10" ht="15" hidden="1" x14ac:dyDescent="0.25">
      <c r="C632" s="3"/>
      <c r="D632" s="3"/>
      <c r="E632" s="3"/>
      <c r="F632" s="3"/>
      <c r="G632" s="3"/>
      <c r="H632" s="3"/>
      <c r="I632" s="3"/>
      <c r="J632" s="3"/>
    </row>
    <row r="633" spans="3:10" ht="15" hidden="1" x14ac:dyDescent="0.25">
      <c r="C633" s="3"/>
      <c r="D633" s="3"/>
      <c r="E633" s="3"/>
      <c r="F633" s="3"/>
      <c r="G633" s="3"/>
      <c r="H633" s="3"/>
      <c r="I633" s="3"/>
      <c r="J633" s="3"/>
    </row>
    <row r="634" spans="3:10" ht="15" hidden="1" x14ac:dyDescent="0.25">
      <c r="C634" s="3"/>
      <c r="D634" s="3"/>
      <c r="E634" s="3"/>
      <c r="F634" s="3"/>
      <c r="G634" s="3"/>
      <c r="H634" s="3"/>
      <c r="I634" s="3"/>
      <c r="J634" s="3"/>
    </row>
    <row r="635" spans="3:10" ht="15" hidden="1" x14ac:dyDescent="0.25">
      <c r="C635" s="3"/>
      <c r="D635" s="3"/>
      <c r="E635" s="3"/>
      <c r="F635" s="3"/>
      <c r="G635" s="3"/>
      <c r="H635" s="3"/>
      <c r="I635" s="3"/>
      <c r="J635" s="3"/>
    </row>
    <row r="636" spans="3:10" ht="15" hidden="1" x14ac:dyDescent="0.25">
      <c r="C636" s="3"/>
      <c r="D636" s="3"/>
      <c r="E636" s="3"/>
      <c r="F636" s="3"/>
      <c r="G636" s="3"/>
      <c r="H636" s="3"/>
      <c r="I636" s="3"/>
      <c r="J636" s="3"/>
    </row>
    <row r="637" spans="3:10" ht="15" hidden="1" x14ac:dyDescent="0.25">
      <c r="C637" s="3"/>
      <c r="D637" s="3"/>
      <c r="E637" s="3"/>
      <c r="F637" s="3"/>
      <c r="G637" s="3"/>
      <c r="H637" s="3"/>
      <c r="I637" s="3"/>
      <c r="J637" s="3"/>
    </row>
    <row r="638" spans="3:10" ht="15" hidden="1" x14ac:dyDescent="0.25">
      <c r="C638" s="3"/>
      <c r="D638" s="3"/>
      <c r="E638" s="3"/>
      <c r="F638" s="3"/>
      <c r="G638" s="3"/>
      <c r="H638" s="3"/>
      <c r="I638" s="3"/>
      <c r="J638" s="3"/>
    </row>
    <row r="639" spans="3:10" ht="15" hidden="1" x14ac:dyDescent="0.25">
      <c r="C639" s="3"/>
      <c r="D639" s="3"/>
      <c r="E639" s="3"/>
      <c r="F639" s="3"/>
      <c r="G639" s="3"/>
      <c r="H639" s="3"/>
      <c r="I639" s="3"/>
      <c r="J639" s="3"/>
    </row>
    <row r="640" spans="3:10" ht="15" hidden="1" x14ac:dyDescent="0.25">
      <c r="C640" s="3"/>
      <c r="D640" s="3"/>
      <c r="E640" s="3"/>
      <c r="F640" s="3"/>
      <c r="G640" s="3"/>
      <c r="H640" s="3"/>
      <c r="I640" s="3"/>
      <c r="J640" s="3"/>
    </row>
    <row r="641" spans="3:10" ht="15" hidden="1" x14ac:dyDescent="0.25">
      <c r="C641" s="3"/>
      <c r="D641" s="3"/>
      <c r="E641" s="3"/>
      <c r="F641" s="3"/>
      <c r="G641" s="3"/>
      <c r="H641" s="3"/>
      <c r="I641" s="3"/>
      <c r="J641" s="3"/>
    </row>
    <row r="642" spans="3:10" ht="15" hidden="1" x14ac:dyDescent="0.25">
      <c r="C642" s="3"/>
      <c r="D642" s="3"/>
      <c r="E642" s="3"/>
      <c r="F642" s="3"/>
      <c r="G642" s="3"/>
      <c r="H642" s="3"/>
      <c r="I642" s="3"/>
      <c r="J642" s="3"/>
    </row>
    <row r="643" spans="3:10" ht="15" hidden="1" x14ac:dyDescent="0.25">
      <c r="C643" s="3"/>
      <c r="D643" s="3"/>
      <c r="E643" s="3"/>
      <c r="F643" s="3"/>
      <c r="G643" s="3"/>
      <c r="H643" s="3"/>
      <c r="I643" s="3"/>
      <c r="J643" s="3"/>
    </row>
    <row r="644" spans="3:10" ht="15" hidden="1" x14ac:dyDescent="0.25">
      <c r="C644" s="3"/>
      <c r="D644" s="3"/>
      <c r="E644" s="3"/>
      <c r="F644" s="3"/>
      <c r="G644" s="3"/>
      <c r="H644" s="3"/>
      <c r="I644" s="3"/>
      <c r="J644" s="3"/>
    </row>
    <row r="645" spans="3:10" ht="15" hidden="1" x14ac:dyDescent="0.25">
      <c r="C645" s="3"/>
      <c r="D645" s="3"/>
      <c r="E645" s="3"/>
      <c r="F645" s="3"/>
      <c r="G645" s="3"/>
      <c r="H645" s="3"/>
      <c r="I645" s="3"/>
      <c r="J645" s="3"/>
    </row>
    <row r="646" spans="3:10" ht="15" hidden="1" x14ac:dyDescent="0.25">
      <c r="C646" s="3"/>
      <c r="D646" s="3"/>
      <c r="E646" s="3"/>
      <c r="F646" s="3"/>
      <c r="G646" s="3"/>
      <c r="H646" s="3"/>
      <c r="I646" s="3"/>
      <c r="J646" s="3"/>
    </row>
    <row r="647" spans="3:10" ht="15" hidden="1" x14ac:dyDescent="0.25">
      <c r="C647" s="3"/>
      <c r="D647" s="3"/>
      <c r="E647" s="3"/>
      <c r="F647" s="3"/>
      <c r="G647" s="3"/>
      <c r="H647" s="3"/>
      <c r="I647" s="3"/>
      <c r="J647" s="3"/>
    </row>
    <row r="648" spans="3:10" ht="15" hidden="1" x14ac:dyDescent="0.25">
      <c r="C648" s="3"/>
      <c r="D648" s="3"/>
      <c r="E648" s="3"/>
      <c r="F648" s="3"/>
      <c r="G648" s="3"/>
      <c r="H648" s="3"/>
      <c r="I648" s="3"/>
      <c r="J648" s="3"/>
    </row>
    <row r="649" spans="3:10" ht="15" hidden="1" x14ac:dyDescent="0.25">
      <c r="C649" s="3"/>
      <c r="D649" s="3"/>
      <c r="E649" s="3"/>
      <c r="F649" s="3"/>
      <c r="G649" s="3"/>
      <c r="H649" s="3"/>
      <c r="I649" s="3"/>
      <c r="J649" s="3"/>
    </row>
    <row r="650" spans="3:10" ht="15" hidden="1" x14ac:dyDescent="0.25">
      <c r="C650" s="3"/>
      <c r="D650" s="3"/>
      <c r="E650" s="3"/>
      <c r="F650" s="3"/>
      <c r="G650" s="3"/>
      <c r="H650" s="3"/>
      <c r="I650" s="3"/>
      <c r="J650" s="3"/>
    </row>
    <row r="651" spans="3:10" ht="15" hidden="1" x14ac:dyDescent="0.25">
      <c r="C651" s="3"/>
      <c r="D651" s="3"/>
      <c r="E651" s="3"/>
      <c r="F651" s="3"/>
      <c r="G651" s="3"/>
      <c r="H651" s="3"/>
      <c r="I651" s="3"/>
      <c r="J651" s="3"/>
    </row>
    <row r="652" spans="3:10" ht="15" hidden="1" x14ac:dyDescent="0.25">
      <c r="C652" s="3"/>
      <c r="D652" s="3"/>
      <c r="E652" s="3"/>
      <c r="F652" s="3"/>
      <c r="G652" s="3"/>
      <c r="H652" s="3"/>
      <c r="I652" s="3"/>
      <c r="J652" s="3"/>
    </row>
    <row r="653" spans="3:10" ht="15" hidden="1" x14ac:dyDescent="0.25">
      <c r="C653" s="3"/>
      <c r="D653" s="3"/>
      <c r="E653" s="3"/>
      <c r="F653" s="3"/>
      <c r="G653" s="3"/>
      <c r="H653" s="3"/>
      <c r="I653" s="3"/>
      <c r="J653" s="3"/>
    </row>
    <row r="654" spans="3:10" ht="15" hidden="1" x14ac:dyDescent="0.25">
      <c r="C654" s="3"/>
      <c r="D654" s="3"/>
      <c r="E654" s="3"/>
      <c r="F654" s="3"/>
      <c r="G654" s="3"/>
      <c r="H654" s="3"/>
      <c r="I654" s="3"/>
      <c r="J654" s="3"/>
    </row>
    <row r="655" spans="3:10" ht="15" hidden="1" x14ac:dyDescent="0.25">
      <c r="C655" s="3"/>
      <c r="D655" s="3"/>
      <c r="E655" s="3"/>
      <c r="F655" s="3"/>
      <c r="G655" s="3"/>
      <c r="H655" s="3"/>
      <c r="I655" s="3"/>
      <c r="J655" s="3"/>
    </row>
    <row r="656" spans="3:10" ht="15" hidden="1" x14ac:dyDescent="0.25">
      <c r="C656" s="3"/>
      <c r="D656" s="3"/>
      <c r="E656" s="3"/>
      <c r="F656" s="3"/>
      <c r="G656" s="3"/>
      <c r="H656" s="3"/>
      <c r="I656" s="3"/>
      <c r="J656" s="3"/>
    </row>
    <row r="657" spans="3:10" ht="15" hidden="1" x14ac:dyDescent="0.25">
      <c r="C657" s="3"/>
      <c r="D657" s="3"/>
      <c r="E657" s="3"/>
      <c r="F657" s="3"/>
      <c r="G657" s="3"/>
      <c r="H657" s="3"/>
      <c r="I657" s="3"/>
      <c r="J657" s="3"/>
    </row>
    <row r="658" spans="3:10" ht="15" hidden="1" x14ac:dyDescent="0.25">
      <c r="C658" s="3"/>
      <c r="D658" s="3"/>
      <c r="E658" s="3"/>
      <c r="F658" s="3"/>
      <c r="G658" s="3"/>
      <c r="H658" s="3"/>
      <c r="I658" s="3"/>
      <c r="J658" s="3"/>
    </row>
    <row r="659" spans="3:10" ht="15" hidden="1" x14ac:dyDescent="0.25">
      <c r="C659" s="3"/>
      <c r="D659" s="3"/>
      <c r="E659" s="3"/>
      <c r="F659" s="3"/>
      <c r="G659" s="3"/>
      <c r="H659" s="3"/>
      <c r="I659" s="3"/>
      <c r="J659" s="3"/>
    </row>
    <row r="660" spans="3:10" ht="15" hidden="1" x14ac:dyDescent="0.25">
      <c r="C660" s="3"/>
      <c r="D660" s="3"/>
      <c r="E660" s="3"/>
      <c r="F660" s="3"/>
      <c r="G660" s="3"/>
      <c r="H660" s="3"/>
      <c r="I660" s="3"/>
      <c r="J660" s="3"/>
    </row>
    <row r="661" spans="3:10" ht="15" hidden="1" x14ac:dyDescent="0.25">
      <c r="C661" s="3"/>
      <c r="D661" s="3"/>
      <c r="E661" s="3"/>
      <c r="F661" s="3"/>
      <c r="G661" s="3"/>
      <c r="H661" s="3"/>
      <c r="I661" s="3"/>
      <c r="J661" s="3"/>
    </row>
    <row r="662" spans="3:10" ht="15" hidden="1" x14ac:dyDescent="0.25">
      <c r="C662" s="3"/>
      <c r="D662" s="3"/>
      <c r="E662" s="3"/>
      <c r="F662" s="3"/>
      <c r="G662" s="3"/>
      <c r="H662" s="3"/>
      <c r="I662" s="3"/>
      <c r="J662" s="3"/>
    </row>
    <row r="663" spans="3:10" ht="15" hidden="1" x14ac:dyDescent="0.25">
      <c r="C663" s="3"/>
      <c r="D663" s="3"/>
      <c r="E663" s="3"/>
      <c r="F663" s="3"/>
      <c r="G663" s="3"/>
      <c r="H663" s="3"/>
      <c r="I663" s="3"/>
      <c r="J663" s="3"/>
    </row>
    <row r="664" spans="3:10" ht="15" hidden="1" x14ac:dyDescent="0.25">
      <c r="C664" s="3"/>
      <c r="D664" s="3"/>
      <c r="E664" s="3"/>
      <c r="F664" s="3"/>
      <c r="G664" s="3"/>
      <c r="H664" s="3"/>
      <c r="I664" s="3"/>
      <c r="J664" s="3"/>
    </row>
    <row r="665" spans="3:10" ht="15" hidden="1" x14ac:dyDescent="0.25">
      <c r="C665" s="3"/>
      <c r="D665" s="3"/>
      <c r="E665" s="3"/>
      <c r="F665" s="3"/>
      <c r="G665" s="3"/>
      <c r="H665" s="3"/>
      <c r="I665" s="3"/>
      <c r="J665" s="3"/>
    </row>
    <row r="666" spans="3:10" ht="15" hidden="1" x14ac:dyDescent="0.25">
      <c r="C666" s="3"/>
      <c r="D666" s="3"/>
      <c r="E666" s="3"/>
      <c r="F666" s="3"/>
      <c r="G666" s="3"/>
      <c r="H666" s="3"/>
      <c r="I666" s="3"/>
      <c r="J666" s="3"/>
    </row>
    <row r="667" spans="3:10" ht="15" hidden="1" x14ac:dyDescent="0.25">
      <c r="C667" s="3"/>
      <c r="D667" s="3"/>
      <c r="E667" s="3"/>
      <c r="F667" s="3"/>
      <c r="G667" s="3"/>
      <c r="H667" s="3"/>
      <c r="I667" s="3"/>
      <c r="J667" s="3"/>
    </row>
    <row r="668" spans="3:10" ht="15" hidden="1" x14ac:dyDescent="0.25">
      <c r="C668" s="3"/>
      <c r="D668" s="3"/>
      <c r="E668" s="3"/>
      <c r="F668" s="3"/>
      <c r="G668" s="3"/>
      <c r="H668" s="3"/>
      <c r="I668" s="3"/>
      <c r="J668" s="3"/>
    </row>
    <row r="669" spans="3:10" ht="15" hidden="1" x14ac:dyDescent="0.25">
      <c r="C669" s="3"/>
      <c r="D669" s="3"/>
      <c r="E669" s="3"/>
      <c r="F669" s="3"/>
      <c r="G669" s="3"/>
      <c r="H669" s="3"/>
      <c r="I669" s="3"/>
      <c r="J669" s="3"/>
    </row>
    <row r="670" spans="3:10" ht="15" hidden="1" x14ac:dyDescent="0.25">
      <c r="C670" s="3"/>
      <c r="D670" s="3"/>
      <c r="E670" s="3"/>
      <c r="F670" s="3"/>
      <c r="G670" s="3"/>
      <c r="H670" s="3"/>
      <c r="I670" s="3"/>
      <c r="J670" s="3"/>
    </row>
    <row r="671" spans="3:10" ht="15" hidden="1" x14ac:dyDescent="0.25">
      <c r="C671" s="3"/>
      <c r="D671" s="3"/>
      <c r="E671" s="3"/>
      <c r="F671" s="3"/>
      <c r="G671" s="3"/>
      <c r="H671" s="3"/>
      <c r="I671" s="3"/>
      <c r="J671" s="3"/>
    </row>
    <row r="672" spans="3:10" ht="15" hidden="1" x14ac:dyDescent="0.25">
      <c r="C672" s="3"/>
      <c r="D672" s="3"/>
      <c r="E672" s="3"/>
      <c r="F672" s="3"/>
      <c r="G672" s="3"/>
      <c r="H672" s="3"/>
      <c r="I672" s="3"/>
      <c r="J672" s="3"/>
    </row>
    <row r="673" spans="3:10" ht="15" hidden="1" x14ac:dyDescent="0.25">
      <c r="C673" s="3"/>
      <c r="D673" s="3"/>
      <c r="E673" s="3"/>
      <c r="F673" s="3"/>
      <c r="G673" s="3"/>
      <c r="H673" s="3"/>
      <c r="I673" s="3"/>
      <c r="J673" s="3"/>
    </row>
    <row r="674" spans="3:10" ht="15" hidden="1" x14ac:dyDescent="0.25">
      <c r="C674" s="3"/>
      <c r="D674" s="3"/>
      <c r="E674" s="3"/>
      <c r="F674" s="3"/>
      <c r="G674" s="3"/>
      <c r="H674" s="3"/>
      <c r="I674" s="3"/>
      <c r="J674" s="3"/>
    </row>
    <row r="675" spans="3:10" ht="15" hidden="1" x14ac:dyDescent="0.25">
      <c r="C675" s="3"/>
      <c r="D675" s="3"/>
      <c r="E675" s="3"/>
      <c r="F675" s="3"/>
      <c r="G675" s="3"/>
      <c r="H675" s="3"/>
      <c r="I675" s="3"/>
      <c r="J675" s="3"/>
    </row>
    <row r="676" spans="3:10" ht="15" hidden="1" x14ac:dyDescent="0.25">
      <c r="C676" s="3"/>
      <c r="D676" s="3"/>
      <c r="E676" s="3"/>
      <c r="F676" s="3"/>
      <c r="G676" s="3"/>
      <c r="H676" s="3"/>
      <c r="I676" s="3"/>
      <c r="J676" s="3"/>
    </row>
    <row r="677" spans="3:10" ht="15" hidden="1" x14ac:dyDescent="0.25">
      <c r="C677" s="3"/>
      <c r="D677" s="3"/>
      <c r="E677" s="3"/>
      <c r="F677" s="3"/>
      <c r="G677" s="3"/>
      <c r="H677" s="3"/>
      <c r="I677" s="3"/>
      <c r="J677" s="3"/>
    </row>
    <row r="678" spans="3:10" ht="15" hidden="1" x14ac:dyDescent="0.25">
      <c r="C678" s="3"/>
      <c r="D678" s="3"/>
      <c r="E678" s="3"/>
      <c r="F678" s="3"/>
      <c r="G678" s="3"/>
      <c r="H678" s="3"/>
      <c r="I678" s="3"/>
      <c r="J678" s="3"/>
    </row>
    <row r="679" spans="3:10" ht="15" hidden="1" x14ac:dyDescent="0.25">
      <c r="C679" s="3"/>
      <c r="D679" s="3"/>
      <c r="E679" s="3"/>
      <c r="F679" s="3"/>
      <c r="G679" s="3"/>
      <c r="H679" s="3"/>
      <c r="I679" s="3"/>
      <c r="J679" s="3"/>
    </row>
    <row r="680" spans="3:10" ht="15" hidden="1" x14ac:dyDescent="0.25">
      <c r="C680" s="3"/>
      <c r="D680" s="3"/>
      <c r="E680" s="3"/>
      <c r="F680" s="3"/>
      <c r="G680" s="3"/>
      <c r="H680" s="3"/>
      <c r="I680" s="3"/>
      <c r="J680" s="3"/>
    </row>
    <row r="681" spans="3:10" ht="15" hidden="1" x14ac:dyDescent="0.25">
      <c r="C681" s="3"/>
      <c r="D681" s="3"/>
      <c r="E681" s="3"/>
      <c r="F681" s="3"/>
      <c r="G681" s="3"/>
      <c r="H681" s="3"/>
      <c r="I681" s="3"/>
      <c r="J681" s="3"/>
    </row>
    <row r="682" spans="3:10" ht="15" hidden="1" x14ac:dyDescent="0.25">
      <c r="C682" s="3"/>
      <c r="D682" s="3"/>
      <c r="E682" s="3"/>
      <c r="F682" s="3"/>
      <c r="G682" s="3"/>
      <c r="H682" s="3"/>
      <c r="I682" s="3"/>
      <c r="J682" s="3"/>
    </row>
    <row r="683" spans="3:10" ht="15" hidden="1" x14ac:dyDescent="0.25">
      <c r="C683" s="3"/>
      <c r="D683" s="3"/>
      <c r="E683" s="3"/>
      <c r="F683" s="3"/>
      <c r="G683" s="3"/>
      <c r="H683" s="3"/>
      <c r="I683" s="3"/>
      <c r="J683" s="3"/>
    </row>
    <row r="684" spans="3:10" ht="15" hidden="1" x14ac:dyDescent="0.25">
      <c r="C684" s="3"/>
      <c r="D684" s="3"/>
      <c r="E684" s="3"/>
      <c r="F684" s="3"/>
      <c r="G684" s="3"/>
      <c r="H684" s="3"/>
      <c r="I684" s="3"/>
      <c r="J684" s="3"/>
    </row>
    <row r="685" spans="3:10" ht="15" hidden="1" x14ac:dyDescent="0.25">
      <c r="C685" s="3"/>
      <c r="D685" s="3"/>
      <c r="E685" s="3"/>
      <c r="F685" s="3"/>
      <c r="G685" s="3"/>
      <c r="H685" s="3"/>
      <c r="I685" s="3"/>
      <c r="J685" s="3"/>
    </row>
    <row r="686" spans="3:10" ht="15" hidden="1" x14ac:dyDescent="0.25">
      <c r="C686" s="3"/>
      <c r="D686" s="3"/>
      <c r="E686" s="3"/>
      <c r="F686" s="3"/>
      <c r="G686" s="3"/>
      <c r="H686" s="3"/>
      <c r="I686" s="3"/>
      <c r="J686" s="3"/>
    </row>
    <row r="687" spans="3:10" ht="15" hidden="1" x14ac:dyDescent="0.25">
      <c r="C687" s="3"/>
      <c r="D687" s="3"/>
      <c r="E687" s="3"/>
      <c r="F687" s="3"/>
      <c r="G687" s="3"/>
      <c r="H687" s="3"/>
      <c r="I687" s="3"/>
      <c r="J687" s="3"/>
    </row>
    <row r="688" spans="3:10" ht="15" hidden="1" x14ac:dyDescent="0.25">
      <c r="C688" s="3"/>
      <c r="D688" s="3"/>
      <c r="E688" s="3"/>
      <c r="F688" s="3"/>
      <c r="G688" s="3"/>
      <c r="H688" s="3"/>
      <c r="I688" s="3"/>
      <c r="J688" s="3"/>
    </row>
    <row r="689" spans="3:10" ht="15" hidden="1" x14ac:dyDescent="0.25">
      <c r="C689" s="3"/>
      <c r="D689" s="3"/>
      <c r="E689" s="3"/>
      <c r="F689" s="3"/>
      <c r="G689" s="3"/>
      <c r="H689" s="3"/>
      <c r="I689" s="3"/>
      <c r="J689" s="3"/>
    </row>
    <row r="690" spans="3:10" ht="15" hidden="1" x14ac:dyDescent="0.25">
      <c r="C690" s="3"/>
      <c r="D690" s="3"/>
      <c r="E690" s="3"/>
      <c r="F690" s="3"/>
      <c r="G690" s="3"/>
      <c r="H690" s="3"/>
      <c r="I690" s="3"/>
      <c r="J690" s="3"/>
    </row>
    <row r="691" spans="3:10" ht="15" hidden="1" x14ac:dyDescent="0.25">
      <c r="C691" s="3"/>
      <c r="D691" s="3"/>
      <c r="E691" s="3"/>
      <c r="F691" s="3"/>
      <c r="G691" s="3"/>
      <c r="H691" s="3"/>
      <c r="I691" s="3"/>
      <c r="J691" s="3"/>
    </row>
    <row r="692" spans="3:10" ht="15" hidden="1" x14ac:dyDescent="0.25">
      <c r="C692" s="3"/>
      <c r="D692" s="3"/>
      <c r="E692" s="3"/>
      <c r="F692" s="3"/>
      <c r="G692" s="3"/>
      <c r="H692" s="3"/>
      <c r="I692" s="3"/>
      <c r="J692" s="3"/>
    </row>
    <row r="693" spans="3:10" ht="15" hidden="1" x14ac:dyDescent="0.25">
      <c r="C693" s="3"/>
      <c r="D693" s="3"/>
      <c r="E693" s="3"/>
      <c r="F693" s="3"/>
      <c r="G693" s="3"/>
      <c r="H693" s="3"/>
      <c r="I693" s="3"/>
      <c r="J693" s="3"/>
    </row>
    <row r="694" spans="3:10" ht="15" hidden="1" x14ac:dyDescent="0.25">
      <c r="C694" s="3"/>
      <c r="D694" s="3"/>
      <c r="E694" s="3"/>
      <c r="F694" s="3"/>
      <c r="G694" s="3"/>
      <c r="H694" s="3"/>
      <c r="I694" s="3"/>
      <c r="J694" s="3"/>
    </row>
    <row r="695" spans="3:10" ht="15" hidden="1" x14ac:dyDescent="0.25">
      <c r="C695" s="3"/>
      <c r="D695" s="3"/>
      <c r="E695" s="3"/>
      <c r="F695" s="3"/>
      <c r="G695" s="3"/>
      <c r="H695" s="3"/>
      <c r="I695" s="3"/>
      <c r="J695" s="3"/>
    </row>
    <row r="696" spans="3:10" ht="15" hidden="1" x14ac:dyDescent="0.25">
      <c r="C696" s="3"/>
      <c r="D696" s="3"/>
      <c r="E696" s="3"/>
      <c r="F696" s="3"/>
      <c r="G696" s="3"/>
      <c r="H696" s="3"/>
      <c r="I696" s="3"/>
      <c r="J696" s="3"/>
    </row>
    <row r="697" spans="3:10" ht="15" hidden="1" x14ac:dyDescent="0.25">
      <c r="C697" s="3"/>
      <c r="D697" s="3"/>
      <c r="E697" s="3"/>
      <c r="F697" s="3"/>
      <c r="G697" s="3"/>
      <c r="H697" s="3"/>
      <c r="I697" s="3"/>
      <c r="J697" s="3"/>
    </row>
    <row r="698" spans="3:10" ht="15" hidden="1" x14ac:dyDescent="0.25">
      <c r="C698" s="3"/>
      <c r="D698" s="3"/>
      <c r="E698" s="3"/>
      <c r="F698" s="3"/>
      <c r="G698" s="3"/>
      <c r="H698" s="3"/>
      <c r="I698" s="3"/>
      <c r="J698" s="3"/>
    </row>
    <row r="699" spans="3:10" ht="15" hidden="1" x14ac:dyDescent="0.25">
      <c r="C699" s="3"/>
      <c r="D699" s="3"/>
      <c r="E699" s="3"/>
      <c r="F699" s="3"/>
      <c r="G699" s="3"/>
      <c r="H699" s="3"/>
      <c r="I699" s="3"/>
      <c r="J699" s="3"/>
    </row>
    <row r="700" spans="3:10" ht="15" hidden="1" x14ac:dyDescent="0.25">
      <c r="C700" s="3"/>
      <c r="D700" s="3"/>
      <c r="E700" s="3"/>
      <c r="F700" s="3"/>
      <c r="G700" s="3"/>
      <c r="H700" s="3"/>
      <c r="I700" s="3"/>
      <c r="J700" s="3"/>
    </row>
    <row r="701" spans="3:10" ht="15" hidden="1" x14ac:dyDescent="0.25">
      <c r="C701" s="3"/>
      <c r="D701" s="3"/>
      <c r="E701" s="3"/>
      <c r="F701" s="3"/>
      <c r="G701" s="3"/>
      <c r="H701" s="3"/>
      <c r="I701" s="3"/>
      <c r="J701" s="3"/>
    </row>
    <row r="702" spans="3:10" ht="15" hidden="1" x14ac:dyDescent="0.25">
      <c r="C702" s="3"/>
      <c r="D702" s="3"/>
      <c r="E702" s="3"/>
      <c r="F702" s="3"/>
      <c r="G702" s="3"/>
      <c r="H702" s="3"/>
      <c r="I702" s="3"/>
      <c r="J702" s="3"/>
    </row>
    <row r="703" spans="3:10" ht="15" hidden="1" x14ac:dyDescent="0.25">
      <c r="C703" s="3"/>
      <c r="D703" s="3"/>
      <c r="E703" s="3"/>
      <c r="F703" s="3"/>
      <c r="G703" s="3"/>
      <c r="H703" s="3"/>
      <c r="I703" s="3"/>
      <c r="J703" s="3"/>
    </row>
    <row r="704" spans="3:10" ht="15" hidden="1" x14ac:dyDescent="0.25">
      <c r="C704" s="3"/>
      <c r="D704" s="3"/>
      <c r="E704" s="3"/>
      <c r="F704" s="3"/>
      <c r="G704" s="3"/>
      <c r="H704" s="3"/>
      <c r="I704" s="3"/>
      <c r="J704" s="3"/>
    </row>
    <row r="705" spans="3:10" ht="15" hidden="1" x14ac:dyDescent="0.25">
      <c r="C705" s="3"/>
      <c r="D705" s="3"/>
      <c r="E705" s="3"/>
      <c r="F705" s="3"/>
      <c r="G705" s="3"/>
      <c r="H705" s="3"/>
      <c r="I705" s="3"/>
      <c r="J705" s="3"/>
    </row>
    <row r="706" spans="3:10" ht="15" hidden="1" x14ac:dyDescent="0.25">
      <c r="C706" s="3"/>
      <c r="D706" s="3"/>
      <c r="E706" s="3"/>
      <c r="F706" s="3"/>
      <c r="G706" s="3"/>
      <c r="H706" s="3"/>
      <c r="I706" s="3"/>
      <c r="J706" s="3"/>
    </row>
    <row r="707" spans="3:10" ht="15" hidden="1" x14ac:dyDescent="0.25">
      <c r="C707" s="3"/>
      <c r="D707" s="3"/>
      <c r="E707" s="3"/>
      <c r="F707" s="3"/>
      <c r="G707" s="3"/>
      <c r="H707" s="3"/>
      <c r="I707" s="3"/>
      <c r="J707" s="3"/>
    </row>
    <row r="708" spans="3:10" ht="15" hidden="1" x14ac:dyDescent="0.25">
      <c r="C708" s="3"/>
      <c r="D708" s="3"/>
      <c r="E708" s="3"/>
      <c r="F708" s="3"/>
      <c r="G708" s="3"/>
      <c r="H708" s="3"/>
      <c r="I708" s="3"/>
      <c r="J708" s="3"/>
    </row>
    <row r="709" spans="3:10" ht="15" hidden="1" x14ac:dyDescent="0.25">
      <c r="C709" s="3"/>
      <c r="D709" s="3"/>
      <c r="E709" s="3"/>
      <c r="F709" s="3"/>
      <c r="G709" s="3"/>
      <c r="H709" s="3"/>
      <c r="I709" s="3"/>
      <c r="J709" s="3"/>
    </row>
    <row r="710" spans="3:10" ht="15" hidden="1" x14ac:dyDescent="0.25">
      <c r="C710" s="3"/>
      <c r="D710" s="3"/>
      <c r="E710" s="3"/>
      <c r="F710" s="3"/>
      <c r="G710" s="3"/>
      <c r="H710" s="3"/>
      <c r="I710" s="3"/>
      <c r="J710" s="3"/>
    </row>
    <row r="711" spans="3:10" ht="15" hidden="1" x14ac:dyDescent="0.25">
      <c r="C711" s="3"/>
      <c r="D711" s="3"/>
      <c r="E711" s="3"/>
      <c r="F711" s="3"/>
      <c r="G711" s="3"/>
      <c r="H711" s="3"/>
      <c r="I711" s="3"/>
      <c r="J711" s="3"/>
    </row>
    <row r="712" spans="3:10" ht="15" hidden="1" x14ac:dyDescent="0.25">
      <c r="C712" s="3"/>
      <c r="D712" s="3"/>
      <c r="E712" s="3"/>
      <c r="F712" s="3"/>
      <c r="G712" s="3"/>
      <c r="H712" s="3"/>
      <c r="I712" s="3"/>
      <c r="J712" s="3"/>
    </row>
    <row r="713" spans="3:10" ht="15" hidden="1" x14ac:dyDescent="0.25">
      <c r="C713" s="3"/>
      <c r="D713" s="3"/>
      <c r="E713" s="3"/>
      <c r="F713" s="3"/>
      <c r="G713" s="3"/>
      <c r="H713" s="3"/>
      <c r="I713" s="3"/>
      <c r="J713" s="3"/>
    </row>
    <row r="714" spans="3:10" ht="15" hidden="1" x14ac:dyDescent="0.25">
      <c r="C714" s="3"/>
      <c r="D714" s="3"/>
      <c r="E714" s="3"/>
      <c r="F714" s="3"/>
      <c r="G714" s="3"/>
      <c r="H714" s="3"/>
      <c r="I714" s="3"/>
      <c r="J714" s="3"/>
    </row>
    <row r="715" spans="3:10" ht="15" hidden="1" x14ac:dyDescent="0.25">
      <c r="C715" s="3"/>
      <c r="D715" s="3"/>
      <c r="E715" s="3"/>
      <c r="F715" s="3"/>
      <c r="G715" s="3"/>
      <c r="H715" s="3"/>
      <c r="I715" s="3"/>
      <c r="J715" s="3"/>
    </row>
    <row r="716" spans="3:10" ht="15" hidden="1" x14ac:dyDescent="0.25">
      <c r="C716" s="3"/>
      <c r="D716" s="3"/>
      <c r="E716" s="3"/>
      <c r="F716" s="3"/>
      <c r="G716" s="3"/>
      <c r="H716" s="3"/>
      <c r="I716" s="3"/>
      <c r="J716" s="3"/>
    </row>
    <row r="717" spans="3:10" ht="15" hidden="1" x14ac:dyDescent="0.25">
      <c r="C717" s="3"/>
      <c r="D717" s="3"/>
      <c r="E717" s="3"/>
      <c r="F717" s="3"/>
      <c r="G717" s="3"/>
      <c r="H717" s="3"/>
      <c r="I717" s="3"/>
      <c r="J717" s="3"/>
    </row>
    <row r="718" spans="3:10" ht="15" hidden="1" x14ac:dyDescent="0.25">
      <c r="C718" s="3"/>
      <c r="D718" s="3"/>
      <c r="E718" s="3"/>
      <c r="F718" s="3"/>
      <c r="G718" s="3"/>
      <c r="H718" s="3"/>
      <c r="I718" s="3"/>
      <c r="J718" s="3"/>
    </row>
    <row r="719" spans="3:10" ht="15" hidden="1" x14ac:dyDescent="0.25">
      <c r="C719" s="3"/>
      <c r="D719" s="3"/>
      <c r="E719" s="3"/>
      <c r="F719" s="3"/>
      <c r="G719" s="3"/>
      <c r="H719" s="3"/>
      <c r="I719" s="3"/>
      <c r="J719" s="3"/>
    </row>
    <row r="720" spans="3:10" ht="15" hidden="1" x14ac:dyDescent="0.25">
      <c r="C720" s="3"/>
      <c r="D720" s="3"/>
      <c r="E720" s="3"/>
      <c r="F720" s="3"/>
      <c r="G720" s="3"/>
      <c r="H720" s="3"/>
      <c r="I720" s="3"/>
      <c r="J720" s="3"/>
    </row>
    <row r="721" spans="3:10" ht="15" hidden="1" x14ac:dyDescent="0.25">
      <c r="C721" s="3"/>
      <c r="D721" s="3"/>
      <c r="E721" s="3"/>
      <c r="F721" s="3"/>
      <c r="G721" s="3"/>
      <c r="H721" s="3"/>
      <c r="I721" s="3"/>
      <c r="J721" s="3"/>
    </row>
    <row r="722" spans="3:10" ht="15" hidden="1" x14ac:dyDescent="0.25">
      <c r="C722" s="3"/>
      <c r="D722" s="3"/>
      <c r="E722" s="3"/>
      <c r="F722" s="3"/>
      <c r="G722" s="3"/>
      <c r="H722" s="3"/>
      <c r="I722" s="3"/>
      <c r="J722" s="3"/>
    </row>
    <row r="723" spans="3:10" ht="15" hidden="1" x14ac:dyDescent="0.25">
      <c r="C723" s="3"/>
      <c r="D723" s="3"/>
      <c r="E723" s="3"/>
      <c r="F723" s="3"/>
      <c r="G723" s="3"/>
      <c r="H723" s="3"/>
      <c r="I723" s="3"/>
      <c r="J723" s="3"/>
    </row>
    <row r="724" spans="3:10" ht="15" hidden="1" x14ac:dyDescent="0.25">
      <c r="C724" s="3"/>
      <c r="D724" s="3"/>
      <c r="E724" s="3"/>
      <c r="F724" s="3"/>
      <c r="G724" s="3"/>
      <c r="H724" s="3"/>
      <c r="I724" s="3"/>
      <c r="J724" s="3"/>
    </row>
    <row r="725" spans="3:10" ht="15" hidden="1" x14ac:dyDescent="0.25">
      <c r="C725" s="3"/>
      <c r="D725" s="3"/>
      <c r="E725" s="3"/>
      <c r="F725" s="3"/>
      <c r="G725" s="3"/>
      <c r="H725" s="3"/>
      <c r="I725" s="3"/>
      <c r="J725" s="3"/>
    </row>
    <row r="726" spans="3:10" ht="15" hidden="1" x14ac:dyDescent="0.25">
      <c r="C726" s="3"/>
      <c r="D726" s="3"/>
      <c r="E726" s="3"/>
      <c r="F726" s="3"/>
      <c r="G726" s="3"/>
      <c r="H726" s="3"/>
      <c r="I726" s="3"/>
      <c r="J726" s="3"/>
    </row>
    <row r="727" spans="3:10" ht="15" hidden="1" x14ac:dyDescent="0.25">
      <c r="C727" s="3"/>
      <c r="D727" s="3"/>
      <c r="E727" s="3"/>
      <c r="F727" s="3"/>
      <c r="G727" s="3"/>
      <c r="H727" s="3"/>
      <c r="I727" s="3"/>
      <c r="J727" s="3"/>
    </row>
    <row r="728" spans="3:10" ht="15" hidden="1" x14ac:dyDescent="0.25">
      <c r="C728" s="3"/>
      <c r="D728" s="3"/>
      <c r="E728" s="3"/>
      <c r="F728" s="3"/>
      <c r="G728" s="3"/>
      <c r="H728" s="3"/>
      <c r="I728" s="3"/>
      <c r="J728" s="3"/>
    </row>
    <row r="729" spans="3:10" ht="15" hidden="1" x14ac:dyDescent="0.25">
      <c r="C729" s="3"/>
      <c r="D729" s="3"/>
      <c r="E729" s="3"/>
      <c r="F729" s="3"/>
      <c r="G729" s="3"/>
      <c r="H729" s="3"/>
      <c r="I729" s="3"/>
      <c r="J729" s="3"/>
    </row>
    <row r="730" spans="3:10" ht="15" hidden="1" x14ac:dyDescent="0.25">
      <c r="C730" s="3"/>
      <c r="D730" s="3"/>
      <c r="E730" s="3"/>
      <c r="F730" s="3"/>
      <c r="G730" s="3"/>
      <c r="H730" s="3"/>
      <c r="I730" s="3"/>
      <c r="J730" s="3"/>
    </row>
    <row r="731" spans="3:10" ht="15" hidden="1" x14ac:dyDescent="0.25">
      <c r="C731" s="3"/>
      <c r="D731" s="3"/>
      <c r="E731" s="3"/>
      <c r="F731" s="3"/>
      <c r="G731" s="3"/>
      <c r="H731" s="3"/>
      <c r="I731" s="3"/>
      <c r="J731" s="3"/>
    </row>
    <row r="732" spans="3:10" ht="15" hidden="1" x14ac:dyDescent="0.25">
      <c r="C732" s="3"/>
      <c r="D732" s="3"/>
      <c r="E732" s="3"/>
      <c r="F732" s="3"/>
      <c r="G732" s="3"/>
      <c r="H732" s="3"/>
      <c r="I732" s="3"/>
      <c r="J732" s="3"/>
    </row>
    <row r="733" spans="3:10" ht="15" hidden="1" x14ac:dyDescent="0.25">
      <c r="C733" s="3"/>
      <c r="D733" s="3"/>
      <c r="E733" s="3"/>
      <c r="F733" s="3"/>
      <c r="G733" s="3"/>
      <c r="H733" s="3"/>
      <c r="I733" s="3"/>
      <c r="J733" s="3"/>
    </row>
    <row r="734" spans="3:10" ht="15" hidden="1" x14ac:dyDescent="0.25">
      <c r="C734" s="3"/>
      <c r="D734" s="3"/>
      <c r="E734" s="3"/>
      <c r="F734" s="3"/>
      <c r="G734" s="3"/>
      <c r="H734" s="3"/>
      <c r="I734" s="3"/>
      <c r="J734" s="3"/>
    </row>
    <row r="735" spans="3:10" ht="15" hidden="1" x14ac:dyDescent="0.25">
      <c r="C735" s="3"/>
      <c r="D735" s="3"/>
      <c r="E735" s="3"/>
      <c r="F735" s="3"/>
      <c r="G735" s="3"/>
      <c r="H735" s="3"/>
      <c r="I735" s="3"/>
      <c r="J735" s="3"/>
    </row>
    <row r="736" spans="3:10" ht="15" hidden="1" x14ac:dyDescent="0.25">
      <c r="C736" s="3"/>
      <c r="D736" s="3"/>
      <c r="E736" s="3"/>
      <c r="F736" s="3"/>
      <c r="G736" s="3"/>
      <c r="H736" s="3"/>
      <c r="I736" s="3"/>
      <c r="J736" s="3"/>
    </row>
    <row r="737" spans="3:10" ht="15" hidden="1" x14ac:dyDescent="0.25">
      <c r="C737" s="3"/>
      <c r="D737" s="3"/>
      <c r="E737" s="3"/>
      <c r="F737" s="3"/>
      <c r="G737" s="3"/>
      <c r="H737" s="3"/>
      <c r="I737" s="3"/>
      <c r="J737" s="3"/>
    </row>
    <row r="738" spans="3:10" ht="15" hidden="1" x14ac:dyDescent="0.25">
      <c r="C738" s="3"/>
      <c r="D738" s="3"/>
      <c r="E738" s="3"/>
      <c r="F738" s="3"/>
      <c r="G738" s="3"/>
      <c r="H738" s="3"/>
      <c r="I738" s="3"/>
      <c r="J738" s="3"/>
    </row>
    <row r="739" spans="3:10" ht="15" hidden="1" x14ac:dyDescent="0.25">
      <c r="C739" s="3"/>
      <c r="D739" s="3"/>
      <c r="E739" s="3"/>
      <c r="F739" s="3"/>
      <c r="G739" s="3"/>
      <c r="H739" s="3"/>
      <c r="I739" s="3"/>
      <c r="J739" s="3"/>
    </row>
    <row r="740" spans="3:10" ht="15" hidden="1" x14ac:dyDescent="0.25">
      <c r="C740" s="3"/>
      <c r="D740" s="3"/>
      <c r="E740" s="3"/>
      <c r="F740" s="3"/>
      <c r="G740" s="3"/>
      <c r="H740" s="3"/>
      <c r="I740" s="3"/>
      <c r="J740" s="3"/>
    </row>
    <row r="741" spans="3:10" ht="15" hidden="1" x14ac:dyDescent="0.25">
      <c r="C741" s="3"/>
      <c r="D741" s="3"/>
      <c r="E741" s="3"/>
      <c r="F741" s="3"/>
      <c r="G741" s="3"/>
      <c r="H741" s="3"/>
      <c r="I741" s="3"/>
      <c r="J741" s="3"/>
    </row>
    <row r="742" spans="3:10" ht="15" hidden="1" x14ac:dyDescent="0.25">
      <c r="C742" s="3"/>
      <c r="D742" s="3"/>
      <c r="E742" s="3"/>
      <c r="F742" s="3"/>
      <c r="G742" s="3"/>
      <c r="H742" s="3"/>
      <c r="I742" s="3"/>
      <c r="J742" s="3"/>
    </row>
    <row r="743" spans="3:10" ht="15" hidden="1" x14ac:dyDescent="0.25">
      <c r="C743" s="3"/>
      <c r="D743" s="3"/>
      <c r="E743" s="3"/>
      <c r="F743" s="3"/>
      <c r="G743" s="3"/>
      <c r="H743" s="3"/>
      <c r="I743" s="3"/>
      <c r="J743" s="3"/>
    </row>
    <row r="744" spans="3:10" ht="15" hidden="1" x14ac:dyDescent="0.25">
      <c r="C744" s="3"/>
      <c r="D744" s="3"/>
      <c r="E744" s="3"/>
      <c r="F744" s="3"/>
      <c r="G744" s="3"/>
      <c r="H744" s="3"/>
      <c r="I744" s="3"/>
      <c r="J744" s="3"/>
    </row>
    <row r="745" spans="3:10" ht="15" hidden="1" x14ac:dyDescent="0.25">
      <c r="C745" s="3"/>
      <c r="D745" s="3"/>
      <c r="E745" s="3"/>
      <c r="F745" s="3"/>
      <c r="G745" s="3"/>
      <c r="H745" s="3"/>
      <c r="I745" s="3"/>
      <c r="J745" s="3"/>
    </row>
    <row r="746" spans="3:10" ht="15" hidden="1" x14ac:dyDescent="0.25">
      <c r="C746" s="3"/>
      <c r="D746" s="3"/>
      <c r="E746" s="3"/>
      <c r="F746" s="3"/>
      <c r="G746" s="3"/>
      <c r="H746" s="3"/>
      <c r="I746" s="3"/>
      <c r="J746" s="3"/>
    </row>
    <row r="747" spans="3:10" ht="15" hidden="1" x14ac:dyDescent="0.25">
      <c r="C747" s="3"/>
      <c r="D747" s="3"/>
      <c r="E747" s="3"/>
      <c r="F747" s="3"/>
      <c r="G747" s="3"/>
      <c r="H747" s="3"/>
      <c r="I747" s="3"/>
      <c r="J747" s="3"/>
    </row>
    <row r="748" spans="3:10" ht="15" hidden="1" x14ac:dyDescent="0.25">
      <c r="C748" s="3"/>
      <c r="D748" s="3"/>
      <c r="E748" s="3"/>
      <c r="F748" s="3"/>
      <c r="G748" s="3"/>
      <c r="H748" s="3"/>
      <c r="I748" s="3"/>
      <c r="J748" s="3"/>
    </row>
    <row r="749" spans="3:10" ht="15" hidden="1" x14ac:dyDescent="0.25">
      <c r="C749" s="3"/>
      <c r="D749" s="3"/>
      <c r="E749" s="3"/>
      <c r="F749" s="3"/>
      <c r="G749" s="3"/>
      <c r="H749" s="3"/>
      <c r="I749" s="3"/>
      <c r="J749" s="3"/>
    </row>
    <row r="750" spans="3:10" ht="15" hidden="1" x14ac:dyDescent="0.25">
      <c r="C750" s="3"/>
      <c r="D750" s="3"/>
      <c r="E750" s="3"/>
      <c r="F750" s="3"/>
      <c r="G750" s="3"/>
      <c r="H750" s="3"/>
      <c r="I750" s="3"/>
      <c r="J750" s="3"/>
    </row>
    <row r="751" spans="3:10" ht="15" hidden="1" x14ac:dyDescent="0.25">
      <c r="C751" s="3"/>
      <c r="D751" s="3"/>
      <c r="E751" s="3"/>
      <c r="F751" s="3"/>
      <c r="G751" s="3"/>
      <c r="H751" s="3"/>
      <c r="I751" s="3"/>
      <c r="J751" s="3"/>
    </row>
    <row r="752" spans="3:10" ht="15" hidden="1" x14ac:dyDescent="0.25">
      <c r="C752" s="3"/>
      <c r="D752" s="3"/>
      <c r="E752" s="3"/>
      <c r="F752" s="3"/>
      <c r="G752" s="3"/>
      <c r="H752" s="3"/>
      <c r="I752" s="3"/>
      <c r="J752" s="3"/>
    </row>
    <row r="753" spans="3:10" ht="15" hidden="1" x14ac:dyDescent="0.25">
      <c r="C753" s="3"/>
      <c r="D753" s="3"/>
      <c r="E753" s="3"/>
      <c r="F753" s="3"/>
      <c r="G753" s="3"/>
      <c r="H753" s="3"/>
      <c r="I753" s="3"/>
      <c r="J753" s="3"/>
    </row>
    <row r="754" spans="3:10" ht="15" hidden="1" x14ac:dyDescent="0.25">
      <c r="C754" s="3"/>
      <c r="D754" s="3"/>
      <c r="E754" s="3"/>
      <c r="F754" s="3"/>
      <c r="G754" s="3"/>
      <c r="H754" s="3"/>
      <c r="I754" s="3"/>
      <c r="J754" s="3"/>
    </row>
    <row r="755" spans="3:10" ht="15" hidden="1" x14ac:dyDescent="0.25">
      <c r="C755" s="3"/>
      <c r="D755" s="3"/>
      <c r="E755" s="3"/>
      <c r="F755" s="3"/>
      <c r="G755" s="3"/>
      <c r="H755" s="3"/>
      <c r="I755" s="3"/>
      <c r="J755" s="3"/>
    </row>
    <row r="756" spans="3:10" ht="15" hidden="1" x14ac:dyDescent="0.25">
      <c r="C756" s="3"/>
      <c r="D756" s="3"/>
      <c r="E756" s="3"/>
      <c r="F756" s="3"/>
      <c r="G756" s="3"/>
      <c r="H756" s="3"/>
      <c r="I756" s="3"/>
      <c r="J756" s="3"/>
    </row>
    <row r="757" spans="3:10" ht="15" hidden="1" x14ac:dyDescent="0.25">
      <c r="C757" s="3"/>
      <c r="D757" s="3"/>
      <c r="E757" s="3"/>
      <c r="F757" s="3"/>
      <c r="G757" s="3"/>
      <c r="H757" s="3"/>
      <c r="I757" s="3"/>
      <c r="J757" s="3"/>
    </row>
    <row r="758" spans="3:10" ht="15" hidden="1" x14ac:dyDescent="0.25">
      <c r="C758" s="3"/>
      <c r="D758" s="3"/>
      <c r="E758" s="3"/>
      <c r="F758" s="3"/>
      <c r="G758" s="3"/>
      <c r="H758" s="3"/>
      <c r="I758" s="3"/>
      <c r="J758" s="3"/>
    </row>
    <row r="759" spans="3:10" ht="15" hidden="1" x14ac:dyDescent="0.25">
      <c r="C759" s="3"/>
      <c r="D759" s="3"/>
      <c r="E759" s="3"/>
      <c r="F759" s="3"/>
      <c r="G759" s="3"/>
      <c r="H759" s="3"/>
      <c r="I759" s="3"/>
      <c r="J759" s="3"/>
    </row>
    <row r="760" spans="3:10" ht="15" hidden="1" x14ac:dyDescent="0.25">
      <c r="C760" s="3"/>
      <c r="D760" s="3"/>
      <c r="E760" s="3"/>
      <c r="F760" s="3"/>
      <c r="G760" s="3"/>
      <c r="H760" s="3"/>
      <c r="I760" s="3"/>
      <c r="J760" s="3"/>
    </row>
    <row r="761" spans="3:10" ht="15" hidden="1" x14ac:dyDescent="0.25">
      <c r="C761" s="3"/>
      <c r="D761" s="3"/>
      <c r="E761" s="3"/>
      <c r="F761" s="3"/>
      <c r="G761" s="3"/>
      <c r="H761" s="3"/>
      <c r="I761" s="3"/>
      <c r="J761" s="3"/>
    </row>
    <row r="762" spans="3:10" ht="15" hidden="1" x14ac:dyDescent="0.25">
      <c r="C762" s="3"/>
      <c r="D762" s="3"/>
      <c r="E762" s="3"/>
      <c r="F762" s="3"/>
      <c r="G762" s="3"/>
      <c r="H762" s="3"/>
      <c r="I762" s="3"/>
      <c r="J762" s="3"/>
    </row>
    <row r="763" spans="3:10" ht="15" hidden="1" x14ac:dyDescent="0.25">
      <c r="C763" s="3"/>
      <c r="D763" s="3"/>
      <c r="E763" s="3"/>
      <c r="F763" s="3"/>
      <c r="G763" s="3"/>
      <c r="H763" s="3"/>
      <c r="I763" s="3"/>
      <c r="J763" s="3"/>
    </row>
    <row r="764" spans="3:10" ht="15" hidden="1" x14ac:dyDescent="0.25">
      <c r="C764" s="3"/>
      <c r="D764" s="3"/>
      <c r="E764" s="3"/>
      <c r="F764" s="3"/>
      <c r="G764" s="3"/>
      <c r="H764" s="3"/>
      <c r="I764" s="3"/>
      <c r="J764" s="3"/>
    </row>
    <row r="765" spans="3:10" ht="15" hidden="1" x14ac:dyDescent="0.25">
      <c r="C765" s="3"/>
      <c r="D765" s="3"/>
      <c r="E765" s="3"/>
      <c r="F765" s="3"/>
      <c r="G765" s="3"/>
      <c r="H765" s="3"/>
      <c r="I765" s="3"/>
      <c r="J765" s="3"/>
    </row>
    <row r="766" spans="3:10" ht="15" hidden="1" x14ac:dyDescent="0.25">
      <c r="C766" s="3"/>
      <c r="D766" s="3"/>
      <c r="E766" s="3"/>
      <c r="F766" s="3"/>
      <c r="G766" s="3"/>
      <c r="H766" s="3"/>
      <c r="I766" s="3"/>
      <c r="J766" s="3"/>
    </row>
    <row r="767" spans="3:10" ht="15" hidden="1" x14ac:dyDescent="0.25">
      <c r="C767" s="3"/>
      <c r="D767" s="3"/>
      <c r="E767" s="3"/>
      <c r="F767" s="3"/>
      <c r="G767" s="3"/>
      <c r="H767" s="3"/>
      <c r="I767" s="3"/>
      <c r="J767" s="3"/>
    </row>
    <row r="768" spans="3:10" ht="15" hidden="1" x14ac:dyDescent="0.25">
      <c r="C768" s="3"/>
      <c r="D768" s="3"/>
      <c r="E768" s="3"/>
      <c r="F768" s="3"/>
      <c r="G768" s="3"/>
      <c r="H768" s="3"/>
      <c r="I768" s="3"/>
      <c r="J768" s="3"/>
    </row>
    <row r="769" spans="3:10" ht="15" hidden="1" x14ac:dyDescent="0.25">
      <c r="C769" s="3"/>
      <c r="D769" s="3"/>
      <c r="E769" s="3"/>
      <c r="F769" s="3"/>
      <c r="G769" s="3"/>
      <c r="H769" s="3"/>
      <c r="I769" s="3"/>
      <c r="J769" s="3"/>
    </row>
    <row r="770" spans="3:10" ht="15" hidden="1" x14ac:dyDescent="0.25">
      <c r="C770" s="3"/>
      <c r="D770" s="3"/>
      <c r="E770" s="3"/>
      <c r="F770" s="3"/>
      <c r="G770" s="3"/>
      <c r="H770" s="3"/>
      <c r="I770" s="3"/>
      <c r="J770" s="3"/>
    </row>
    <row r="771" spans="3:10" ht="15" hidden="1" x14ac:dyDescent="0.25">
      <c r="C771" s="3"/>
      <c r="D771" s="3"/>
      <c r="E771" s="3"/>
      <c r="F771" s="3"/>
      <c r="G771" s="3"/>
      <c r="H771" s="3"/>
      <c r="I771" s="3"/>
      <c r="J771" s="3"/>
    </row>
    <row r="772" spans="3:10" ht="15" hidden="1" x14ac:dyDescent="0.25">
      <c r="C772" s="3"/>
      <c r="D772" s="3"/>
      <c r="E772" s="3"/>
      <c r="F772" s="3"/>
      <c r="G772" s="3"/>
      <c r="H772" s="3"/>
      <c r="I772" s="3"/>
      <c r="J772" s="3"/>
    </row>
    <row r="773" spans="3:10" ht="15" hidden="1" x14ac:dyDescent="0.25">
      <c r="C773" s="3"/>
      <c r="D773" s="3"/>
      <c r="E773" s="3"/>
      <c r="F773" s="3"/>
      <c r="G773" s="3"/>
      <c r="H773" s="3"/>
      <c r="I773" s="3"/>
      <c r="J773" s="3"/>
    </row>
    <row r="774" spans="3:10" ht="15" hidden="1" x14ac:dyDescent="0.25">
      <c r="C774" s="3"/>
      <c r="D774" s="3"/>
      <c r="E774" s="3"/>
      <c r="F774" s="3"/>
      <c r="G774" s="3"/>
      <c r="H774" s="3"/>
      <c r="I774" s="3"/>
      <c r="J774" s="3"/>
    </row>
    <row r="775" spans="3:10" ht="15" hidden="1" x14ac:dyDescent="0.25">
      <c r="C775" s="3"/>
      <c r="D775" s="3"/>
      <c r="E775" s="3"/>
      <c r="F775" s="3"/>
      <c r="G775" s="3"/>
      <c r="H775" s="3"/>
      <c r="I775" s="3"/>
      <c r="J775" s="3"/>
    </row>
    <row r="776" spans="3:10" ht="15" hidden="1" x14ac:dyDescent="0.25">
      <c r="C776" s="3"/>
      <c r="D776" s="3"/>
      <c r="E776" s="3"/>
      <c r="F776" s="3"/>
      <c r="G776" s="3"/>
      <c r="H776" s="3"/>
      <c r="I776" s="3"/>
      <c r="J776" s="3"/>
    </row>
    <row r="777" spans="3:10" ht="15" hidden="1" x14ac:dyDescent="0.25">
      <c r="C777" s="3"/>
      <c r="D777" s="3"/>
      <c r="E777" s="3"/>
      <c r="F777" s="3"/>
      <c r="G777" s="3"/>
      <c r="H777" s="3"/>
      <c r="I777" s="3"/>
      <c r="J777" s="3"/>
    </row>
    <row r="778" spans="3:10" ht="15" hidden="1" x14ac:dyDescent="0.25">
      <c r="C778" s="3"/>
      <c r="D778" s="3"/>
      <c r="E778" s="3"/>
      <c r="F778" s="3"/>
      <c r="G778" s="3"/>
      <c r="H778" s="3"/>
      <c r="I778" s="3"/>
      <c r="J778" s="3"/>
    </row>
    <row r="779" spans="3:10" ht="15" hidden="1" x14ac:dyDescent="0.25">
      <c r="C779" s="3"/>
      <c r="D779" s="3"/>
      <c r="E779" s="3"/>
      <c r="F779" s="3"/>
      <c r="G779" s="3"/>
      <c r="H779" s="3"/>
      <c r="I779" s="3"/>
      <c r="J779" s="3"/>
    </row>
    <row r="780" spans="3:10" ht="15" hidden="1" x14ac:dyDescent="0.25">
      <c r="C780" s="3"/>
      <c r="D780" s="3"/>
      <c r="E780" s="3"/>
      <c r="F780" s="3"/>
      <c r="G780" s="3"/>
      <c r="H780" s="3"/>
      <c r="I780" s="3"/>
      <c r="J780" s="3"/>
    </row>
    <row r="781" spans="3:10" ht="15" hidden="1" x14ac:dyDescent="0.25">
      <c r="C781" s="3"/>
      <c r="D781" s="3"/>
      <c r="E781" s="3"/>
      <c r="F781" s="3"/>
      <c r="G781" s="3"/>
      <c r="H781" s="3"/>
      <c r="I781" s="3"/>
      <c r="J781" s="3"/>
    </row>
    <row r="782" spans="3:10" ht="15" hidden="1" x14ac:dyDescent="0.25">
      <c r="C782" s="3"/>
      <c r="D782" s="3"/>
      <c r="E782" s="3"/>
      <c r="F782" s="3"/>
      <c r="G782" s="3"/>
      <c r="H782" s="3"/>
      <c r="I782" s="3"/>
      <c r="J782" s="3"/>
    </row>
    <row r="783" spans="3:10" ht="15" hidden="1" x14ac:dyDescent="0.25">
      <c r="C783" s="3"/>
      <c r="D783" s="3"/>
      <c r="E783" s="3"/>
      <c r="F783" s="3"/>
      <c r="G783" s="3"/>
      <c r="H783" s="3"/>
      <c r="I783" s="3"/>
      <c r="J783" s="3"/>
    </row>
    <row r="784" spans="3:10" ht="15" hidden="1" x14ac:dyDescent="0.25">
      <c r="C784" s="3"/>
      <c r="D784" s="3"/>
      <c r="E784" s="3"/>
      <c r="F784" s="3"/>
      <c r="G784" s="3"/>
      <c r="H784" s="3"/>
      <c r="I784" s="3"/>
      <c r="J784" s="3"/>
    </row>
    <row r="785" spans="3:10" ht="15" hidden="1" x14ac:dyDescent="0.25">
      <c r="C785" s="3"/>
      <c r="D785" s="3"/>
      <c r="E785" s="3"/>
      <c r="F785" s="3"/>
      <c r="G785" s="3"/>
      <c r="H785" s="3"/>
      <c r="I785" s="3"/>
      <c r="J785" s="3"/>
    </row>
    <row r="786" spans="3:10" ht="15" hidden="1" x14ac:dyDescent="0.25">
      <c r="C786" s="3"/>
      <c r="D786" s="3"/>
      <c r="E786" s="3"/>
      <c r="F786" s="3"/>
      <c r="G786" s="3"/>
      <c r="H786" s="3"/>
      <c r="I786" s="3"/>
      <c r="J786" s="3"/>
    </row>
    <row r="787" spans="3:10" ht="15" hidden="1" x14ac:dyDescent="0.25">
      <c r="C787" s="3"/>
      <c r="D787" s="3"/>
      <c r="E787" s="3"/>
      <c r="F787" s="3"/>
      <c r="G787" s="3"/>
      <c r="H787" s="3"/>
      <c r="I787" s="3"/>
      <c r="J787" s="3"/>
    </row>
    <row r="788" spans="3:10" ht="15" hidden="1" x14ac:dyDescent="0.25">
      <c r="C788" s="3"/>
      <c r="D788" s="3"/>
      <c r="E788" s="3"/>
      <c r="F788" s="3"/>
      <c r="G788" s="3"/>
      <c r="H788" s="3"/>
      <c r="I788" s="3"/>
      <c r="J788" s="3"/>
    </row>
    <row r="789" spans="3:10" ht="15" hidden="1" x14ac:dyDescent="0.25">
      <c r="C789" s="3"/>
      <c r="D789" s="3"/>
      <c r="E789" s="3"/>
      <c r="F789" s="3"/>
      <c r="G789" s="3"/>
      <c r="H789" s="3"/>
      <c r="I789" s="3"/>
      <c r="J789" s="3"/>
    </row>
    <row r="790" spans="3:10" ht="15" hidden="1" x14ac:dyDescent="0.25">
      <c r="C790" s="3"/>
      <c r="D790" s="3"/>
      <c r="E790" s="3"/>
      <c r="F790" s="3"/>
      <c r="G790" s="3"/>
      <c r="H790" s="3"/>
      <c r="I790" s="3"/>
      <c r="J790" s="3"/>
    </row>
    <row r="791" spans="3:10" ht="15" hidden="1" x14ac:dyDescent="0.25">
      <c r="C791" s="3"/>
      <c r="D791" s="3"/>
      <c r="E791" s="3"/>
      <c r="F791" s="3"/>
      <c r="G791" s="3"/>
      <c r="H791" s="3"/>
      <c r="I791" s="3"/>
      <c r="J791" s="3"/>
    </row>
    <row r="792" spans="3:10" ht="15" hidden="1" x14ac:dyDescent="0.25">
      <c r="C792" s="3"/>
      <c r="D792" s="3"/>
      <c r="E792" s="3"/>
      <c r="F792" s="3"/>
      <c r="G792" s="3"/>
      <c r="H792" s="3"/>
      <c r="I792" s="3"/>
      <c r="J792" s="3"/>
    </row>
    <row r="793" spans="3:10" ht="15" hidden="1" x14ac:dyDescent="0.25">
      <c r="C793" s="3"/>
      <c r="D793" s="3"/>
      <c r="E793" s="3"/>
      <c r="F793" s="3"/>
      <c r="G793" s="3"/>
      <c r="H793" s="3"/>
      <c r="I793" s="3"/>
      <c r="J793" s="3"/>
    </row>
    <row r="794" spans="3:10" ht="15" hidden="1" x14ac:dyDescent="0.25">
      <c r="C794" s="3"/>
      <c r="D794" s="3"/>
      <c r="E794" s="3"/>
      <c r="F794" s="3"/>
      <c r="G794" s="3"/>
      <c r="H794" s="3"/>
      <c r="I794" s="3"/>
      <c r="J794" s="3"/>
    </row>
    <row r="795" spans="3:10" ht="15" hidden="1" x14ac:dyDescent="0.25">
      <c r="C795" s="3"/>
      <c r="D795" s="3"/>
      <c r="E795" s="3"/>
      <c r="F795" s="3"/>
      <c r="G795" s="3"/>
      <c r="H795" s="3"/>
      <c r="I795" s="3"/>
      <c r="J795" s="3"/>
    </row>
    <row r="796" spans="3:10" ht="15" hidden="1" x14ac:dyDescent="0.25">
      <c r="C796" s="3"/>
      <c r="D796" s="3"/>
      <c r="E796" s="3"/>
      <c r="F796" s="3"/>
      <c r="G796" s="3"/>
      <c r="H796" s="3"/>
      <c r="I796" s="3"/>
      <c r="J796" s="3"/>
    </row>
    <row r="797" spans="3:10" ht="15" hidden="1" x14ac:dyDescent="0.25">
      <c r="C797" s="3"/>
      <c r="D797" s="3"/>
      <c r="E797" s="3"/>
      <c r="F797" s="3"/>
      <c r="G797" s="3"/>
      <c r="H797" s="3"/>
      <c r="I797" s="3"/>
      <c r="J797" s="3"/>
    </row>
    <row r="798" spans="3:10" ht="15" hidden="1" x14ac:dyDescent="0.25">
      <c r="C798" s="3"/>
      <c r="D798" s="3"/>
      <c r="E798" s="3"/>
      <c r="F798" s="3"/>
      <c r="G798" s="3"/>
      <c r="H798" s="3"/>
      <c r="I798" s="3"/>
      <c r="J798" s="3"/>
    </row>
    <row r="799" spans="3:10" ht="15" hidden="1" x14ac:dyDescent="0.25">
      <c r="C799" s="3"/>
      <c r="D799" s="3"/>
      <c r="E799" s="3"/>
      <c r="F799" s="3"/>
      <c r="G799" s="3"/>
      <c r="H799" s="3"/>
      <c r="I799" s="3"/>
      <c r="J799" s="3"/>
    </row>
    <row r="800" spans="3:10" ht="15" hidden="1" x14ac:dyDescent="0.25">
      <c r="C800" s="3"/>
      <c r="D800" s="3"/>
      <c r="E800" s="3"/>
      <c r="F800" s="3"/>
      <c r="G800" s="3"/>
      <c r="H800" s="3"/>
      <c r="I800" s="3"/>
      <c r="J800" s="3"/>
    </row>
    <row r="801" spans="3:10" ht="15" hidden="1" x14ac:dyDescent="0.25">
      <c r="C801" s="3"/>
      <c r="D801" s="3"/>
      <c r="E801" s="3"/>
      <c r="F801" s="3"/>
      <c r="G801" s="3"/>
      <c r="H801" s="3"/>
      <c r="I801" s="3"/>
      <c r="J801" s="3"/>
    </row>
    <row r="802" spans="3:10" ht="15" hidden="1" x14ac:dyDescent="0.25">
      <c r="C802" s="3"/>
      <c r="D802" s="3"/>
      <c r="E802" s="3"/>
      <c r="F802" s="3"/>
      <c r="G802" s="3"/>
      <c r="H802" s="3"/>
      <c r="I802" s="3"/>
      <c r="J802" s="3"/>
    </row>
    <row r="803" spans="3:10" ht="15" hidden="1" x14ac:dyDescent="0.25">
      <c r="C803" s="3"/>
      <c r="D803" s="3"/>
      <c r="E803" s="3"/>
      <c r="F803" s="3"/>
      <c r="G803" s="3"/>
      <c r="H803" s="3"/>
      <c r="I803" s="3"/>
      <c r="J803" s="3"/>
    </row>
    <row r="804" spans="3:10" ht="15" hidden="1" x14ac:dyDescent="0.25">
      <c r="C804" s="3"/>
      <c r="D804" s="3"/>
      <c r="E804" s="3"/>
      <c r="F804" s="3"/>
      <c r="G804" s="3"/>
      <c r="H804" s="3"/>
      <c r="I804" s="3"/>
      <c r="J804" s="3"/>
    </row>
    <row r="805" spans="3:10" ht="15" hidden="1" x14ac:dyDescent="0.25">
      <c r="C805" s="3"/>
      <c r="D805" s="3"/>
      <c r="E805" s="3"/>
      <c r="F805" s="3"/>
      <c r="G805" s="3"/>
      <c r="H805" s="3"/>
      <c r="I805" s="3"/>
      <c r="J805" s="3"/>
    </row>
    <row r="806" spans="3:10" ht="15" hidden="1" x14ac:dyDescent="0.25">
      <c r="C806" s="3"/>
      <c r="D806" s="3"/>
      <c r="E806" s="3"/>
      <c r="F806" s="3"/>
      <c r="G806" s="3"/>
      <c r="H806" s="3"/>
      <c r="I806" s="3"/>
      <c r="J806" s="3"/>
    </row>
    <row r="807" spans="3:10" ht="15" hidden="1" x14ac:dyDescent="0.25">
      <c r="C807" s="3"/>
      <c r="D807" s="3"/>
      <c r="E807" s="3"/>
      <c r="F807" s="3"/>
      <c r="G807" s="3"/>
      <c r="H807" s="3"/>
      <c r="I807" s="3"/>
      <c r="J807" s="3"/>
    </row>
    <row r="808" spans="3:10" ht="15" hidden="1" x14ac:dyDescent="0.25">
      <c r="C808" s="3"/>
      <c r="D808" s="3"/>
      <c r="E808" s="3"/>
      <c r="F808" s="3"/>
      <c r="G808" s="3"/>
      <c r="H808" s="3"/>
      <c r="I808" s="3"/>
      <c r="J808" s="3"/>
    </row>
    <row r="809" spans="3:10" ht="15" hidden="1" x14ac:dyDescent="0.25">
      <c r="C809" s="3"/>
      <c r="D809" s="3"/>
      <c r="E809" s="3"/>
      <c r="F809" s="3"/>
      <c r="G809" s="3"/>
      <c r="H809" s="3"/>
      <c r="I809" s="3"/>
      <c r="J809" s="3"/>
    </row>
    <row r="810" spans="3:10" ht="15" hidden="1" x14ac:dyDescent="0.25">
      <c r="C810" s="3"/>
      <c r="D810" s="3"/>
      <c r="E810" s="3"/>
      <c r="F810" s="3"/>
      <c r="G810" s="3"/>
      <c r="H810" s="3"/>
      <c r="I810" s="3"/>
      <c r="J810" s="3"/>
    </row>
    <row r="811" spans="3:10" ht="15" hidden="1" x14ac:dyDescent="0.25">
      <c r="C811" s="3"/>
      <c r="D811" s="3"/>
      <c r="E811" s="3"/>
      <c r="F811" s="3"/>
      <c r="G811" s="3"/>
      <c r="H811" s="3"/>
      <c r="I811" s="3"/>
      <c r="J811" s="3"/>
    </row>
    <row r="812" spans="3:10" ht="15" hidden="1" x14ac:dyDescent="0.25">
      <c r="C812" s="3"/>
      <c r="D812" s="3"/>
      <c r="E812" s="3"/>
      <c r="F812" s="3"/>
      <c r="G812" s="3"/>
      <c r="H812" s="3"/>
      <c r="I812" s="3"/>
      <c r="J812" s="3"/>
    </row>
    <row r="813" spans="3:10" ht="15" hidden="1" x14ac:dyDescent="0.25">
      <c r="C813" s="3"/>
      <c r="D813" s="3"/>
      <c r="E813" s="3"/>
      <c r="F813" s="3"/>
      <c r="G813" s="3"/>
      <c r="H813" s="3"/>
      <c r="I813" s="3"/>
      <c r="J813" s="3"/>
    </row>
    <row r="814" spans="3:10" ht="15" hidden="1" x14ac:dyDescent="0.25">
      <c r="C814" s="3"/>
      <c r="D814" s="3"/>
      <c r="E814" s="3"/>
      <c r="F814" s="3"/>
      <c r="G814" s="3"/>
      <c r="H814" s="3"/>
      <c r="I814" s="3"/>
      <c r="J814" s="3"/>
    </row>
    <row r="815" spans="3:10" ht="15" hidden="1" x14ac:dyDescent="0.25">
      <c r="C815" s="3"/>
      <c r="D815" s="3"/>
      <c r="E815" s="3"/>
      <c r="F815" s="3"/>
      <c r="G815" s="3"/>
      <c r="H815" s="3"/>
      <c r="I815" s="3"/>
      <c r="J815" s="3"/>
    </row>
    <row r="816" spans="3:10" ht="15" hidden="1" x14ac:dyDescent="0.25">
      <c r="C816" s="3"/>
      <c r="D816" s="3"/>
      <c r="E816" s="3"/>
      <c r="F816" s="3"/>
      <c r="G816" s="3"/>
      <c r="H816" s="3"/>
      <c r="I816" s="3"/>
      <c r="J816" s="3"/>
    </row>
    <row r="817" spans="3:10" ht="15" hidden="1" x14ac:dyDescent="0.25">
      <c r="C817" s="3"/>
      <c r="D817" s="3"/>
      <c r="E817" s="3"/>
      <c r="F817" s="3"/>
      <c r="G817" s="3"/>
      <c r="H817" s="3"/>
      <c r="I817" s="3"/>
      <c r="J817" s="3"/>
    </row>
    <row r="818" spans="3:10" ht="15" hidden="1" x14ac:dyDescent="0.25">
      <c r="C818" s="3"/>
      <c r="D818" s="3"/>
      <c r="E818" s="3"/>
      <c r="F818" s="3"/>
      <c r="G818" s="3"/>
      <c r="H818" s="3"/>
      <c r="I818" s="3"/>
      <c r="J818" s="3"/>
    </row>
    <row r="819" spans="3:10" ht="15" hidden="1" x14ac:dyDescent="0.25">
      <c r="C819" s="3"/>
      <c r="D819" s="3"/>
      <c r="E819" s="3"/>
      <c r="F819" s="3"/>
      <c r="G819" s="3"/>
      <c r="H819" s="3"/>
      <c r="I819" s="3"/>
      <c r="J819" s="3"/>
    </row>
    <row r="820" spans="3:10" ht="15" hidden="1" x14ac:dyDescent="0.25">
      <c r="C820" s="3"/>
      <c r="D820" s="3"/>
      <c r="E820" s="3"/>
      <c r="F820" s="3"/>
      <c r="G820" s="3"/>
      <c r="H820" s="3"/>
      <c r="I820" s="3"/>
      <c r="J820" s="3"/>
    </row>
    <row r="821" spans="3:10" ht="15" hidden="1" x14ac:dyDescent="0.25">
      <c r="C821" s="3"/>
      <c r="D821" s="3"/>
      <c r="E821" s="3"/>
      <c r="F821" s="3"/>
      <c r="G821" s="3"/>
      <c r="H821" s="3"/>
      <c r="I821" s="3"/>
      <c r="J821" s="3"/>
    </row>
    <row r="822" spans="3:10" ht="15" hidden="1" x14ac:dyDescent="0.25">
      <c r="C822" s="3"/>
      <c r="D822" s="3"/>
      <c r="E822" s="3"/>
      <c r="F822" s="3"/>
      <c r="G822" s="3"/>
      <c r="H822" s="3"/>
      <c r="I822" s="3"/>
      <c r="J822" s="3"/>
    </row>
    <row r="823" spans="3:10" ht="15" hidden="1" x14ac:dyDescent="0.25">
      <c r="C823" s="3"/>
      <c r="D823" s="3"/>
      <c r="E823" s="3"/>
      <c r="F823" s="3"/>
      <c r="G823" s="3"/>
      <c r="H823" s="3"/>
      <c r="I823" s="3"/>
      <c r="J823" s="3"/>
    </row>
    <row r="824" spans="3:10" ht="15" hidden="1" x14ac:dyDescent="0.25">
      <c r="C824" s="3"/>
      <c r="D824" s="3"/>
      <c r="E824" s="3"/>
      <c r="F824" s="3"/>
      <c r="G824" s="3"/>
      <c r="H824" s="3"/>
      <c r="I824" s="3"/>
      <c r="J824" s="3"/>
    </row>
    <row r="825" spans="3:10" ht="15" hidden="1" x14ac:dyDescent="0.25">
      <c r="C825" s="3"/>
      <c r="D825" s="3"/>
      <c r="E825" s="3"/>
      <c r="F825" s="3"/>
      <c r="G825" s="3"/>
      <c r="H825" s="3"/>
      <c r="I825" s="3"/>
      <c r="J825" s="3"/>
    </row>
    <row r="826" spans="3:10" ht="15" hidden="1" x14ac:dyDescent="0.25">
      <c r="C826" s="3"/>
      <c r="D826" s="3"/>
      <c r="E826" s="3"/>
      <c r="F826" s="3"/>
      <c r="G826" s="3"/>
      <c r="H826" s="3"/>
      <c r="I826" s="3"/>
      <c r="J826" s="3"/>
    </row>
    <row r="827" spans="3:10" ht="15" hidden="1" x14ac:dyDescent="0.25">
      <c r="C827" s="3"/>
      <c r="D827" s="3"/>
      <c r="E827" s="3"/>
      <c r="F827" s="3"/>
      <c r="G827" s="3"/>
      <c r="H827" s="3"/>
      <c r="I827" s="3"/>
      <c r="J827" s="3"/>
    </row>
    <row r="828" spans="3:10" ht="15" hidden="1" x14ac:dyDescent="0.25">
      <c r="C828" s="3"/>
      <c r="D828" s="3"/>
      <c r="E828" s="3"/>
      <c r="F828" s="3"/>
      <c r="G828" s="3"/>
      <c r="H828" s="3"/>
      <c r="I828" s="3"/>
      <c r="J828" s="3"/>
    </row>
    <row r="829" spans="3:10" ht="15" hidden="1" x14ac:dyDescent="0.25">
      <c r="C829" s="3"/>
      <c r="D829" s="3"/>
      <c r="E829" s="3"/>
      <c r="F829" s="3"/>
      <c r="G829" s="3"/>
      <c r="H829" s="3"/>
      <c r="I829" s="3"/>
      <c r="J829" s="3"/>
    </row>
    <row r="830" spans="3:10" ht="15" hidden="1" x14ac:dyDescent="0.25">
      <c r="C830" s="3"/>
      <c r="D830" s="3"/>
      <c r="E830" s="3"/>
      <c r="F830" s="3"/>
      <c r="G830" s="3"/>
      <c r="H830" s="3"/>
      <c r="I830" s="3"/>
      <c r="J830" s="3"/>
    </row>
    <row r="831" spans="3:10" ht="15" hidden="1" x14ac:dyDescent="0.25">
      <c r="C831" s="3"/>
      <c r="D831" s="3"/>
      <c r="E831" s="3"/>
      <c r="F831" s="3"/>
      <c r="G831" s="3"/>
      <c r="H831" s="3"/>
      <c r="I831" s="3"/>
      <c r="J831" s="3"/>
    </row>
    <row r="832" spans="3:10" ht="15" hidden="1" x14ac:dyDescent="0.25">
      <c r="C832" s="3"/>
      <c r="D832" s="3"/>
      <c r="E832" s="3"/>
      <c r="F832" s="3"/>
      <c r="G832" s="3"/>
      <c r="H832" s="3"/>
      <c r="I832" s="3"/>
      <c r="J832" s="3"/>
    </row>
    <row r="833" spans="3:10" ht="15" hidden="1" x14ac:dyDescent="0.25">
      <c r="C833" s="3"/>
      <c r="D833" s="3"/>
      <c r="E833" s="3"/>
      <c r="F833" s="3"/>
      <c r="G833" s="3"/>
      <c r="H833" s="3"/>
      <c r="I833" s="3"/>
      <c r="J833" s="3"/>
    </row>
    <row r="834" spans="3:10" ht="15" hidden="1" x14ac:dyDescent="0.25">
      <c r="C834" s="3"/>
      <c r="D834" s="3"/>
      <c r="E834" s="3"/>
      <c r="F834" s="3"/>
      <c r="G834" s="3"/>
      <c r="H834" s="3"/>
      <c r="I834" s="3"/>
      <c r="J834" s="3"/>
    </row>
    <row r="835" spans="3:10" ht="15" hidden="1" x14ac:dyDescent="0.25">
      <c r="C835" s="3"/>
      <c r="D835" s="3"/>
      <c r="E835" s="3"/>
      <c r="F835" s="3"/>
      <c r="G835" s="3"/>
      <c r="H835" s="3"/>
      <c r="I835" s="3"/>
      <c r="J835" s="3"/>
    </row>
    <row r="836" spans="3:10" ht="15" hidden="1" x14ac:dyDescent="0.25">
      <c r="C836" s="3"/>
      <c r="D836" s="3"/>
      <c r="E836" s="3"/>
      <c r="F836" s="3"/>
      <c r="G836" s="3"/>
      <c r="H836" s="3"/>
      <c r="I836" s="3"/>
      <c r="J836" s="3"/>
    </row>
    <row r="837" spans="3:10" ht="15" hidden="1" x14ac:dyDescent="0.25">
      <c r="C837" s="3"/>
      <c r="D837" s="3"/>
      <c r="E837" s="3"/>
      <c r="F837" s="3"/>
      <c r="G837" s="3"/>
      <c r="H837" s="3"/>
      <c r="I837" s="3"/>
      <c r="J837" s="3"/>
    </row>
    <row r="838" spans="3:10" ht="15" hidden="1" x14ac:dyDescent="0.25">
      <c r="C838" s="3"/>
      <c r="D838" s="3"/>
      <c r="E838" s="3"/>
      <c r="F838" s="3"/>
      <c r="G838" s="3"/>
      <c r="H838" s="3"/>
      <c r="I838" s="3"/>
      <c r="J838" s="3"/>
    </row>
    <row r="839" spans="3:10" ht="15" hidden="1" x14ac:dyDescent="0.25">
      <c r="C839" s="3"/>
      <c r="D839" s="3"/>
      <c r="E839" s="3"/>
      <c r="F839" s="3"/>
      <c r="G839" s="3"/>
      <c r="H839" s="3"/>
      <c r="I839" s="3"/>
      <c r="J839" s="3"/>
    </row>
    <row r="840" spans="3:10" ht="15" hidden="1" x14ac:dyDescent="0.25">
      <c r="C840" s="3"/>
      <c r="D840" s="3"/>
      <c r="E840" s="3"/>
      <c r="F840" s="3"/>
      <c r="G840" s="3"/>
      <c r="H840" s="3"/>
      <c r="I840" s="3"/>
      <c r="J840" s="3"/>
    </row>
    <row r="841" spans="3:10" ht="15" hidden="1" x14ac:dyDescent="0.25">
      <c r="C841" s="3"/>
      <c r="D841" s="3"/>
      <c r="E841" s="3"/>
      <c r="F841" s="3"/>
      <c r="G841" s="3"/>
      <c r="H841" s="3"/>
      <c r="I841" s="3"/>
      <c r="J841" s="3"/>
    </row>
    <row r="842" spans="3:10" ht="15" hidden="1" x14ac:dyDescent="0.25">
      <c r="C842" s="3"/>
      <c r="D842" s="3"/>
      <c r="E842" s="3"/>
      <c r="F842" s="3"/>
      <c r="G842" s="3"/>
      <c r="H842" s="3"/>
      <c r="I842" s="3"/>
      <c r="J842" s="3"/>
    </row>
    <row r="843" spans="3:10" ht="15" hidden="1" x14ac:dyDescent="0.25">
      <c r="C843" s="3"/>
      <c r="D843" s="3"/>
      <c r="E843" s="3"/>
      <c r="F843" s="3"/>
      <c r="G843" s="3"/>
      <c r="H843" s="3"/>
      <c r="I843" s="3"/>
      <c r="J843" s="3"/>
    </row>
    <row r="844" spans="3:10" ht="15" hidden="1" x14ac:dyDescent="0.25">
      <c r="C844" s="3"/>
      <c r="D844" s="3"/>
      <c r="E844" s="3"/>
      <c r="F844" s="3"/>
      <c r="G844" s="3"/>
      <c r="H844" s="3"/>
      <c r="I844" s="3"/>
      <c r="J844" s="3"/>
    </row>
    <row r="845" spans="3:10" ht="15" hidden="1" x14ac:dyDescent="0.25">
      <c r="C845" s="3"/>
      <c r="D845" s="3"/>
      <c r="E845" s="3"/>
      <c r="F845" s="3"/>
      <c r="G845" s="3"/>
      <c r="H845" s="3"/>
      <c r="I845" s="3"/>
      <c r="J845" s="3"/>
    </row>
    <row r="846" spans="3:10" ht="15" hidden="1" x14ac:dyDescent="0.25">
      <c r="C846" s="3"/>
      <c r="D846" s="3"/>
      <c r="E846" s="3"/>
      <c r="F846" s="3"/>
      <c r="G846" s="3"/>
      <c r="H846" s="3"/>
      <c r="I846" s="3"/>
      <c r="J846" s="3"/>
    </row>
    <row r="847" spans="3:10" ht="15" hidden="1" x14ac:dyDescent="0.25">
      <c r="C847" s="3"/>
      <c r="D847" s="3"/>
      <c r="E847" s="3"/>
      <c r="F847" s="3"/>
      <c r="G847" s="3"/>
      <c r="H847" s="3"/>
      <c r="I847" s="3"/>
      <c r="J847" s="3"/>
    </row>
    <row r="848" spans="3:10" ht="15" hidden="1" x14ac:dyDescent="0.25">
      <c r="C848" s="3"/>
      <c r="D848" s="3"/>
      <c r="E848" s="3"/>
      <c r="F848" s="3"/>
      <c r="G848" s="3"/>
      <c r="H848" s="3"/>
      <c r="I848" s="3"/>
      <c r="J848" s="3"/>
    </row>
    <row r="849" spans="3:10" ht="15" hidden="1" x14ac:dyDescent="0.25">
      <c r="C849" s="3"/>
      <c r="D849" s="3"/>
      <c r="E849" s="3"/>
      <c r="F849" s="3"/>
      <c r="G849" s="3"/>
      <c r="H849" s="3"/>
      <c r="I849" s="3"/>
      <c r="J849" s="3"/>
    </row>
    <row r="850" spans="3:10" ht="15" hidden="1" x14ac:dyDescent="0.25">
      <c r="C850" s="3"/>
      <c r="D850" s="3"/>
      <c r="E850" s="3"/>
      <c r="F850" s="3"/>
      <c r="G850" s="3"/>
      <c r="H850" s="3"/>
      <c r="I850" s="3"/>
      <c r="J850" s="3"/>
    </row>
    <row r="851" spans="3:10" ht="15" hidden="1" x14ac:dyDescent="0.25">
      <c r="C851" s="3"/>
      <c r="D851" s="3"/>
      <c r="E851" s="3"/>
      <c r="F851" s="3"/>
      <c r="G851" s="3"/>
      <c r="H851" s="3"/>
      <c r="I851" s="3"/>
      <c r="J851" s="3"/>
    </row>
    <row r="852" spans="3:10" ht="15" hidden="1" x14ac:dyDescent="0.25">
      <c r="C852" s="3"/>
      <c r="D852" s="3"/>
      <c r="E852" s="3"/>
      <c r="F852" s="3"/>
      <c r="G852" s="3"/>
      <c r="H852" s="3"/>
      <c r="I852" s="3"/>
      <c r="J852" s="3"/>
    </row>
    <row r="853" spans="3:10" ht="15" hidden="1" x14ac:dyDescent="0.25">
      <c r="C853" s="3"/>
      <c r="D853" s="3"/>
      <c r="E853" s="3"/>
      <c r="F853" s="3"/>
      <c r="G853" s="3"/>
      <c r="H853" s="3"/>
      <c r="I853" s="3"/>
      <c r="J853" s="3"/>
    </row>
    <row r="854" spans="3:10" ht="15" hidden="1" x14ac:dyDescent="0.25">
      <c r="C854" s="3"/>
      <c r="D854" s="3"/>
      <c r="E854" s="3"/>
      <c r="F854" s="3"/>
      <c r="G854" s="3"/>
      <c r="H854" s="3"/>
      <c r="I854" s="3"/>
      <c r="J854" s="3"/>
    </row>
    <row r="855" spans="3:10" ht="15" hidden="1" x14ac:dyDescent="0.25">
      <c r="C855" s="3"/>
      <c r="D855" s="3"/>
      <c r="E855" s="3"/>
      <c r="F855" s="3"/>
      <c r="G855" s="3"/>
      <c r="H855" s="3"/>
      <c r="I855" s="3"/>
      <c r="J855" s="3"/>
    </row>
    <row r="856" spans="3:10" ht="15" hidden="1" x14ac:dyDescent="0.25">
      <c r="C856" s="3"/>
      <c r="D856" s="3"/>
      <c r="E856" s="3"/>
      <c r="F856" s="3"/>
      <c r="G856" s="3"/>
      <c r="H856" s="3"/>
      <c r="I856" s="3"/>
      <c r="J856" s="3"/>
    </row>
    <row r="857" spans="3:10" ht="15" hidden="1" x14ac:dyDescent="0.25">
      <c r="C857" s="3"/>
      <c r="D857" s="3"/>
      <c r="E857" s="3"/>
      <c r="F857" s="3"/>
      <c r="G857" s="3"/>
      <c r="H857" s="3"/>
      <c r="I857" s="3"/>
      <c r="J857" s="3"/>
    </row>
    <row r="858" spans="3:10" ht="15" hidden="1" x14ac:dyDescent="0.25">
      <c r="C858" s="3"/>
      <c r="D858" s="3"/>
      <c r="E858" s="3"/>
      <c r="F858" s="3"/>
      <c r="G858" s="3"/>
      <c r="H858" s="3"/>
      <c r="I858" s="3"/>
      <c r="J858" s="3"/>
    </row>
    <row r="859" spans="3:10" ht="15" hidden="1" x14ac:dyDescent="0.25">
      <c r="C859" s="3"/>
      <c r="D859" s="3"/>
      <c r="E859" s="3"/>
      <c r="F859" s="3"/>
      <c r="G859" s="3"/>
      <c r="H859" s="3"/>
      <c r="I859" s="3"/>
      <c r="J859" s="3"/>
    </row>
    <row r="860" spans="3:10" ht="15" hidden="1" x14ac:dyDescent="0.25">
      <c r="C860" s="3"/>
      <c r="D860" s="3"/>
      <c r="E860" s="3"/>
      <c r="F860" s="3"/>
      <c r="G860" s="3"/>
      <c r="H860" s="3"/>
      <c r="I860" s="3"/>
      <c r="J860" s="3"/>
    </row>
    <row r="861" spans="3:10" ht="15" hidden="1" x14ac:dyDescent="0.25">
      <c r="C861" s="3"/>
      <c r="D861" s="3"/>
      <c r="E861" s="3"/>
      <c r="F861" s="3"/>
      <c r="G861" s="3"/>
      <c r="H861" s="3"/>
      <c r="I861" s="3"/>
      <c r="J861" s="3"/>
    </row>
    <row r="862" spans="3:10" ht="15" hidden="1" x14ac:dyDescent="0.25">
      <c r="C862" s="3"/>
      <c r="D862" s="3"/>
      <c r="E862" s="3"/>
      <c r="F862" s="3"/>
      <c r="G862" s="3"/>
      <c r="H862" s="3"/>
      <c r="I862" s="3"/>
      <c r="J862" s="3"/>
    </row>
    <row r="863" spans="3:10" ht="15" hidden="1" x14ac:dyDescent="0.25">
      <c r="C863" s="3"/>
      <c r="D863" s="3"/>
      <c r="E863" s="3"/>
      <c r="F863" s="3"/>
      <c r="G863" s="3"/>
      <c r="H863" s="3"/>
      <c r="I863" s="3"/>
      <c r="J863" s="3"/>
    </row>
    <row r="864" spans="3:10" ht="15" hidden="1" x14ac:dyDescent="0.25">
      <c r="C864" s="3"/>
      <c r="D864" s="3"/>
      <c r="E864" s="3"/>
      <c r="F864" s="3"/>
      <c r="G864" s="3"/>
      <c r="H864" s="3"/>
      <c r="I864" s="3"/>
      <c r="J864" s="3"/>
    </row>
    <row r="865" spans="3:10" ht="15" hidden="1" x14ac:dyDescent="0.25">
      <c r="C865" s="3"/>
      <c r="D865" s="3"/>
      <c r="E865" s="3"/>
      <c r="F865" s="3"/>
      <c r="G865" s="3"/>
      <c r="H865" s="3"/>
      <c r="I865" s="3"/>
      <c r="J865" s="3"/>
    </row>
    <row r="866" spans="3:10" ht="15" hidden="1" x14ac:dyDescent="0.25">
      <c r="C866" s="3"/>
      <c r="D866" s="3"/>
      <c r="E866" s="3"/>
      <c r="F866" s="3"/>
      <c r="G866" s="3"/>
      <c r="H866" s="3"/>
      <c r="I866" s="3"/>
      <c r="J866" s="3"/>
    </row>
    <row r="867" spans="3:10" ht="15" hidden="1" x14ac:dyDescent="0.25">
      <c r="C867" s="3"/>
      <c r="D867" s="3"/>
      <c r="E867" s="3"/>
      <c r="F867" s="3"/>
      <c r="G867" s="3"/>
      <c r="H867" s="3"/>
      <c r="I867" s="3"/>
      <c r="J867" s="3"/>
    </row>
    <row r="868" spans="3:10" ht="15" hidden="1" x14ac:dyDescent="0.25">
      <c r="C868" s="3"/>
      <c r="D868" s="3"/>
      <c r="E868" s="3"/>
      <c r="F868" s="3"/>
      <c r="G868" s="3"/>
      <c r="H868" s="3"/>
      <c r="I868" s="3"/>
      <c r="J868" s="3"/>
    </row>
    <row r="869" spans="3:10" ht="15" hidden="1" x14ac:dyDescent="0.25">
      <c r="C869" s="3"/>
      <c r="D869" s="3"/>
      <c r="E869" s="3"/>
      <c r="F869" s="3"/>
      <c r="G869" s="3"/>
      <c r="H869" s="3"/>
      <c r="I869" s="3"/>
      <c r="J869" s="3"/>
    </row>
    <row r="870" spans="3:10" ht="15" hidden="1" x14ac:dyDescent="0.25">
      <c r="C870" s="3"/>
      <c r="D870" s="3"/>
      <c r="E870" s="3"/>
      <c r="F870" s="3"/>
      <c r="G870" s="3"/>
      <c r="H870" s="3"/>
      <c r="I870" s="3"/>
      <c r="J870" s="3"/>
    </row>
    <row r="871" spans="3:10" ht="15" hidden="1" x14ac:dyDescent="0.25">
      <c r="C871" s="3"/>
      <c r="D871" s="3"/>
      <c r="E871" s="3"/>
      <c r="F871" s="3"/>
      <c r="G871" s="3"/>
      <c r="H871" s="3"/>
      <c r="I871" s="3"/>
      <c r="J871" s="3"/>
    </row>
    <row r="872" spans="3:10" ht="15" hidden="1" x14ac:dyDescent="0.25">
      <c r="C872" s="3"/>
      <c r="D872" s="3"/>
      <c r="E872" s="3"/>
      <c r="F872" s="3"/>
      <c r="G872" s="3"/>
      <c r="H872" s="3"/>
      <c r="I872" s="3"/>
      <c r="J872" s="3"/>
    </row>
    <row r="873" spans="3:10" ht="15" hidden="1" x14ac:dyDescent="0.25">
      <c r="C873" s="3"/>
      <c r="D873" s="3"/>
      <c r="E873" s="3"/>
      <c r="F873" s="3"/>
      <c r="G873" s="3"/>
      <c r="H873" s="3"/>
      <c r="I873" s="3"/>
      <c r="J873" s="3"/>
    </row>
    <row r="874" spans="3:10" ht="15" hidden="1" x14ac:dyDescent="0.25">
      <c r="C874" s="3"/>
      <c r="D874" s="3"/>
      <c r="E874" s="3"/>
      <c r="F874" s="3"/>
      <c r="G874" s="3"/>
      <c r="H874" s="3"/>
      <c r="I874" s="3"/>
      <c r="J874" s="3"/>
    </row>
    <row r="875" spans="3:10" ht="15" hidden="1" x14ac:dyDescent="0.25">
      <c r="C875" s="3"/>
      <c r="D875" s="3"/>
      <c r="E875" s="3"/>
      <c r="F875" s="3"/>
      <c r="G875" s="3"/>
      <c r="H875" s="3"/>
      <c r="I875" s="3"/>
      <c r="J875" s="3"/>
    </row>
    <row r="876" spans="3:10" ht="15" hidden="1" x14ac:dyDescent="0.25">
      <c r="C876" s="3"/>
      <c r="D876" s="3"/>
      <c r="E876" s="3"/>
      <c r="F876" s="3"/>
      <c r="G876" s="3"/>
      <c r="H876" s="3"/>
      <c r="I876" s="3"/>
      <c r="J876" s="3"/>
    </row>
    <row r="877" spans="3:10" ht="15" hidden="1" x14ac:dyDescent="0.25">
      <c r="C877" s="3"/>
      <c r="D877" s="3"/>
      <c r="E877" s="3"/>
      <c r="F877" s="3"/>
      <c r="G877" s="3"/>
      <c r="H877" s="3"/>
      <c r="I877" s="3"/>
      <c r="J877" s="3"/>
    </row>
    <row r="878" spans="3:10" ht="15" hidden="1" x14ac:dyDescent="0.25">
      <c r="C878" s="3"/>
      <c r="D878" s="3"/>
      <c r="E878" s="3"/>
      <c r="F878" s="3"/>
      <c r="G878" s="3"/>
      <c r="H878" s="3"/>
      <c r="I878" s="3"/>
      <c r="J878" s="3"/>
    </row>
    <row r="879" spans="3:10" ht="15" hidden="1" x14ac:dyDescent="0.25">
      <c r="C879" s="3"/>
      <c r="D879" s="3"/>
      <c r="E879" s="3"/>
      <c r="F879" s="3"/>
      <c r="G879" s="3"/>
      <c r="H879" s="3"/>
      <c r="I879" s="3"/>
      <c r="J879" s="3"/>
    </row>
    <row r="880" spans="3:10" ht="15" hidden="1" x14ac:dyDescent="0.25">
      <c r="C880" s="3"/>
      <c r="D880" s="3"/>
      <c r="E880" s="3"/>
      <c r="F880" s="3"/>
      <c r="G880" s="3"/>
      <c r="H880" s="3"/>
      <c r="I880" s="3"/>
      <c r="J880" s="3"/>
    </row>
    <row r="881" spans="3:10" ht="15" hidden="1" x14ac:dyDescent="0.25">
      <c r="C881" s="3"/>
      <c r="D881" s="3"/>
      <c r="E881" s="3"/>
      <c r="F881" s="3"/>
      <c r="G881" s="3"/>
      <c r="H881" s="3"/>
      <c r="I881" s="3"/>
      <c r="J881" s="3"/>
    </row>
    <row r="882" spans="3:10" ht="15" hidden="1" x14ac:dyDescent="0.25">
      <c r="C882" s="3"/>
      <c r="D882" s="3"/>
      <c r="E882" s="3"/>
      <c r="F882" s="3"/>
      <c r="G882" s="3"/>
      <c r="H882" s="3"/>
      <c r="I882" s="3"/>
      <c r="J882" s="3"/>
    </row>
    <row r="883" spans="3:10" ht="15" hidden="1" x14ac:dyDescent="0.25">
      <c r="C883" s="3"/>
      <c r="D883" s="3"/>
      <c r="E883" s="3"/>
      <c r="F883" s="3"/>
      <c r="G883" s="3"/>
      <c r="H883" s="3"/>
      <c r="I883" s="3"/>
      <c r="J883" s="3"/>
    </row>
    <row r="884" spans="3:10" ht="15" hidden="1" x14ac:dyDescent="0.25">
      <c r="C884" s="3"/>
      <c r="D884" s="3"/>
      <c r="E884" s="3"/>
      <c r="F884" s="3"/>
      <c r="G884" s="3"/>
      <c r="H884" s="3"/>
      <c r="I884" s="3"/>
      <c r="J884" s="3"/>
    </row>
    <row r="885" spans="3:10" ht="15" hidden="1" x14ac:dyDescent="0.25">
      <c r="C885" s="3"/>
      <c r="D885" s="3"/>
      <c r="E885" s="3"/>
      <c r="F885" s="3"/>
      <c r="G885" s="3"/>
      <c r="H885" s="3"/>
      <c r="I885" s="3"/>
      <c r="J885" s="3"/>
    </row>
    <row r="886" spans="3:10" ht="15" hidden="1" x14ac:dyDescent="0.25">
      <c r="C886" s="3"/>
      <c r="D886" s="3"/>
      <c r="E886" s="3"/>
      <c r="F886" s="3"/>
      <c r="G886" s="3"/>
      <c r="H886" s="3"/>
      <c r="I886" s="3"/>
      <c r="J886" s="3"/>
    </row>
    <row r="887" spans="3:10" ht="15" hidden="1" x14ac:dyDescent="0.25">
      <c r="C887" s="3"/>
      <c r="D887" s="3"/>
      <c r="E887" s="3"/>
      <c r="F887" s="3"/>
      <c r="G887" s="3"/>
      <c r="H887" s="3"/>
      <c r="I887" s="3"/>
      <c r="J887" s="3"/>
    </row>
    <row r="888" spans="3:10" ht="15" hidden="1" x14ac:dyDescent="0.25">
      <c r="C888" s="3"/>
      <c r="D888" s="3"/>
      <c r="E888" s="3"/>
      <c r="F888" s="3"/>
      <c r="G888" s="3"/>
      <c r="H888" s="3"/>
      <c r="I888" s="3"/>
      <c r="J888" s="3"/>
    </row>
    <row r="889" spans="3:10" ht="15" hidden="1" x14ac:dyDescent="0.25">
      <c r="C889" s="3"/>
      <c r="D889" s="3"/>
      <c r="E889" s="3"/>
      <c r="F889" s="3"/>
      <c r="G889" s="3"/>
      <c r="H889" s="3"/>
      <c r="I889" s="3"/>
      <c r="J889" s="3"/>
    </row>
    <row r="890" spans="3:10" ht="15" hidden="1" x14ac:dyDescent="0.25">
      <c r="C890" s="3"/>
      <c r="D890" s="3"/>
      <c r="E890" s="3"/>
      <c r="F890" s="3"/>
      <c r="G890" s="3"/>
      <c r="H890" s="3"/>
      <c r="I890" s="3"/>
      <c r="J890" s="3"/>
    </row>
    <row r="891" spans="3:10" ht="15" hidden="1" x14ac:dyDescent="0.25">
      <c r="C891" s="3"/>
      <c r="D891" s="3"/>
      <c r="E891" s="3"/>
      <c r="F891" s="3"/>
      <c r="G891" s="3"/>
      <c r="H891" s="3"/>
      <c r="I891" s="3"/>
      <c r="J891" s="3"/>
    </row>
    <row r="892" spans="3:10" ht="15" hidden="1" x14ac:dyDescent="0.25">
      <c r="C892" s="3"/>
      <c r="D892" s="3"/>
      <c r="E892" s="3"/>
      <c r="F892" s="3"/>
      <c r="G892" s="3"/>
      <c r="H892" s="3"/>
      <c r="I892" s="3"/>
      <c r="J892" s="3"/>
    </row>
    <row r="893" spans="3:10" ht="15" hidden="1" x14ac:dyDescent="0.25">
      <c r="C893" s="3"/>
      <c r="D893" s="3"/>
      <c r="E893" s="3"/>
      <c r="F893" s="3"/>
      <c r="G893" s="3"/>
      <c r="H893" s="3"/>
      <c r="I893" s="3"/>
      <c r="J893" s="3"/>
    </row>
    <row r="894" spans="3:10" ht="15" hidden="1" x14ac:dyDescent="0.25">
      <c r="C894" s="3"/>
      <c r="D894" s="3"/>
      <c r="E894" s="3"/>
      <c r="F894" s="3"/>
      <c r="G894" s="3"/>
      <c r="H894" s="3"/>
      <c r="I894" s="3"/>
      <c r="J894" s="3"/>
    </row>
    <row r="895" spans="3:10" ht="15" hidden="1" x14ac:dyDescent="0.25">
      <c r="C895" s="3"/>
      <c r="D895" s="3"/>
      <c r="E895" s="3"/>
      <c r="F895" s="3"/>
      <c r="G895" s="3"/>
      <c r="H895" s="3"/>
      <c r="I895" s="3"/>
      <c r="J895" s="3"/>
    </row>
    <row r="896" spans="3:10" ht="15" hidden="1" x14ac:dyDescent="0.25">
      <c r="C896" s="3"/>
      <c r="D896" s="3"/>
      <c r="E896" s="3"/>
      <c r="F896" s="3"/>
      <c r="G896" s="3"/>
      <c r="H896" s="3"/>
      <c r="I896" s="3"/>
      <c r="J896" s="3"/>
    </row>
    <row r="897" spans="3:10" ht="15" hidden="1" x14ac:dyDescent="0.25">
      <c r="C897" s="3"/>
      <c r="D897" s="3"/>
      <c r="E897" s="3"/>
      <c r="F897" s="3"/>
      <c r="G897" s="3"/>
      <c r="H897" s="3"/>
      <c r="I897" s="3"/>
      <c r="J897" s="3"/>
    </row>
    <row r="898" spans="3:10" ht="15" hidden="1" x14ac:dyDescent="0.25">
      <c r="C898" s="3"/>
      <c r="D898" s="3"/>
      <c r="E898" s="3"/>
      <c r="F898" s="3"/>
      <c r="G898" s="3"/>
      <c r="H898" s="3"/>
      <c r="I898" s="3"/>
      <c r="J898" s="3"/>
    </row>
    <row r="899" spans="3:10" ht="15" hidden="1" x14ac:dyDescent="0.25">
      <c r="C899" s="3"/>
      <c r="D899" s="3"/>
      <c r="E899" s="3"/>
      <c r="F899" s="3"/>
      <c r="G899" s="3"/>
      <c r="H899" s="3"/>
      <c r="I899" s="3"/>
      <c r="J899" s="3"/>
    </row>
    <row r="900" spans="3:10" ht="15" hidden="1" x14ac:dyDescent="0.25">
      <c r="C900" s="3"/>
      <c r="D900" s="3"/>
      <c r="E900" s="3"/>
      <c r="F900" s="3"/>
      <c r="G900" s="3"/>
      <c r="H900" s="3"/>
      <c r="I900" s="3"/>
      <c r="J900" s="3"/>
    </row>
    <row r="901" spans="3:10" ht="15" hidden="1" x14ac:dyDescent="0.25">
      <c r="C901" s="3"/>
      <c r="D901" s="3"/>
      <c r="E901" s="3"/>
      <c r="F901" s="3"/>
      <c r="G901" s="3"/>
      <c r="H901" s="3"/>
      <c r="I901" s="3"/>
      <c r="J901" s="3"/>
    </row>
    <row r="902" spans="3:10" ht="15" hidden="1" x14ac:dyDescent="0.25">
      <c r="C902" s="3"/>
      <c r="D902" s="3"/>
      <c r="E902" s="3"/>
      <c r="F902" s="3"/>
      <c r="G902" s="3"/>
      <c r="H902" s="3"/>
      <c r="I902" s="3"/>
      <c r="J902" s="3"/>
    </row>
    <row r="903" spans="3:10" ht="15" hidden="1" x14ac:dyDescent="0.25">
      <c r="C903" s="3"/>
      <c r="D903" s="3"/>
      <c r="E903" s="3"/>
      <c r="F903" s="3"/>
      <c r="G903" s="3"/>
      <c r="H903" s="3"/>
      <c r="I903" s="3"/>
      <c r="J903" s="3"/>
    </row>
    <row r="904" spans="3:10" ht="15" hidden="1" x14ac:dyDescent="0.25">
      <c r="C904" s="3"/>
      <c r="D904" s="3"/>
      <c r="E904" s="3"/>
      <c r="F904" s="3"/>
      <c r="G904" s="3"/>
      <c r="H904" s="3"/>
      <c r="I904" s="3"/>
      <c r="J904" s="3"/>
    </row>
    <row r="905" spans="3:10" ht="15" hidden="1" x14ac:dyDescent="0.25">
      <c r="C905" s="3"/>
      <c r="D905" s="3"/>
      <c r="E905" s="3"/>
      <c r="F905" s="3"/>
      <c r="G905" s="3"/>
      <c r="H905" s="3"/>
      <c r="I905" s="3"/>
      <c r="J905" s="3"/>
    </row>
    <row r="906" spans="3:10" ht="15" hidden="1" x14ac:dyDescent="0.25">
      <c r="C906" s="3"/>
      <c r="D906" s="3"/>
      <c r="E906" s="3"/>
      <c r="F906" s="3"/>
      <c r="G906" s="3"/>
      <c r="H906" s="3"/>
      <c r="I906" s="3"/>
      <c r="J906" s="3"/>
    </row>
    <row r="907" spans="3:10" ht="15" hidden="1" x14ac:dyDescent="0.25">
      <c r="C907" s="3"/>
      <c r="D907" s="3"/>
      <c r="E907" s="3"/>
      <c r="F907" s="3"/>
      <c r="G907" s="3"/>
      <c r="H907" s="3"/>
      <c r="I907" s="3"/>
      <c r="J907" s="3"/>
    </row>
    <row r="908" spans="3:10" ht="15" hidden="1" x14ac:dyDescent="0.25">
      <c r="C908" s="3"/>
      <c r="D908" s="3"/>
      <c r="E908" s="3"/>
      <c r="F908" s="3"/>
      <c r="G908" s="3"/>
      <c r="H908" s="3"/>
      <c r="I908" s="3"/>
      <c r="J908" s="3"/>
    </row>
    <row r="909" spans="3:10" ht="15" hidden="1" x14ac:dyDescent="0.25">
      <c r="C909" s="3"/>
      <c r="D909" s="3"/>
      <c r="E909" s="3"/>
      <c r="F909" s="3"/>
      <c r="G909" s="3"/>
      <c r="H909" s="3"/>
      <c r="I909" s="3"/>
      <c r="J909" s="3"/>
    </row>
    <row r="910" spans="3:10" ht="15" hidden="1" x14ac:dyDescent="0.25">
      <c r="C910" s="3"/>
      <c r="D910" s="3"/>
      <c r="E910" s="3"/>
      <c r="F910" s="3"/>
      <c r="G910" s="3"/>
      <c r="H910" s="3"/>
      <c r="I910" s="3"/>
      <c r="J910" s="3"/>
    </row>
    <row r="911" spans="3:10" ht="15" hidden="1" x14ac:dyDescent="0.25">
      <c r="C911" s="3"/>
      <c r="D911" s="3"/>
      <c r="E911" s="3"/>
      <c r="F911" s="3"/>
      <c r="G911" s="3"/>
      <c r="H911" s="3"/>
      <c r="I911" s="3"/>
      <c r="J911" s="3"/>
    </row>
    <row r="912" spans="3:10" ht="15" hidden="1" x14ac:dyDescent="0.25">
      <c r="C912" s="3"/>
      <c r="D912" s="3"/>
      <c r="E912" s="3"/>
      <c r="F912" s="3"/>
      <c r="G912" s="3"/>
      <c r="H912" s="3"/>
      <c r="I912" s="3"/>
      <c r="J912" s="3"/>
    </row>
    <row r="913" spans="3:10" ht="15" hidden="1" x14ac:dyDescent="0.25">
      <c r="C913" s="3"/>
      <c r="D913" s="3"/>
      <c r="E913" s="3"/>
      <c r="F913" s="3"/>
      <c r="G913" s="3"/>
      <c r="H913" s="3"/>
      <c r="I913" s="3"/>
      <c r="J913" s="3"/>
    </row>
    <row r="914" spans="3:10" ht="15" hidden="1" x14ac:dyDescent="0.25">
      <c r="C914" s="3"/>
      <c r="D914" s="3"/>
      <c r="E914" s="3"/>
      <c r="F914" s="3"/>
      <c r="G914" s="3"/>
      <c r="H914" s="3"/>
      <c r="I914" s="3"/>
      <c r="J914" s="3"/>
    </row>
    <row r="915" spans="3:10" ht="15" hidden="1" x14ac:dyDescent="0.25">
      <c r="C915" s="3"/>
      <c r="D915" s="3"/>
      <c r="E915" s="3"/>
      <c r="F915" s="3"/>
      <c r="G915" s="3"/>
      <c r="H915" s="3"/>
      <c r="I915" s="3"/>
      <c r="J915" s="3"/>
    </row>
    <row r="916" spans="3:10" ht="15" hidden="1" x14ac:dyDescent="0.25">
      <c r="C916" s="3"/>
      <c r="D916" s="3"/>
      <c r="E916" s="3"/>
      <c r="F916" s="3"/>
      <c r="G916" s="3"/>
      <c r="H916" s="3"/>
      <c r="I916" s="3"/>
      <c r="J916" s="3"/>
    </row>
    <row r="917" spans="3:10" ht="15" hidden="1" x14ac:dyDescent="0.25">
      <c r="C917" s="3"/>
      <c r="D917" s="3"/>
      <c r="E917" s="3"/>
      <c r="F917" s="3"/>
      <c r="G917" s="3"/>
      <c r="H917" s="3"/>
      <c r="I917" s="3"/>
      <c r="J917" s="3"/>
    </row>
    <row r="918" spans="3:10" ht="15" hidden="1" x14ac:dyDescent="0.25">
      <c r="C918" s="3"/>
      <c r="D918" s="3"/>
      <c r="E918" s="3"/>
      <c r="F918" s="3"/>
      <c r="G918" s="3"/>
      <c r="H918" s="3"/>
      <c r="I918" s="3"/>
      <c r="J918" s="3"/>
    </row>
    <row r="919" spans="3:10" ht="15" hidden="1" x14ac:dyDescent="0.25">
      <c r="C919" s="3"/>
      <c r="D919" s="3"/>
      <c r="E919" s="3"/>
      <c r="F919" s="3"/>
      <c r="G919" s="3"/>
      <c r="H919" s="3"/>
      <c r="I919" s="3"/>
      <c r="J919" s="3"/>
    </row>
    <row r="920" spans="3:10" ht="15" hidden="1" x14ac:dyDescent="0.25">
      <c r="C920" s="3"/>
      <c r="D920" s="3"/>
      <c r="E920" s="3"/>
      <c r="F920" s="3"/>
      <c r="G920" s="3"/>
      <c r="H920" s="3"/>
      <c r="I920" s="3"/>
      <c r="J920" s="3"/>
    </row>
    <row r="921" spans="3:10" ht="15" hidden="1" x14ac:dyDescent="0.25">
      <c r="C921" s="3"/>
      <c r="D921" s="3"/>
      <c r="E921" s="3"/>
      <c r="F921" s="3"/>
      <c r="G921" s="3"/>
      <c r="H921" s="3"/>
      <c r="I921" s="3"/>
      <c r="J921" s="3"/>
    </row>
    <row r="922" spans="3:10" ht="15" hidden="1" x14ac:dyDescent="0.25">
      <c r="C922" s="3"/>
      <c r="D922" s="3"/>
      <c r="E922" s="3"/>
      <c r="F922" s="3"/>
      <c r="G922" s="3"/>
      <c r="H922" s="3"/>
      <c r="I922" s="3"/>
      <c r="J922" s="3"/>
    </row>
    <row r="923" spans="3:10" ht="15" hidden="1" x14ac:dyDescent="0.25">
      <c r="C923" s="3"/>
      <c r="D923" s="3"/>
      <c r="E923" s="3"/>
      <c r="F923" s="3"/>
      <c r="G923" s="3"/>
      <c r="H923" s="3"/>
      <c r="I923" s="3"/>
      <c r="J923" s="3"/>
    </row>
    <row r="924" spans="3:10" ht="15" hidden="1" x14ac:dyDescent="0.25">
      <c r="C924" s="3"/>
      <c r="D924" s="3"/>
      <c r="E924" s="3"/>
      <c r="F924" s="3"/>
      <c r="G924" s="3"/>
      <c r="H924" s="3"/>
      <c r="I924" s="3"/>
      <c r="J924" s="3"/>
    </row>
    <row r="925" spans="3:10" ht="15" hidden="1" x14ac:dyDescent="0.25">
      <c r="C925" s="3"/>
      <c r="D925" s="3"/>
      <c r="E925" s="3"/>
      <c r="F925" s="3"/>
      <c r="G925" s="3"/>
      <c r="H925" s="3"/>
      <c r="I925" s="3"/>
      <c r="J925" s="3"/>
    </row>
    <row r="926" spans="3:10" ht="15" hidden="1" x14ac:dyDescent="0.25">
      <c r="C926" s="3"/>
      <c r="D926" s="3"/>
      <c r="E926" s="3"/>
      <c r="F926" s="3"/>
      <c r="G926" s="3"/>
      <c r="H926" s="3"/>
      <c r="I926" s="3"/>
      <c r="J926" s="3"/>
    </row>
    <row r="927" spans="3:10" ht="15" hidden="1" x14ac:dyDescent="0.25">
      <c r="C927" s="3"/>
      <c r="D927" s="3"/>
      <c r="E927" s="3"/>
      <c r="F927" s="3"/>
      <c r="G927" s="3"/>
      <c r="H927" s="3"/>
      <c r="I927" s="3"/>
      <c r="J927" s="3"/>
    </row>
    <row r="928" spans="3:10" ht="15" hidden="1" x14ac:dyDescent="0.25">
      <c r="C928" s="3"/>
      <c r="D928" s="3"/>
      <c r="E928" s="3"/>
      <c r="F928" s="3"/>
      <c r="G928" s="3"/>
      <c r="H928" s="3"/>
      <c r="I928" s="3"/>
      <c r="J928" s="3"/>
    </row>
    <row r="929" spans="3:10" ht="15" hidden="1" x14ac:dyDescent="0.25">
      <c r="C929" s="3"/>
      <c r="D929" s="3"/>
      <c r="E929" s="3"/>
      <c r="F929" s="3"/>
      <c r="G929" s="3"/>
      <c r="H929" s="3"/>
      <c r="I929" s="3"/>
      <c r="J929" s="3"/>
    </row>
    <row r="930" spans="3:10" ht="15" hidden="1" x14ac:dyDescent="0.25">
      <c r="C930" s="3"/>
      <c r="D930" s="3"/>
      <c r="E930" s="3"/>
      <c r="F930" s="3"/>
      <c r="G930" s="3"/>
      <c r="H930" s="3"/>
      <c r="I930" s="3"/>
      <c r="J930" s="3"/>
    </row>
    <row r="931" spans="3:10" ht="15" hidden="1" x14ac:dyDescent="0.25">
      <c r="C931" s="3"/>
      <c r="D931" s="3"/>
      <c r="E931" s="3"/>
      <c r="F931" s="3"/>
      <c r="G931" s="3"/>
      <c r="H931" s="3"/>
      <c r="I931" s="3"/>
      <c r="J931" s="3"/>
    </row>
    <row r="932" spans="3:10" ht="15" hidden="1" x14ac:dyDescent="0.25">
      <c r="C932" s="3"/>
      <c r="D932" s="3"/>
      <c r="E932" s="3"/>
      <c r="F932" s="3"/>
      <c r="G932" s="3"/>
      <c r="H932" s="3"/>
      <c r="I932" s="3"/>
      <c r="J932" s="3"/>
    </row>
    <row r="933" spans="3:10" ht="15" hidden="1" x14ac:dyDescent="0.25">
      <c r="C933" s="3"/>
      <c r="D933" s="3"/>
      <c r="E933" s="3"/>
      <c r="F933" s="3"/>
      <c r="G933" s="3"/>
      <c r="H933" s="3"/>
      <c r="I933" s="3"/>
      <c r="J933" s="3"/>
    </row>
    <row r="934" spans="3:10" ht="15" hidden="1" x14ac:dyDescent="0.25">
      <c r="C934" s="3"/>
      <c r="D934" s="3"/>
      <c r="E934" s="3"/>
      <c r="F934" s="3"/>
      <c r="G934" s="3"/>
      <c r="H934" s="3"/>
      <c r="I934" s="3"/>
      <c r="J934" s="3"/>
    </row>
    <row r="935" spans="3:10" ht="15" hidden="1" x14ac:dyDescent="0.25">
      <c r="C935" s="3"/>
      <c r="D935" s="3"/>
      <c r="E935" s="3"/>
      <c r="F935" s="3"/>
      <c r="G935" s="3"/>
      <c r="H935" s="3"/>
      <c r="I935" s="3"/>
      <c r="J935" s="3"/>
    </row>
    <row r="936" spans="3:10" ht="15" hidden="1" x14ac:dyDescent="0.25">
      <c r="C936" s="3"/>
      <c r="D936" s="3"/>
      <c r="E936" s="3"/>
      <c r="F936" s="3"/>
      <c r="G936" s="3"/>
      <c r="H936" s="3"/>
      <c r="I936" s="3"/>
      <c r="J936" s="3"/>
    </row>
    <row r="937" spans="3:10" ht="15" hidden="1" x14ac:dyDescent="0.25">
      <c r="C937" s="3"/>
      <c r="D937" s="3"/>
      <c r="E937" s="3"/>
      <c r="F937" s="3"/>
      <c r="G937" s="3"/>
      <c r="H937" s="3"/>
      <c r="I937" s="3"/>
      <c r="J937" s="3"/>
    </row>
    <row r="938" spans="3:10" ht="15" hidden="1" x14ac:dyDescent="0.25">
      <c r="C938" s="3"/>
      <c r="D938" s="3"/>
      <c r="E938" s="3"/>
      <c r="F938" s="3"/>
      <c r="G938" s="3"/>
      <c r="H938" s="3"/>
      <c r="I938" s="3"/>
      <c r="J938" s="3"/>
    </row>
    <row r="939" spans="3:10" ht="15" hidden="1" x14ac:dyDescent="0.25">
      <c r="C939" s="3"/>
      <c r="D939" s="3"/>
      <c r="E939" s="3"/>
      <c r="F939" s="3"/>
      <c r="G939" s="3"/>
      <c r="H939" s="3"/>
      <c r="I939" s="3"/>
      <c r="J939" s="3"/>
    </row>
    <row r="940" spans="3:10" ht="15" hidden="1" x14ac:dyDescent="0.25">
      <c r="C940" s="3"/>
      <c r="D940" s="3"/>
      <c r="E940" s="3"/>
      <c r="F940" s="3"/>
      <c r="G940" s="3"/>
      <c r="H940" s="3"/>
      <c r="I940" s="3"/>
      <c r="J940" s="3"/>
    </row>
    <row r="941" spans="3:10" ht="15" hidden="1" x14ac:dyDescent="0.25">
      <c r="C941" s="3"/>
      <c r="D941" s="3"/>
      <c r="E941" s="3"/>
      <c r="F941" s="3"/>
      <c r="G941" s="3"/>
      <c r="H941" s="3"/>
      <c r="I941" s="3"/>
      <c r="J941" s="3"/>
    </row>
    <row r="942" spans="3:10" ht="15" hidden="1" x14ac:dyDescent="0.25">
      <c r="C942" s="3"/>
      <c r="D942" s="3"/>
      <c r="E942" s="3"/>
      <c r="F942" s="3"/>
      <c r="G942" s="3"/>
      <c r="H942" s="3"/>
      <c r="I942" s="3"/>
      <c r="J942" s="3"/>
    </row>
    <row r="943" spans="3:10" ht="15" hidden="1" x14ac:dyDescent="0.25">
      <c r="C943" s="3"/>
      <c r="D943" s="3"/>
      <c r="E943" s="3"/>
      <c r="F943" s="3"/>
      <c r="G943" s="3"/>
      <c r="H943" s="3"/>
      <c r="I943" s="3"/>
      <c r="J943" s="3"/>
    </row>
    <row r="944" spans="3:10" ht="15" hidden="1" x14ac:dyDescent="0.25">
      <c r="C944" s="3"/>
      <c r="D944" s="3"/>
      <c r="E944" s="3"/>
      <c r="F944" s="3"/>
      <c r="G944" s="3"/>
      <c r="H944" s="3"/>
      <c r="I944" s="3"/>
      <c r="J944" s="3"/>
    </row>
    <row r="945" spans="3:10" ht="15" hidden="1" x14ac:dyDescent="0.25">
      <c r="C945" s="3"/>
      <c r="D945" s="3"/>
      <c r="E945" s="3"/>
      <c r="F945" s="3"/>
      <c r="G945" s="3"/>
      <c r="H945" s="3"/>
      <c r="I945" s="3"/>
      <c r="J945" s="3"/>
    </row>
    <row r="946" spans="3:10" ht="15" hidden="1" x14ac:dyDescent="0.25">
      <c r="C946" s="3"/>
      <c r="D946" s="3"/>
      <c r="E946" s="3"/>
      <c r="F946" s="3"/>
      <c r="G946" s="3"/>
      <c r="H946" s="3"/>
      <c r="I946" s="3"/>
      <c r="J946" s="3"/>
    </row>
    <row r="947" spans="3:10" ht="15" hidden="1" x14ac:dyDescent="0.25">
      <c r="C947" s="3"/>
      <c r="D947" s="3"/>
      <c r="E947" s="3"/>
      <c r="F947" s="3"/>
      <c r="G947" s="3"/>
      <c r="H947" s="3"/>
      <c r="I947" s="3"/>
      <c r="J947" s="3"/>
    </row>
    <row r="948" spans="3:10" ht="15" hidden="1" x14ac:dyDescent="0.25">
      <c r="C948" s="3"/>
      <c r="D948" s="3"/>
      <c r="E948" s="3"/>
      <c r="F948" s="3"/>
      <c r="G948" s="3"/>
      <c r="H948" s="3"/>
      <c r="I948" s="3"/>
      <c r="J948" s="3"/>
    </row>
    <row r="949" spans="3:10" ht="15" hidden="1" x14ac:dyDescent="0.25">
      <c r="C949" s="3"/>
      <c r="D949" s="3"/>
      <c r="E949" s="3"/>
      <c r="F949" s="3"/>
      <c r="G949" s="3"/>
      <c r="H949" s="3"/>
      <c r="I949" s="3"/>
      <c r="J949" s="3"/>
    </row>
    <row r="950" spans="3:10" ht="15" hidden="1" x14ac:dyDescent="0.25">
      <c r="C950" s="3"/>
      <c r="D950" s="3"/>
      <c r="E950" s="3"/>
      <c r="F950" s="3"/>
      <c r="G950" s="3"/>
      <c r="H950" s="3"/>
      <c r="I950" s="3"/>
      <c r="J950" s="3"/>
    </row>
    <row r="951" spans="3:10" ht="15" hidden="1" x14ac:dyDescent="0.25">
      <c r="C951" s="3"/>
      <c r="D951" s="3"/>
      <c r="E951" s="3"/>
      <c r="F951" s="3"/>
      <c r="G951" s="3"/>
      <c r="H951" s="3"/>
      <c r="I951" s="3"/>
      <c r="J951" s="3"/>
    </row>
    <row r="952" spans="3:10" ht="15" hidden="1" x14ac:dyDescent="0.25">
      <c r="C952" s="3"/>
      <c r="D952" s="3"/>
      <c r="E952" s="3"/>
      <c r="F952" s="3"/>
      <c r="G952" s="3"/>
      <c r="H952" s="3"/>
      <c r="I952" s="3"/>
      <c r="J952" s="3"/>
    </row>
    <row r="953" spans="3:10" ht="15" hidden="1" x14ac:dyDescent="0.25">
      <c r="C953" s="3"/>
      <c r="D953" s="3"/>
      <c r="E953" s="3"/>
      <c r="F953" s="3"/>
      <c r="G953" s="3"/>
      <c r="H953" s="3"/>
      <c r="I953" s="3"/>
      <c r="J953" s="3"/>
    </row>
    <row r="954" spans="3:10" ht="15" hidden="1" x14ac:dyDescent="0.25">
      <c r="C954" s="3"/>
      <c r="D954" s="3"/>
      <c r="E954" s="3"/>
      <c r="F954" s="3"/>
      <c r="G954" s="3"/>
      <c r="H954" s="3"/>
      <c r="I954" s="3"/>
      <c r="J954" s="3"/>
    </row>
    <row r="955" spans="3:10" ht="15" hidden="1" x14ac:dyDescent="0.25">
      <c r="C955" s="3"/>
      <c r="D955" s="3"/>
      <c r="E955" s="3"/>
      <c r="F955" s="3"/>
      <c r="G955" s="3"/>
      <c r="H955" s="3"/>
      <c r="I955" s="3"/>
      <c r="J955" s="3"/>
    </row>
    <row r="956" spans="3:10" ht="15" hidden="1" x14ac:dyDescent="0.25">
      <c r="C956" s="3"/>
      <c r="D956" s="3"/>
      <c r="E956" s="3"/>
      <c r="F956" s="3"/>
      <c r="G956" s="3"/>
      <c r="H956" s="3"/>
      <c r="I956" s="3"/>
      <c r="J956" s="3"/>
    </row>
    <row r="957" spans="3:10" ht="15" hidden="1" x14ac:dyDescent="0.25">
      <c r="C957" s="3"/>
      <c r="D957" s="3"/>
      <c r="E957" s="3"/>
      <c r="F957" s="3"/>
      <c r="G957" s="3"/>
      <c r="H957" s="3"/>
      <c r="I957" s="3"/>
      <c r="J957" s="3"/>
    </row>
    <row r="958" spans="3:10" ht="15" hidden="1" x14ac:dyDescent="0.25">
      <c r="C958" s="3"/>
      <c r="D958" s="3"/>
      <c r="E958" s="3"/>
      <c r="F958" s="3"/>
      <c r="G958" s="3"/>
      <c r="H958" s="3"/>
      <c r="I958" s="3"/>
      <c r="J958" s="3"/>
    </row>
    <row r="959" spans="3:10" ht="15" hidden="1" x14ac:dyDescent="0.25">
      <c r="C959" s="3"/>
      <c r="D959" s="3"/>
      <c r="E959" s="3"/>
      <c r="F959" s="3"/>
      <c r="G959" s="3"/>
      <c r="H959" s="3"/>
      <c r="I959" s="3"/>
      <c r="J959" s="3"/>
    </row>
    <row r="960" spans="3:10" ht="15" hidden="1" x14ac:dyDescent="0.25">
      <c r="C960" s="3"/>
      <c r="D960" s="3"/>
      <c r="E960" s="3"/>
      <c r="F960" s="3"/>
      <c r="G960" s="3"/>
      <c r="H960" s="3"/>
      <c r="I960" s="3"/>
      <c r="J960" s="3"/>
    </row>
    <row r="961" spans="3:10" ht="15" hidden="1" x14ac:dyDescent="0.25">
      <c r="C961" s="3"/>
      <c r="D961" s="3"/>
      <c r="E961" s="3"/>
      <c r="F961" s="3"/>
      <c r="G961" s="3"/>
      <c r="H961" s="3"/>
      <c r="I961" s="3"/>
      <c r="J961" s="3"/>
    </row>
    <row r="962" spans="3:10" ht="15" hidden="1" x14ac:dyDescent="0.25">
      <c r="C962" s="3"/>
      <c r="D962" s="3"/>
      <c r="E962" s="3"/>
      <c r="F962" s="3"/>
      <c r="G962" s="3"/>
      <c r="H962" s="3"/>
      <c r="I962" s="3"/>
      <c r="J962" s="3"/>
    </row>
    <row r="963" spans="3:10" ht="15" hidden="1" x14ac:dyDescent="0.25">
      <c r="C963" s="3"/>
      <c r="D963" s="3"/>
      <c r="E963" s="3"/>
      <c r="F963" s="3"/>
      <c r="G963" s="3"/>
      <c r="H963" s="3"/>
      <c r="I963" s="3"/>
      <c r="J963" s="3"/>
    </row>
    <row r="964" spans="3:10" ht="15" hidden="1" x14ac:dyDescent="0.25">
      <c r="C964" s="3"/>
      <c r="D964" s="3"/>
      <c r="E964" s="3"/>
      <c r="F964" s="3"/>
      <c r="G964" s="3"/>
      <c r="H964" s="3"/>
      <c r="I964" s="3"/>
      <c r="J964" s="3"/>
    </row>
    <row r="965" spans="3:10" ht="15" hidden="1" x14ac:dyDescent="0.25">
      <c r="C965" s="3"/>
      <c r="D965" s="3"/>
      <c r="E965" s="3"/>
      <c r="F965" s="3"/>
      <c r="G965" s="3"/>
      <c r="H965" s="3"/>
      <c r="I965" s="3"/>
      <c r="J965" s="3"/>
    </row>
    <row r="966" spans="3:10" ht="15" hidden="1" x14ac:dyDescent="0.25">
      <c r="C966" s="3"/>
      <c r="D966" s="3"/>
      <c r="E966" s="3"/>
      <c r="F966" s="3"/>
      <c r="G966" s="3"/>
      <c r="H966" s="3"/>
      <c r="I966" s="3"/>
      <c r="J966" s="3"/>
    </row>
    <row r="967" spans="3:10" ht="15" hidden="1" x14ac:dyDescent="0.25">
      <c r="C967" s="3"/>
      <c r="D967" s="3"/>
      <c r="E967" s="3"/>
      <c r="F967" s="3"/>
      <c r="G967" s="3"/>
      <c r="H967" s="3"/>
      <c r="I967" s="3"/>
      <c r="J967" s="3"/>
    </row>
    <row r="968" spans="3:10" ht="15" hidden="1" x14ac:dyDescent="0.25">
      <c r="C968" s="3"/>
      <c r="D968" s="3"/>
      <c r="E968" s="3"/>
      <c r="F968" s="3"/>
      <c r="G968" s="3"/>
      <c r="H968" s="3"/>
      <c r="I968" s="3"/>
      <c r="J968" s="3"/>
    </row>
    <row r="969" spans="3:10" ht="15" hidden="1" x14ac:dyDescent="0.25">
      <c r="C969" s="3"/>
      <c r="D969" s="3"/>
      <c r="E969" s="3"/>
      <c r="F969" s="3"/>
      <c r="G969" s="3"/>
      <c r="H969" s="3"/>
      <c r="I969" s="3"/>
      <c r="J969" s="3"/>
    </row>
    <row r="970" spans="3:10" ht="15" hidden="1" x14ac:dyDescent="0.25">
      <c r="C970" s="3"/>
      <c r="D970" s="3"/>
      <c r="E970" s="3"/>
      <c r="F970" s="3"/>
      <c r="G970" s="3"/>
      <c r="H970" s="3"/>
      <c r="I970" s="3"/>
      <c r="J970" s="3"/>
    </row>
    <row r="971" spans="3:10" ht="15" hidden="1" x14ac:dyDescent="0.25">
      <c r="C971" s="3"/>
      <c r="D971" s="3"/>
      <c r="E971" s="3"/>
      <c r="F971" s="3"/>
      <c r="G971" s="3"/>
      <c r="H971" s="3"/>
      <c r="I971" s="3"/>
      <c r="J971" s="3"/>
    </row>
    <row r="972" spans="3:10" ht="15" hidden="1" x14ac:dyDescent="0.25">
      <c r="C972" s="3"/>
      <c r="D972" s="3"/>
      <c r="E972" s="3"/>
      <c r="F972" s="3"/>
      <c r="G972" s="3"/>
      <c r="H972" s="3"/>
      <c r="I972" s="3"/>
      <c r="J972" s="3"/>
    </row>
    <row r="973" spans="3:10" ht="15" hidden="1" x14ac:dyDescent="0.25">
      <c r="C973" s="3"/>
      <c r="D973" s="3"/>
      <c r="E973" s="3"/>
      <c r="F973" s="3"/>
      <c r="G973" s="3"/>
      <c r="H973" s="3"/>
      <c r="I973" s="3"/>
      <c r="J973" s="3"/>
    </row>
    <row r="974" spans="3:10" ht="15" hidden="1" x14ac:dyDescent="0.25">
      <c r="C974" s="3"/>
      <c r="D974" s="3"/>
      <c r="E974" s="3"/>
      <c r="F974" s="3"/>
      <c r="G974" s="3"/>
      <c r="H974" s="3"/>
      <c r="I974" s="3"/>
      <c r="J974" s="3"/>
    </row>
    <row r="975" spans="3:10" ht="15" hidden="1" x14ac:dyDescent="0.25">
      <c r="C975" s="3"/>
      <c r="D975" s="3"/>
      <c r="E975" s="3"/>
      <c r="F975" s="3"/>
      <c r="G975" s="3"/>
      <c r="H975" s="3"/>
      <c r="I975" s="3"/>
      <c r="J975" s="3"/>
    </row>
    <row r="976" spans="3:10" ht="15" hidden="1" x14ac:dyDescent="0.25">
      <c r="C976" s="3"/>
      <c r="D976" s="3"/>
      <c r="E976" s="3"/>
      <c r="F976" s="3"/>
      <c r="G976" s="3"/>
      <c r="H976" s="3"/>
      <c r="I976" s="3"/>
      <c r="J976" s="3"/>
    </row>
    <row r="977" spans="3:10" ht="15" hidden="1" x14ac:dyDescent="0.25">
      <c r="C977" s="3"/>
      <c r="D977" s="3"/>
      <c r="E977" s="3"/>
      <c r="F977" s="3"/>
      <c r="G977" s="3"/>
      <c r="H977" s="3"/>
      <c r="I977" s="3"/>
      <c r="J977" s="3"/>
    </row>
    <row r="978" spans="3:10" ht="15" hidden="1" x14ac:dyDescent="0.25">
      <c r="C978" s="3"/>
      <c r="D978" s="3"/>
      <c r="E978" s="3"/>
      <c r="F978" s="3"/>
      <c r="G978" s="3"/>
      <c r="H978" s="3"/>
      <c r="I978" s="3"/>
      <c r="J978" s="3"/>
    </row>
    <row r="979" spans="3:10" ht="15" hidden="1" x14ac:dyDescent="0.25">
      <c r="C979" s="3"/>
      <c r="D979" s="3"/>
      <c r="E979" s="3"/>
      <c r="F979" s="3"/>
      <c r="G979" s="3"/>
      <c r="H979" s="3"/>
      <c r="I979" s="3"/>
      <c r="J979" s="3"/>
    </row>
    <row r="980" spans="3:10" ht="15" hidden="1" x14ac:dyDescent="0.25">
      <c r="C980" s="3"/>
      <c r="D980" s="3"/>
      <c r="E980" s="3"/>
      <c r="F980" s="3"/>
      <c r="G980" s="3"/>
      <c r="H980" s="3"/>
      <c r="I980" s="3"/>
      <c r="J980" s="3"/>
    </row>
    <row r="981" spans="3:10" ht="15" hidden="1" x14ac:dyDescent="0.25">
      <c r="C981" s="3"/>
      <c r="D981" s="3"/>
      <c r="E981" s="3"/>
      <c r="F981" s="3"/>
      <c r="G981" s="3"/>
      <c r="H981" s="3"/>
      <c r="I981" s="3"/>
      <c r="J981" s="3"/>
    </row>
    <row r="982" spans="3:10" ht="15" hidden="1" x14ac:dyDescent="0.25">
      <c r="C982" s="3"/>
      <c r="D982" s="3"/>
      <c r="E982" s="3"/>
      <c r="F982" s="3"/>
      <c r="G982" s="3"/>
      <c r="H982" s="3"/>
      <c r="I982" s="3"/>
      <c r="J982" s="3"/>
    </row>
    <row r="983" spans="3:10" ht="15" hidden="1" x14ac:dyDescent="0.25">
      <c r="C983" s="3"/>
      <c r="D983" s="3"/>
      <c r="E983" s="3"/>
      <c r="F983" s="3"/>
      <c r="G983" s="3"/>
      <c r="H983" s="3"/>
      <c r="I983" s="3"/>
      <c r="J983" s="3"/>
    </row>
    <row r="984" spans="3:10" ht="15" hidden="1" x14ac:dyDescent="0.25">
      <c r="C984" s="3"/>
      <c r="D984" s="3"/>
      <c r="E984" s="3"/>
      <c r="F984" s="3"/>
      <c r="G984" s="3"/>
      <c r="H984" s="3"/>
      <c r="I984" s="3"/>
      <c r="J984" s="3"/>
    </row>
    <row r="985" spans="3:10" ht="15" hidden="1" x14ac:dyDescent="0.25">
      <c r="C985" s="3"/>
      <c r="D985" s="3"/>
      <c r="E985" s="3"/>
      <c r="F985" s="3"/>
      <c r="G985" s="3"/>
      <c r="H985" s="3"/>
      <c r="I985" s="3"/>
      <c r="J985" s="3"/>
    </row>
    <row r="986" spans="3:10" ht="15" hidden="1" x14ac:dyDescent="0.25">
      <c r="C986" s="3"/>
      <c r="D986" s="3"/>
      <c r="E986" s="3"/>
      <c r="F986" s="3"/>
      <c r="G986" s="3"/>
      <c r="H986" s="3"/>
      <c r="I986" s="3"/>
      <c r="J986" s="3"/>
    </row>
    <row r="987" spans="3:10" ht="15" hidden="1" x14ac:dyDescent="0.25">
      <c r="C987" s="3"/>
      <c r="D987" s="3"/>
      <c r="E987" s="3"/>
      <c r="F987" s="3"/>
      <c r="G987" s="3"/>
      <c r="H987" s="3"/>
      <c r="I987" s="3"/>
      <c r="J987" s="3"/>
    </row>
    <row r="988" spans="3:10" ht="15" hidden="1" x14ac:dyDescent="0.25">
      <c r="C988" s="3"/>
      <c r="D988" s="3"/>
      <c r="E988" s="3"/>
      <c r="F988" s="3"/>
      <c r="G988" s="3"/>
      <c r="H988" s="3"/>
      <c r="I988" s="3"/>
      <c r="J988" s="3"/>
    </row>
    <row r="989" spans="3:10" ht="15" hidden="1" x14ac:dyDescent="0.25">
      <c r="C989" s="3"/>
      <c r="D989" s="3"/>
      <c r="E989" s="3"/>
      <c r="F989" s="3"/>
      <c r="G989" s="3"/>
      <c r="H989" s="3"/>
      <c r="I989" s="3"/>
      <c r="J989" s="3"/>
    </row>
    <row r="990" spans="3:10" ht="15" hidden="1" x14ac:dyDescent="0.25">
      <c r="C990" s="3"/>
      <c r="D990" s="3"/>
      <c r="E990" s="3"/>
      <c r="F990" s="3"/>
      <c r="G990" s="3"/>
      <c r="H990" s="3"/>
      <c r="I990" s="3"/>
      <c r="J990" s="3"/>
    </row>
    <row r="991" spans="3:10" ht="15" hidden="1" x14ac:dyDescent="0.25">
      <c r="C991" s="3"/>
      <c r="D991" s="3"/>
      <c r="E991" s="3"/>
      <c r="F991" s="3"/>
      <c r="G991" s="3"/>
      <c r="H991" s="3"/>
      <c r="I991" s="3"/>
      <c r="J991" s="3"/>
    </row>
    <row r="992" spans="3:10" ht="15" hidden="1" x14ac:dyDescent="0.25">
      <c r="C992" s="3"/>
      <c r="D992" s="3"/>
      <c r="E992" s="3"/>
      <c r="F992" s="3"/>
      <c r="G992" s="3"/>
      <c r="H992" s="3"/>
      <c r="I992" s="3"/>
      <c r="J992" s="3"/>
    </row>
    <row r="993" spans="3:10" ht="15" hidden="1" x14ac:dyDescent="0.25">
      <c r="C993" s="3"/>
      <c r="D993" s="3"/>
      <c r="E993" s="3"/>
      <c r="F993" s="3"/>
      <c r="G993" s="3"/>
      <c r="H993" s="3"/>
      <c r="I993" s="3"/>
      <c r="J993" s="3"/>
    </row>
    <row r="994" spans="3:10" ht="15" hidden="1" x14ac:dyDescent="0.25">
      <c r="C994" s="3"/>
      <c r="D994" s="3"/>
      <c r="E994" s="3"/>
      <c r="F994" s="3"/>
      <c r="G994" s="3"/>
      <c r="H994" s="3"/>
      <c r="I994" s="3"/>
      <c r="J994" s="3"/>
    </row>
    <row r="995" spans="3:10" ht="15" hidden="1" x14ac:dyDescent="0.25">
      <c r="C995" s="3"/>
      <c r="D995" s="3"/>
      <c r="E995" s="3"/>
      <c r="F995" s="3"/>
      <c r="G995" s="3"/>
      <c r="H995" s="3"/>
      <c r="I995" s="3"/>
      <c r="J995" s="3"/>
    </row>
    <row r="996" spans="3:10" ht="15" hidden="1" x14ac:dyDescent="0.25">
      <c r="C996" s="3"/>
      <c r="D996" s="3"/>
      <c r="E996" s="3"/>
      <c r="F996" s="3"/>
      <c r="G996" s="3"/>
      <c r="H996" s="3"/>
      <c r="I996" s="3"/>
      <c r="J996" s="3"/>
    </row>
    <row r="997" spans="3:10" ht="15" hidden="1" x14ac:dyDescent="0.25">
      <c r="C997" s="3"/>
      <c r="D997" s="3"/>
      <c r="E997" s="3"/>
      <c r="F997" s="3"/>
      <c r="G997" s="3"/>
      <c r="H997" s="3"/>
      <c r="I997" s="3"/>
      <c r="J997" s="3"/>
    </row>
    <row r="998" spans="3:10" ht="15" hidden="1" x14ac:dyDescent="0.25">
      <c r="C998" s="3"/>
      <c r="D998" s="3"/>
      <c r="E998" s="3"/>
      <c r="F998" s="3"/>
      <c r="G998" s="3"/>
      <c r="H998" s="3"/>
      <c r="I998" s="3"/>
      <c r="J998" s="3"/>
    </row>
    <row r="999" spans="3:10" ht="15" hidden="1" x14ac:dyDescent="0.25">
      <c r="C999" s="3"/>
      <c r="D999" s="3"/>
      <c r="E999" s="3"/>
      <c r="F999" s="3"/>
      <c r="G999" s="3"/>
      <c r="H999" s="3"/>
      <c r="I999" s="3"/>
      <c r="J999" s="3"/>
    </row>
    <row r="1000" spans="3:10" ht="15" hidden="1" x14ac:dyDescent="0.25">
      <c r="C1000" s="3"/>
      <c r="D1000" s="3"/>
      <c r="E1000" s="3"/>
      <c r="F1000" s="3"/>
      <c r="G1000" s="3"/>
      <c r="H1000" s="3"/>
      <c r="I1000" s="3"/>
      <c r="J1000" s="3"/>
    </row>
    <row r="1001" spans="3:10" ht="15" hidden="1" x14ac:dyDescent="0.25">
      <c r="C1001" s="3"/>
      <c r="D1001" s="3"/>
      <c r="E1001" s="3"/>
      <c r="F1001" s="3"/>
      <c r="G1001" s="3"/>
      <c r="H1001" s="3"/>
      <c r="I1001" s="3"/>
      <c r="J1001" s="3"/>
    </row>
    <row r="1002" spans="3:10" ht="15" hidden="1" x14ac:dyDescent="0.25">
      <c r="C1002" s="3"/>
      <c r="D1002" s="3"/>
      <c r="E1002" s="3"/>
      <c r="F1002" s="3"/>
      <c r="G1002" s="3"/>
      <c r="H1002" s="3"/>
      <c r="I1002" s="3"/>
      <c r="J1002" s="3"/>
    </row>
    <row r="1003" spans="3:10" ht="15" hidden="1" x14ac:dyDescent="0.25">
      <c r="C1003" s="3"/>
      <c r="D1003" s="3"/>
      <c r="E1003" s="3"/>
      <c r="F1003" s="3"/>
      <c r="G1003" s="3"/>
      <c r="H1003" s="3"/>
      <c r="I1003" s="3"/>
      <c r="J1003" s="3"/>
    </row>
    <row r="1004" spans="3:10" ht="15" hidden="1" x14ac:dyDescent="0.25">
      <c r="C1004" s="3"/>
      <c r="D1004" s="3"/>
      <c r="E1004" s="3"/>
      <c r="F1004" s="3"/>
      <c r="G1004" s="3"/>
      <c r="H1004" s="3"/>
      <c r="I1004" s="3"/>
      <c r="J1004" s="3"/>
    </row>
    <row r="1005" spans="3:10" ht="15" hidden="1" x14ac:dyDescent="0.25">
      <c r="C1005" s="3"/>
      <c r="D1005" s="3"/>
      <c r="E1005" s="3"/>
      <c r="F1005" s="3"/>
      <c r="G1005" s="3"/>
      <c r="H1005" s="3"/>
      <c r="I1005" s="3"/>
      <c r="J1005" s="3"/>
    </row>
    <row r="1006" spans="3:10" ht="15" hidden="1" x14ac:dyDescent="0.25">
      <c r="C1006" s="3"/>
      <c r="D1006" s="3"/>
      <c r="E1006" s="3"/>
      <c r="F1006" s="3"/>
      <c r="G1006" s="3"/>
      <c r="H1006" s="3"/>
      <c r="I1006" s="3"/>
      <c r="J1006" s="3"/>
    </row>
    <row r="1007" spans="3:10" ht="15" hidden="1" x14ac:dyDescent="0.25">
      <c r="C1007" s="3"/>
      <c r="D1007" s="3"/>
      <c r="E1007" s="3"/>
      <c r="F1007" s="3"/>
      <c r="G1007" s="3"/>
      <c r="H1007" s="3"/>
      <c r="I1007" s="3"/>
      <c r="J1007" s="3"/>
    </row>
    <row r="1008" spans="3:10" ht="15" hidden="1" x14ac:dyDescent="0.25">
      <c r="C1008" s="3"/>
      <c r="D1008" s="3"/>
      <c r="E1008" s="3"/>
      <c r="F1008" s="3"/>
      <c r="G1008" s="3"/>
      <c r="H1008" s="3"/>
      <c r="I1008" s="3"/>
      <c r="J1008" s="3"/>
    </row>
    <row r="1009" spans="3:10" ht="15" hidden="1" x14ac:dyDescent="0.25">
      <c r="C1009" s="3"/>
      <c r="D1009" s="3"/>
      <c r="E1009" s="3"/>
      <c r="F1009" s="3"/>
      <c r="G1009" s="3"/>
      <c r="H1009" s="3"/>
      <c r="I1009" s="3"/>
      <c r="J1009" s="3"/>
    </row>
    <row r="1010" spans="3:10" ht="15" hidden="1" x14ac:dyDescent="0.25">
      <c r="C1010" s="3"/>
      <c r="D1010" s="3"/>
      <c r="E1010" s="3"/>
      <c r="F1010" s="3"/>
      <c r="G1010" s="3"/>
      <c r="H1010" s="3"/>
      <c r="I1010" s="3"/>
      <c r="J1010" s="3"/>
    </row>
    <row r="1011" spans="3:10" ht="15" hidden="1" x14ac:dyDescent="0.25">
      <c r="C1011" s="3"/>
      <c r="D1011" s="3"/>
      <c r="E1011" s="3"/>
      <c r="F1011" s="3"/>
      <c r="G1011" s="3"/>
      <c r="H1011" s="3"/>
      <c r="I1011" s="3"/>
      <c r="J1011" s="3"/>
    </row>
    <row r="1012" spans="3:10" ht="15" hidden="1" x14ac:dyDescent="0.25">
      <c r="C1012" s="3"/>
      <c r="D1012" s="3"/>
      <c r="E1012" s="3"/>
      <c r="F1012" s="3"/>
      <c r="G1012" s="3"/>
      <c r="H1012" s="3"/>
      <c r="I1012" s="3"/>
      <c r="J1012" s="3"/>
    </row>
    <row r="1013" spans="3:10" ht="15" hidden="1" x14ac:dyDescent="0.25">
      <c r="C1013" s="3"/>
      <c r="D1013" s="3"/>
      <c r="E1013" s="3"/>
      <c r="F1013" s="3"/>
      <c r="G1013" s="3"/>
      <c r="H1013" s="3"/>
      <c r="I1013" s="3"/>
      <c r="J1013" s="3"/>
    </row>
    <row r="1014" spans="3:10" ht="15" hidden="1" x14ac:dyDescent="0.25">
      <c r="C1014" s="3"/>
      <c r="D1014" s="3"/>
      <c r="E1014" s="3"/>
      <c r="F1014" s="3"/>
      <c r="G1014" s="3"/>
      <c r="H1014" s="3"/>
      <c r="I1014" s="3"/>
      <c r="J1014" s="3"/>
    </row>
    <row r="1015" spans="3:10" ht="15" hidden="1" x14ac:dyDescent="0.25">
      <c r="C1015" s="3"/>
      <c r="D1015" s="3"/>
      <c r="E1015" s="3"/>
      <c r="F1015" s="3"/>
      <c r="G1015" s="3"/>
      <c r="H1015" s="3"/>
      <c r="I1015" s="3"/>
      <c r="J1015" s="3"/>
    </row>
    <row r="1016" spans="3:10" ht="15" hidden="1" x14ac:dyDescent="0.25">
      <c r="C1016" s="3"/>
      <c r="D1016" s="3"/>
      <c r="E1016" s="3"/>
      <c r="F1016" s="3"/>
      <c r="G1016" s="3"/>
      <c r="H1016" s="3"/>
      <c r="I1016" s="3"/>
      <c r="J1016" s="3"/>
    </row>
    <row r="1017" spans="3:10" ht="15" hidden="1" x14ac:dyDescent="0.25">
      <c r="C1017" s="3"/>
      <c r="D1017" s="3"/>
      <c r="E1017" s="3"/>
      <c r="F1017" s="3"/>
      <c r="G1017" s="3"/>
      <c r="H1017" s="3"/>
      <c r="I1017" s="3"/>
      <c r="J1017" s="3"/>
    </row>
    <row r="1018" spans="3:10" ht="15" hidden="1" x14ac:dyDescent="0.25">
      <c r="C1018" s="3"/>
      <c r="D1018" s="3"/>
      <c r="E1018" s="3"/>
      <c r="F1018" s="3"/>
      <c r="G1018" s="3"/>
      <c r="H1018" s="3"/>
      <c r="I1018" s="3"/>
      <c r="J1018" s="3"/>
    </row>
    <row r="1019" spans="3:10" ht="15" hidden="1" x14ac:dyDescent="0.25">
      <c r="C1019" s="3"/>
      <c r="D1019" s="3"/>
      <c r="E1019" s="3"/>
      <c r="F1019" s="3"/>
      <c r="G1019" s="3"/>
      <c r="H1019" s="3"/>
      <c r="I1019" s="3"/>
      <c r="J1019" s="3"/>
    </row>
    <row r="1020" spans="3:10" ht="15" hidden="1" x14ac:dyDescent="0.25">
      <c r="C1020" s="3"/>
      <c r="D1020" s="3"/>
      <c r="E1020" s="3"/>
      <c r="F1020" s="3"/>
      <c r="G1020" s="3"/>
      <c r="H1020" s="3"/>
      <c r="I1020" s="3"/>
      <c r="J1020" s="3"/>
    </row>
    <row r="1021" spans="3:10" ht="15" hidden="1" x14ac:dyDescent="0.25">
      <c r="C1021" s="3"/>
      <c r="D1021" s="3"/>
      <c r="E1021" s="3"/>
      <c r="F1021" s="3"/>
      <c r="G1021" s="3"/>
      <c r="H1021" s="3"/>
      <c r="I1021" s="3"/>
      <c r="J1021" s="3"/>
    </row>
    <row r="1022" spans="3:10" ht="15" hidden="1" x14ac:dyDescent="0.25">
      <c r="C1022" s="3"/>
      <c r="D1022" s="3"/>
      <c r="E1022" s="3"/>
      <c r="F1022" s="3"/>
      <c r="G1022" s="3"/>
      <c r="H1022" s="3"/>
      <c r="I1022" s="3"/>
      <c r="J1022" s="3"/>
    </row>
    <row r="1023" spans="3:10" ht="15" hidden="1" x14ac:dyDescent="0.25">
      <c r="C1023" s="3"/>
      <c r="D1023" s="3"/>
      <c r="E1023" s="3"/>
      <c r="F1023" s="3"/>
      <c r="G1023" s="3"/>
      <c r="H1023" s="3"/>
      <c r="I1023" s="3"/>
      <c r="J1023" s="3"/>
    </row>
    <row r="1024" spans="3:10" ht="15" hidden="1" x14ac:dyDescent="0.25">
      <c r="C1024" s="3"/>
      <c r="D1024" s="3"/>
      <c r="E1024" s="3"/>
      <c r="F1024" s="3"/>
      <c r="G1024" s="3"/>
      <c r="H1024" s="3"/>
      <c r="I1024" s="3"/>
      <c r="J1024" s="3"/>
    </row>
    <row r="1025" spans="3:10" ht="15" hidden="1" x14ac:dyDescent="0.25">
      <c r="C1025" s="3"/>
      <c r="D1025" s="3"/>
      <c r="E1025" s="3"/>
      <c r="F1025" s="3"/>
      <c r="G1025" s="3"/>
      <c r="H1025" s="3"/>
      <c r="I1025" s="3"/>
      <c r="J1025" s="3"/>
    </row>
    <row r="1026" spans="3:10" ht="15" hidden="1" x14ac:dyDescent="0.25">
      <c r="C1026" s="3"/>
      <c r="D1026" s="3"/>
      <c r="E1026" s="3"/>
      <c r="F1026" s="3"/>
      <c r="G1026" s="3"/>
      <c r="H1026" s="3"/>
      <c r="I1026" s="3"/>
      <c r="J1026" s="3"/>
    </row>
    <row r="1027" spans="3:10" ht="15" hidden="1" x14ac:dyDescent="0.25">
      <c r="C1027" s="3"/>
      <c r="D1027" s="3"/>
      <c r="E1027" s="3"/>
      <c r="F1027" s="3"/>
      <c r="G1027" s="3"/>
      <c r="H1027" s="3"/>
      <c r="I1027" s="3"/>
      <c r="J1027" s="3"/>
    </row>
    <row r="1028" spans="3:10" ht="15" hidden="1" x14ac:dyDescent="0.25">
      <c r="C1028" s="3"/>
      <c r="D1028" s="3"/>
      <c r="E1028" s="3"/>
      <c r="F1028" s="3"/>
      <c r="G1028" s="3"/>
      <c r="H1028" s="3"/>
      <c r="I1028" s="3"/>
      <c r="J1028" s="3"/>
    </row>
    <row r="1029" spans="3:10" ht="15" hidden="1" x14ac:dyDescent="0.25">
      <c r="C1029" s="3"/>
      <c r="D1029" s="3"/>
      <c r="E1029" s="3"/>
      <c r="F1029" s="3"/>
      <c r="G1029" s="3"/>
      <c r="H1029" s="3"/>
      <c r="I1029" s="3"/>
      <c r="J1029" s="3"/>
    </row>
    <row r="1030" spans="3:10" ht="15" hidden="1" x14ac:dyDescent="0.25">
      <c r="C1030" s="3"/>
      <c r="D1030" s="3"/>
      <c r="E1030" s="3"/>
      <c r="F1030" s="3"/>
      <c r="G1030" s="3"/>
      <c r="H1030" s="3"/>
      <c r="I1030" s="3"/>
      <c r="J1030" s="3"/>
    </row>
    <row r="1031" spans="3:10" ht="15" hidden="1" x14ac:dyDescent="0.25">
      <c r="C1031" s="3"/>
      <c r="D1031" s="3"/>
      <c r="E1031" s="3"/>
      <c r="F1031" s="3"/>
      <c r="G1031" s="3"/>
      <c r="H1031" s="3"/>
      <c r="I1031" s="3"/>
      <c r="J1031" s="3"/>
    </row>
    <row r="1032" spans="3:10" ht="15" hidden="1" x14ac:dyDescent="0.25">
      <c r="C1032" s="3"/>
      <c r="D1032" s="3"/>
      <c r="E1032" s="3"/>
      <c r="F1032" s="3"/>
      <c r="G1032" s="3"/>
      <c r="H1032" s="3"/>
      <c r="I1032" s="3"/>
      <c r="J1032" s="3"/>
    </row>
    <row r="1033" spans="3:10" ht="15" hidden="1" x14ac:dyDescent="0.25">
      <c r="C1033" s="3"/>
      <c r="D1033" s="3"/>
      <c r="E1033" s="3"/>
      <c r="F1033" s="3"/>
      <c r="G1033" s="3"/>
      <c r="H1033" s="3"/>
      <c r="I1033" s="3"/>
      <c r="J1033" s="3"/>
    </row>
    <row r="1034" spans="3:10" ht="15" hidden="1" x14ac:dyDescent="0.25">
      <c r="C1034" s="3"/>
      <c r="D1034" s="3"/>
      <c r="E1034" s="3"/>
      <c r="F1034" s="3"/>
      <c r="G1034" s="3"/>
      <c r="H1034" s="3"/>
      <c r="I1034" s="3"/>
      <c r="J1034" s="3"/>
    </row>
    <row r="1035" spans="3:10" ht="15" hidden="1" x14ac:dyDescent="0.25">
      <c r="C1035" s="3"/>
      <c r="D1035" s="3"/>
      <c r="E1035" s="3"/>
      <c r="F1035" s="3"/>
      <c r="G1035" s="3"/>
      <c r="H1035" s="3"/>
      <c r="I1035" s="3"/>
      <c r="J1035" s="3"/>
    </row>
    <row r="1036" spans="3:10" ht="15" hidden="1" x14ac:dyDescent="0.25">
      <c r="C1036" s="3"/>
      <c r="D1036" s="3"/>
      <c r="E1036" s="3"/>
      <c r="F1036" s="3"/>
      <c r="G1036" s="3"/>
      <c r="H1036" s="3"/>
      <c r="I1036" s="3"/>
      <c r="J1036" s="3"/>
    </row>
    <row r="1037" spans="3:10" ht="15" hidden="1" x14ac:dyDescent="0.25">
      <c r="C1037" s="3"/>
      <c r="D1037" s="3"/>
      <c r="E1037" s="3"/>
      <c r="F1037" s="3"/>
      <c r="G1037" s="3"/>
      <c r="H1037" s="3"/>
      <c r="I1037" s="3"/>
      <c r="J1037" s="3"/>
    </row>
    <row r="1038" spans="3:10" ht="15" hidden="1" x14ac:dyDescent="0.25">
      <c r="C1038" s="3"/>
      <c r="D1038" s="3"/>
      <c r="E1038" s="3"/>
      <c r="F1038" s="3"/>
      <c r="G1038" s="3"/>
      <c r="H1038" s="3"/>
      <c r="I1038" s="3"/>
      <c r="J1038" s="3"/>
    </row>
    <row r="1039" spans="3:10" ht="15" hidden="1" x14ac:dyDescent="0.25">
      <c r="C1039" s="3"/>
      <c r="D1039" s="3"/>
      <c r="E1039" s="3"/>
      <c r="F1039" s="3"/>
      <c r="G1039" s="3"/>
      <c r="H1039" s="3"/>
      <c r="I1039" s="3"/>
      <c r="J1039" s="3"/>
    </row>
    <row r="1040" spans="3:10" ht="15" hidden="1" x14ac:dyDescent="0.25">
      <c r="C1040" s="3"/>
      <c r="D1040" s="3"/>
      <c r="E1040" s="3"/>
      <c r="F1040" s="3"/>
      <c r="G1040" s="3"/>
      <c r="H1040" s="3"/>
      <c r="I1040" s="3"/>
      <c r="J1040" s="3"/>
    </row>
    <row r="1041" spans="3:10" ht="15" hidden="1" x14ac:dyDescent="0.25">
      <c r="C1041" s="3"/>
      <c r="D1041" s="3"/>
      <c r="E1041" s="3"/>
      <c r="F1041" s="3"/>
      <c r="G1041" s="3"/>
      <c r="H1041" s="3"/>
      <c r="I1041" s="3"/>
      <c r="J1041" s="3"/>
    </row>
    <row r="1042" spans="3:10" ht="15" hidden="1" x14ac:dyDescent="0.25">
      <c r="C1042" s="3"/>
      <c r="D1042" s="3"/>
      <c r="E1042" s="3"/>
      <c r="F1042" s="3"/>
      <c r="G1042" s="3"/>
      <c r="H1042" s="3"/>
      <c r="I1042" s="3"/>
      <c r="J1042" s="3"/>
    </row>
    <row r="1043" spans="3:10" ht="15" hidden="1" x14ac:dyDescent="0.25">
      <c r="C1043" s="3"/>
      <c r="D1043" s="3"/>
      <c r="E1043" s="3"/>
      <c r="F1043" s="3"/>
      <c r="G1043" s="3"/>
      <c r="H1043" s="3"/>
      <c r="I1043" s="3"/>
      <c r="J1043" s="3"/>
    </row>
    <row r="1044" spans="3:10" ht="15" hidden="1" x14ac:dyDescent="0.25">
      <c r="C1044" s="3"/>
      <c r="D1044" s="3"/>
      <c r="E1044" s="3"/>
      <c r="F1044" s="3"/>
      <c r="G1044" s="3"/>
      <c r="H1044" s="3"/>
      <c r="I1044" s="3"/>
      <c r="J1044" s="3"/>
    </row>
    <row r="1045" spans="3:10" ht="15" hidden="1" x14ac:dyDescent="0.25">
      <c r="C1045" s="3"/>
      <c r="D1045" s="3"/>
      <c r="E1045" s="3"/>
      <c r="F1045" s="3"/>
      <c r="G1045" s="3"/>
      <c r="H1045" s="3"/>
      <c r="I1045" s="3"/>
      <c r="J1045" s="3"/>
    </row>
    <row r="1046" spans="3:10" ht="15" hidden="1" x14ac:dyDescent="0.25">
      <c r="C1046" s="3"/>
      <c r="D1046" s="3"/>
      <c r="E1046" s="3"/>
      <c r="F1046" s="3"/>
      <c r="G1046" s="3"/>
      <c r="H1046" s="3"/>
      <c r="I1046" s="3"/>
      <c r="J1046" s="3"/>
    </row>
    <row r="1047" spans="3:10" ht="15" hidden="1" x14ac:dyDescent="0.25">
      <c r="C1047" s="3"/>
      <c r="D1047" s="3"/>
      <c r="E1047" s="3"/>
      <c r="F1047" s="3"/>
      <c r="G1047" s="3"/>
      <c r="H1047" s="3"/>
      <c r="I1047" s="3"/>
      <c r="J1047" s="3"/>
    </row>
    <row r="1048" spans="3:10" ht="15" hidden="1" x14ac:dyDescent="0.25">
      <c r="C1048" s="3"/>
      <c r="D1048" s="3"/>
      <c r="E1048" s="3"/>
      <c r="F1048" s="3"/>
      <c r="G1048" s="3"/>
      <c r="H1048" s="3"/>
      <c r="I1048" s="3"/>
      <c r="J1048" s="3"/>
    </row>
    <row r="1049" spans="3:10" ht="15" hidden="1" x14ac:dyDescent="0.25">
      <c r="C1049" s="3"/>
      <c r="D1049" s="3"/>
      <c r="E1049" s="3"/>
      <c r="F1049" s="3"/>
      <c r="G1049" s="3"/>
      <c r="H1049" s="3"/>
      <c r="I1049" s="3"/>
      <c r="J1049" s="3"/>
    </row>
    <row r="1050" spans="3:10" ht="15" hidden="1" x14ac:dyDescent="0.25">
      <c r="C1050" s="3"/>
      <c r="D1050" s="3"/>
      <c r="E1050" s="3"/>
      <c r="F1050" s="3"/>
      <c r="G1050" s="3"/>
      <c r="H1050" s="3"/>
      <c r="I1050" s="3"/>
      <c r="J1050" s="3"/>
    </row>
    <row r="1051" spans="3:10" ht="15" hidden="1" x14ac:dyDescent="0.25">
      <c r="C1051" s="3"/>
      <c r="D1051" s="3"/>
      <c r="E1051" s="3"/>
      <c r="F1051" s="3"/>
      <c r="G1051" s="3"/>
      <c r="H1051" s="3"/>
      <c r="I1051" s="3"/>
      <c r="J1051" s="3"/>
    </row>
    <row r="1052" spans="3:10" ht="15" hidden="1" x14ac:dyDescent="0.25">
      <c r="C1052" s="3"/>
      <c r="D1052" s="3"/>
      <c r="E1052" s="3"/>
      <c r="F1052" s="3"/>
      <c r="G1052" s="3"/>
      <c r="H1052" s="3"/>
      <c r="I1052" s="3"/>
      <c r="J1052" s="3"/>
    </row>
    <row r="1053" spans="3:10" ht="15" hidden="1" x14ac:dyDescent="0.25">
      <c r="C1053" s="3"/>
      <c r="D1053" s="3"/>
      <c r="E1053" s="3"/>
      <c r="F1053" s="3"/>
      <c r="G1053" s="3"/>
      <c r="H1053" s="3"/>
      <c r="I1053" s="3"/>
      <c r="J1053" s="3"/>
    </row>
    <row r="1054" spans="3:10" ht="15" hidden="1" x14ac:dyDescent="0.25">
      <c r="C1054" s="3"/>
      <c r="D1054" s="3"/>
      <c r="E1054" s="3"/>
      <c r="F1054" s="3"/>
      <c r="G1054" s="3"/>
      <c r="H1054" s="3"/>
      <c r="I1054" s="3"/>
      <c r="J1054" s="3"/>
    </row>
    <row r="1055" spans="3:10" ht="15" hidden="1" x14ac:dyDescent="0.25">
      <c r="C1055" s="3"/>
      <c r="D1055" s="3"/>
      <c r="E1055" s="3"/>
      <c r="F1055" s="3"/>
      <c r="G1055" s="3"/>
      <c r="H1055" s="3"/>
      <c r="I1055" s="3"/>
      <c r="J1055" s="3"/>
    </row>
    <row r="1056" spans="3:10" ht="15" hidden="1" x14ac:dyDescent="0.25">
      <c r="C1056" s="3"/>
      <c r="D1056" s="3"/>
      <c r="E1056" s="3"/>
      <c r="F1056" s="3"/>
      <c r="G1056" s="3"/>
      <c r="H1056" s="3"/>
      <c r="I1056" s="3"/>
      <c r="J1056" s="3"/>
    </row>
    <row r="1057" spans="3:10" ht="15" hidden="1" x14ac:dyDescent="0.25">
      <c r="C1057" s="3"/>
      <c r="D1057" s="3"/>
      <c r="E1057" s="3"/>
      <c r="F1057" s="3"/>
      <c r="G1057" s="3"/>
      <c r="H1057" s="3"/>
      <c r="I1057" s="3"/>
      <c r="J1057" s="3"/>
    </row>
    <row r="1058" spans="3:10" ht="15" hidden="1" x14ac:dyDescent="0.25">
      <c r="C1058" s="3"/>
      <c r="D1058" s="3"/>
      <c r="E1058" s="3"/>
      <c r="F1058" s="3"/>
      <c r="G1058" s="3"/>
      <c r="H1058" s="3"/>
      <c r="I1058" s="3"/>
      <c r="J1058" s="3"/>
    </row>
    <row r="1059" spans="3:10" ht="15" hidden="1" x14ac:dyDescent="0.25">
      <c r="C1059" s="3"/>
      <c r="D1059" s="3"/>
      <c r="E1059" s="3"/>
      <c r="F1059" s="3"/>
      <c r="G1059" s="3"/>
      <c r="H1059" s="3"/>
      <c r="I1059" s="3"/>
      <c r="J1059" s="3"/>
    </row>
    <row r="1060" spans="3:10" ht="15" hidden="1" x14ac:dyDescent="0.25">
      <c r="C1060" s="3"/>
      <c r="D1060" s="3"/>
      <c r="E1060" s="3"/>
      <c r="F1060" s="3"/>
      <c r="G1060" s="3"/>
      <c r="H1060" s="3"/>
      <c r="I1060" s="3"/>
      <c r="J1060" s="3"/>
    </row>
    <row r="1061" spans="3:10" ht="15" hidden="1" x14ac:dyDescent="0.25">
      <c r="C1061" s="3"/>
      <c r="D1061" s="3"/>
      <c r="E1061" s="3"/>
      <c r="F1061" s="3"/>
      <c r="G1061" s="3"/>
      <c r="H1061" s="3"/>
      <c r="I1061" s="3"/>
      <c r="J1061" s="3"/>
    </row>
    <row r="1062" spans="3:10" ht="15" hidden="1" x14ac:dyDescent="0.25">
      <c r="C1062" s="3"/>
      <c r="D1062" s="3"/>
      <c r="E1062" s="3"/>
      <c r="F1062" s="3"/>
      <c r="G1062" s="3"/>
      <c r="H1062" s="3"/>
      <c r="I1062" s="3"/>
      <c r="J1062" s="3"/>
    </row>
    <row r="1063" spans="3:10" ht="15" hidden="1" x14ac:dyDescent="0.25">
      <c r="C1063" s="3"/>
      <c r="D1063" s="3"/>
      <c r="E1063" s="3"/>
      <c r="F1063" s="3"/>
      <c r="G1063" s="3"/>
      <c r="H1063" s="3"/>
      <c r="I1063" s="3"/>
      <c r="J1063" s="3"/>
    </row>
    <row r="1064" spans="3:10" ht="15" hidden="1" x14ac:dyDescent="0.25">
      <c r="C1064" s="3"/>
      <c r="D1064" s="3"/>
      <c r="E1064" s="3"/>
      <c r="F1064" s="3"/>
      <c r="G1064" s="3"/>
      <c r="H1064" s="3"/>
      <c r="I1064" s="3"/>
      <c r="J1064" s="3"/>
    </row>
    <row r="1065" spans="3:10" ht="15" hidden="1" x14ac:dyDescent="0.25">
      <c r="C1065" s="3"/>
      <c r="D1065" s="3"/>
      <c r="E1065" s="3"/>
      <c r="F1065" s="3"/>
      <c r="G1065" s="3"/>
      <c r="H1065" s="3"/>
      <c r="I1065" s="3"/>
      <c r="J1065" s="3"/>
    </row>
    <row r="1066" spans="3:10" ht="15" hidden="1" x14ac:dyDescent="0.25">
      <c r="C1066" s="3"/>
      <c r="D1066" s="3"/>
      <c r="E1066" s="3"/>
      <c r="F1066" s="3"/>
      <c r="G1066" s="3"/>
      <c r="H1066" s="3"/>
      <c r="I1066" s="3"/>
      <c r="J1066" s="3"/>
    </row>
    <row r="1067" spans="3:10" ht="15" hidden="1" x14ac:dyDescent="0.25">
      <c r="C1067" s="3"/>
      <c r="D1067" s="3"/>
      <c r="E1067" s="3"/>
      <c r="F1067" s="3"/>
      <c r="G1067" s="3"/>
      <c r="H1067" s="3"/>
      <c r="I1067" s="3"/>
      <c r="J1067" s="3"/>
    </row>
    <row r="1068" spans="3:10" ht="15" hidden="1" x14ac:dyDescent="0.25">
      <c r="C1068" s="3"/>
      <c r="D1068" s="3"/>
      <c r="E1068" s="3"/>
      <c r="F1068" s="3"/>
      <c r="G1068" s="3"/>
      <c r="H1068" s="3"/>
      <c r="I1068" s="3"/>
      <c r="J1068" s="3"/>
    </row>
    <row r="1069" spans="3:10" ht="15" hidden="1" x14ac:dyDescent="0.25">
      <c r="C1069" s="3"/>
      <c r="D1069" s="3"/>
      <c r="E1069" s="3"/>
      <c r="F1069" s="3"/>
      <c r="G1069" s="3"/>
      <c r="H1069" s="3"/>
      <c r="I1069" s="3"/>
      <c r="J1069" s="3"/>
    </row>
    <row r="1070" spans="3:10" ht="15" hidden="1" x14ac:dyDescent="0.25">
      <c r="C1070" s="3"/>
      <c r="D1070" s="3"/>
      <c r="E1070" s="3"/>
      <c r="F1070" s="3"/>
      <c r="G1070" s="3"/>
      <c r="H1070" s="3"/>
      <c r="I1070" s="3"/>
      <c r="J1070" s="3"/>
    </row>
    <row r="1071" spans="3:10" ht="15" hidden="1" x14ac:dyDescent="0.25">
      <c r="C1071" s="3"/>
      <c r="D1071" s="3"/>
      <c r="E1071" s="3"/>
      <c r="F1071" s="3"/>
      <c r="G1071" s="3"/>
      <c r="H1071" s="3"/>
      <c r="I1071" s="3"/>
      <c r="J1071" s="3"/>
    </row>
    <row r="1072" spans="3:10" ht="15" hidden="1" x14ac:dyDescent="0.25">
      <c r="C1072" s="3"/>
      <c r="D1072" s="3"/>
      <c r="E1072" s="3"/>
      <c r="F1072" s="3"/>
      <c r="G1072" s="3"/>
      <c r="H1072" s="3"/>
      <c r="I1072" s="3"/>
      <c r="J1072" s="3"/>
    </row>
    <row r="1073" spans="3:10" ht="15" hidden="1" x14ac:dyDescent="0.25">
      <c r="C1073" s="3"/>
      <c r="D1073" s="3"/>
      <c r="E1073" s="3"/>
      <c r="F1073" s="3"/>
      <c r="G1073" s="3"/>
      <c r="H1073" s="3"/>
      <c r="I1073" s="3"/>
      <c r="J1073" s="3"/>
    </row>
    <row r="1074" spans="3:10" ht="15" hidden="1" x14ac:dyDescent="0.25">
      <c r="C1074" s="3"/>
      <c r="D1074" s="3"/>
      <c r="E1074" s="3"/>
      <c r="F1074" s="3"/>
      <c r="G1074" s="3"/>
      <c r="H1074" s="3"/>
      <c r="I1074" s="3"/>
      <c r="J1074" s="3"/>
    </row>
    <row r="1075" spans="3:10" ht="15" hidden="1" x14ac:dyDescent="0.25">
      <c r="C1075" s="3"/>
      <c r="D1075" s="3"/>
      <c r="E1075" s="3"/>
      <c r="F1075" s="3"/>
      <c r="G1075" s="3"/>
      <c r="H1075" s="3"/>
      <c r="I1075" s="3"/>
      <c r="J1075" s="3"/>
    </row>
    <row r="1076" spans="3:10" ht="15" hidden="1" x14ac:dyDescent="0.25">
      <c r="C1076" s="3"/>
      <c r="D1076" s="3"/>
      <c r="E1076" s="3"/>
      <c r="F1076" s="3"/>
      <c r="G1076" s="3"/>
      <c r="H1076" s="3"/>
      <c r="I1076" s="3"/>
      <c r="J1076" s="3"/>
    </row>
    <row r="1077" spans="3:10" ht="15" hidden="1" x14ac:dyDescent="0.25">
      <c r="C1077" s="3"/>
      <c r="D1077" s="3"/>
      <c r="E1077" s="3"/>
      <c r="F1077" s="3"/>
      <c r="G1077" s="3"/>
      <c r="H1077" s="3"/>
      <c r="I1077" s="3"/>
      <c r="J1077" s="3"/>
    </row>
    <row r="1078" spans="3:10" ht="15" hidden="1" x14ac:dyDescent="0.25">
      <c r="C1078" s="3"/>
      <c r="D1078" s="3"/>
      <c r="E1078" s="3"/>
      <c r="F1078" s="3"/>
      <c r="G1078" s="3"/>
      <c r="H1078" s="3"/>
      <c r="I1078" s="3"/>
      <c r="J1078" s="3"/>
    </row>
    <row r="1079" spans="3:10" ht="15" hidden="1" x14ac:dyDescent="0.25">
      <c r="C1079" s="3"/>
      <c r="D1079" s="3"/>
      <c r="E1079" s="3"/>
      <c r="F1079" s="3"/>
      <c r="G1079" s="3"/>
      <c r="H1079" s="3"/>
      <c r="I1079" s="3"/>
      <c r="J1079" s="3"/>
    </row>
    <row r="1080" spans="3:10" ht="15" hidden="1" x14ac:dyDescent="0.25">
      <c r="C1080" s="3"/>
      <c r="D1080" s="3"/>
      <c r="E1080" s="3"/>
      <c r="F1080" s="3"/>
      <c r="G1080" s="3"/>
      <c r="H1080" s="3"/>
      <c r="I1080" s="3"/>
      <c r="J1080" s="3"/>
    </row>
    <row r="1081" spans="3:10" ht="15" hidden="1" x14ac:dyDescent="0.25">
      <c r="C1081" s="3"/>
      <c r="D1081" s="3"/>
      <c r="E1081" s="3"/>
      <c r="F1081" s="3"/>
      <c r="G1081" s="3"/>
      <c r="H1081" s="3"/>
      <c r="I1081" s="3"/>
      <c r="J1081" s="3"/>
    </row>
    <row r="1082" spans="3:10" ht="15" hidden="1" x14ac:dyDescent="0.25">
      <c r="C1082" s="3"/>
      <c r="D1082" s="3"/>
      <c r="E1082" s="3"/>
      <c r="F1082" s="3"/>
      <c r="G1082" s="3"/>
      <c r="H1082" s="3"/>
      <c r="I1082" s="3"/>
      <c r="J1082" s="3"/>
    </row>
    <row r="1083" spans="3:10" ht="15" hidden="1" x14ac:dyDescent="0.25">
      <c r="C1083" s="3"/>
      <c r="D1083" s="3"/>
      <c r="E1083" s="3"/>
      <c r="F1083" s="3"/>
      <c r="G1083" s="3"/>
      <c r="H1083" s="3"/>
      <c r="I1083" s="3"/>
      <c r="J1083" s="3"/>
    </row>
    <row r="1084" spans="3:10" ht="15" hidden="1" x14ac:dyDescent="0.25">
      <c r="C1084" s="3"/>
      <c r="D1084" s="3"/>
      <c r="E1084" s="3"/>
      <c r="F1084" s="3"/>
      <c r="G1084" s="3"/>
      <c r="H1084" s="3"/>
      <c r="I1084" s="3"/>
      <c r="J1084" s="3"/>
    </row>
    <row r="1085" spans="3:10" ht="15" hidden="1" x14ac:dyDescent="0.25">
      <c r="C1085" s="3"/>
      <c r="D1085" s="3"/>
      <c r="E1085" s="3"/>
      <c r="F1085" s="3"/>
      <c r="G1085" s="3"/>
      <c r="H1085" s="3"/>
      <c r="I1085" s="3"/>
      <c r="J1085" s="3"/>
    </row>
    <row r="1086" spans="3:10" ht="15" hidden="1" x14ac:dyDescent="0.25">
      <c r="C1086" s="3"/>
      <c r="D1086" s="3"/>
      <c r="E1086" s="3"/>
      <c r="F1086" s="3"/>
      <c r="G1086" s="3"/>
      <c r="H1086" s="3"/>
      <c r="I1086" s="3"/>
      <c r="J1086" s="3"/>
    </row>
    <row r="1087" spans="3:10" ht="15" hidden="1" x14ac:dyDescent="0.25">
      <c r="C1087" s="3"/>
      <c r="D1087" s="3"/>
      <c r="E1087" s="3"/>
      <c r="F1087" s="3"/>
      <c r="G1087" s="3"/>
      <c r="H1087" s="3"/>
      <c r="I1087" s="3"/>
      <c r="J1087" s="3"/>
    </row>
    <row r="1088" spans="3:10" ht="15" hidden="1" x14ac:dyDescent="0.25">
      <c r="C1088" s="3"/>
      <c r="D1088" s="3"/>
      <c r="E1088" s="3"/>
      <c r="F1088" s="3"/>
      <c r="G1088" s="3"/>
      <c r="H1088" s="3"/>
      <c r="I1088" s="3"/>
      <c r="J1088" s="3"/>
    </row>
    <row r="1089" spans="3:10" ht="15" hidden="1" x14ac:dyDescent="0.25">
      <c r="C1089" s="3"/>
      <c r="D1089" s="3"/>
      <c r="E1089" s="3"/>
      <c r="F1089" s="3"/>
      <c r="G1089" s="3"/>
      <c r="H1089" s="3"/>
      <c r="I1089" s="3"/>
      <c r="J1089" s="3"/>
    </row>
    <row r="1090" spans="3:10" ht="15" hidden="1" x14ac:dyDescent="0.25">
      <c r="C1090" s="3"/>
      <c r="D1090" s="3"/>
      <c r="E1090" s="3"/>
      <c r="F1090" s="3"/>
      <c r="G1090" s="3"/>
      <c r="H1090" s="3"/>
      <c r="I1090" s="3"/>
      <c r="J1090" s="3"/>
    </row>
    <row r="1091" spans="3:10" ht="15" hidden="1" x14ac:dyDescent="0.25">
      <c r="C1091" s="3"/>
      <c r="D1091" s="3"/>
      <c r="E1091" s="3"/>
      <c r="F1091" s="3"/>
      <c r="G1091" s="3"/>
      <c r="H1091" s="3"/>
      <c r="I1091" s="3"/>
      <c r="J1091" s="3"/>
    </row>
    <row r="1092" spans="3:10" ht="15" hidden="1" x14ac:dyDescent="0.25">
      <c r="C1092" s="3"/>
      <c r="D1092" s="3"/>
      <c r="E1092" s="3"/>
      <c r="F1092" s="3"/>
      <c r="G1092" s="3"/>
      <c r="H1092" s="3"/>
      <c r="I1092" s="3"/>
      <c r="J1092" s="3"/>
    </row>
    <row r="1093" spans="3:10" ht="15" hidden="1" x14ac:dyDescent="0.25">
      <c r="C1093" s="3"/>
      <c r="D1093" s="3"/>
      <c r="E1093" s="3"/>
      <c r="F1093" s="3"/>
      <c r="G1093" s="3"/>
      <c r="H1093" s="3"/>
      <c r="I1093" s="3"/>
      <c r="J1093" s="3"/>
    </row>
    <row r="1094" spans="3:10" ht="15" hidden="1" x14ac:dyDescent="0.25">
      <c r="C1094" s="3"/>
      <c r="D1094" s="3"/>
      <c r="E1094" s="3"/>
      <c r="F1094" s="3"/>
      <c r="G1094" s="3"/>
      <c r="H1094" s="3"/>
      <c r="I1094" s="3"/>
      <c r="J1094" s="3"/>
    </row>
    <row r="1095" spans="3:10" ht="15" hidden="1" x14ac:dyDescent="0.25">
      <c r="C1095" s="3"/>
      <c r="D1095" s="3"/>
      <c r="E1095" s="3"/>
      <c r="F1095" s="3"/>
      <c r="G1095" s="3"/>
      <c r="H1095" s="3"/>
      <c r="I1095" s="3"/>
      <c r="J1095" s="3"/>
    </row>
    <row r="1096" spans="3:10" ht="15" hidden="1" x14ac:dyDescent="0.25">
      <c r="C1096" s="3"/>
      <c r="D1096" s="3"/>
      <c r="E1096" s="3"/>
      <c r="F1096" s="3"/>
      <c r="G1096" s="3"/>
      <c r="H1096" s="3"/>
      <c r="I1096" s="3"/>
      <c r="J1096" s="3"/>
    </row>
    <row r="1097" spans="3:10" ht="15" hidden="1" x14ac:dyDescent="0.25">
      <c r="C1097" s="3"/>
      <c r="D1097" s="3"/>
      <c r="E1097" s="3"/>
      <c r="F1097" s="3"/>
      <c r="G1097" s="3"/>
      <c r="H1097" s="3"/>
      <c r="I1097" s="3"/>
      <c r="J1097" s="3"/>
    </row>
    <row r="1098" spans="3:10" ht="15" hidden="1" x14ac:dyDescent="0.25">
      <c r="C1098" s="3"/>
      <c r="D1098" s="3"/>
      <c r="E1098" s="3"/>
      <c r="F1098" s="3"/>
      <c r="G1098" s="3"/>
      <c r="H1098" s="3"/>
      <c r="I1098" s="3"/>
      <c r="J1098" s="3"/>
    </row>
    <row r="1099" spans="3:10" ht="15" hidden="1" x14ac:dyDescent="0.25">
      <c r="C1099" s="3"/>
      <c r="D1099" s="3"/>
      <c r="E1099" s="3"/>
      <c r="F1099" s="3"/>
      <c r="G1099" s="3"/>
      <c r="H1099" s="3"/>
      <c r="I1099" s="3"/>
      <c r="J1099" s="3"/>
    </row>
    <row r="1100" spans="3:10" ht="15" hidden="1" x14ac:dyDescent="0.25">
      <c r="C1100" s="3"/>
      <c r="D1100" s="3"/>
      <c r="E1100" s="3"/>
      <c r="F1100" s="3"/>
      <c r="G1100" s="3"/>
      <c r="H1100" s="3"/>
      <c r="I1100" s="3"/>
      <c r="J1100" s="3"/>
    </row>
    <row r="1101" spans="3:10" ht="15" hidden="1" x14ac:dyDescent="0.25">
      <c r="C1101" s="3"/>
      <c r="D1101" s="3"/>
      <c r="E1101" s="3"/>
      <c r="F1101" s="3"/>
      <c r="G1101" s="3"/>
      <c r="H1101" s="3"/>
      <c r="I1101" s="3"/>
      <c r="J1101" s="3"/>
    </row>
    <row r="1102" spans="3:10" ht="15" hidden="1" x14ac:dyDescent="0.25">
      <c r="C1102" s="3"/>
      <c r="D1102" s="3"/>
      <c r="E1102" s="3"/>
      <c r="F1102" s="3"/>
      <c r="G1102" s="3"/>
      <c r="H1102" s="3"/>
      <c r="I1102" s="3"/>
      <c r="J1102" s="3"/>
    </row>
    <row r="1103" spans="3:10" ht="15" hidden="1" x14ac:dyDescent="0.25">
      <c r="C1103" s="3"/>
      <c r="D1103" s="3"/>
      <c r="E1103" s="3"/>
      <c r="F1103" s="3"/>
      <c r="G1103" s="3"/>
      <c r="H1103" s="3"/>
      <c r="I1103" s="3"/>
      <c r="J1103" s="3"/>
    </row>
    <row r="1104" spans="3:10" ht="15" hidden="1" x14ac:dyDescent="0.25">
      <c r="C1104" s="3"/>
      <c r="D1104" s="3"/>
      <c r="E1104" s="3"/>
      <c r="F1104" s="3"/>
      <c r="G1104" s="3"/>
      <c r="H1104" s="3"/>
      <c r="I1104" s="3"/>
      <c r="J1104" s="3"/>
    </row>
    <row r="1105" spans="3:10" ht="15" hidden="1" x14ac:dyDescent="0.25">
      <c r="C1105" s="3"/>
      <c r="D1105" s="3"/>
      <c r="E1105" s="3"/>
      <c r="F1105" s="3"/>
      <c r="G1105" s="3"/>
      <c r="H1105" s="3"/>
      <c r="I1105" s="3"/>
      <c r="J1105" s="3"/>
    </row>
    <row r="1106" spans="3:10" ht="15" hidden="1" x14ac:dyDescent="0.25">
      <c r="C1106" s="3"/>
      <c r="D1106" s="3"/>
      <c r="E1106" s="3"/>
      <c r="F1106" s="3"/>
      <c r="G1106" s="3"/>
      <c r="H1106" s="3"/>
      <c r="I1106" s="3"/>
      <c r="J1106" s="3"/>
    </row>
    <row r="1107" spans="3:10" ht="15" hidden="1" x14ac:dyDescent="0.25">
      <c r="C1107" s="3"/>
      <c r="D1107" s="3"/>
      <c r="E1107" s="3"/>
      <c r="F1107" s="3"/>
      <c r="G1107" s="3"/>
      <c r="H1107" s="3"/>
      <c r="I1107" s="3"/>
      <c r="J1107" s="3"/>
    </row>
    <row r="1108" spans="3:10" ht="15" hidden="1" x14ac:dyDescent="0.25">
      <c r="C1108" s="3"/>
      <c r="D1108" s="3"/>
      <c r="E1108" s="3"/>
      <c r="F1108" s="3"/>
      <c r="G1108" s="3"/>
      <c r="H1108" s="3"/>
      <c r="I1108" s="3"/>
      <c r="J1108" s="3"/>
    </row>
    <row r="1109" spans="3:10" ht="15" hidden="1" x14ac:dyDescent="0.25">
      <c r="C1109" s="3"/>
      <c r="D1109" s="3"/>
      <c r="E1109" s="3"/>
      <c r="F1109" s="3"/>
      <c r="G1109" s="3"/>
      <c r="H1109" s="3"/>
      <c r="I1109" s="3"/>
      <c r="J1109" s="3"/>
    </row>
    <row r="1110" spans="3:10" ht="15" hidden="1" x14ac:dyDescent="0.25">
      <c r="C1110" s="3"/>
      <c r="D1110" s="3"/>
      <c r="E1110" s="3"/>
      <c r="F1110" s="3"/>
      <c r="G1110" s="3"/>
      <c r="H1110" s="3"/>
      <c r="I1110" s="3"/>
      <c r="J1110" s="3"/>
    </row>
    <row r="1111" spans="3:10" ht="15" hidden="1" x14ac:dyDescent="0.25">
      <c r="C1111" s="3"/>
      <c r="D1111" s="3"/>
      <c r="E1111" s="3"/>
      <c r="F1111" s="3"/>
      <c r="G1111" s="3"/>
      <c r="H1111" s="3"/>
      <c r="I1111" s="3"/>
      <c r="J1111" s="3"/>
    </row>
    <row r="1112" spans="3:10" ht="15" hidden="1" x14ac:dyDescent="0.25">
      <c r="C1112" s="3"/>
      <c r="D1112" s="3"/>
      <c r="E1112" s="3"/>
      <c r="F1112" s="3"/>
      <c r="G1112" s="3"/>
      <c r="H1112" s="3"/>
      <c r="I1112" s="3"/>
      <c r="J1112" s="3"/>
    </row>
    <row r="1113" spans="3:10" ht="15" hidden="1" x14ac:dyDescent="0.25">
      <c r="C1113" s="3"/>
      <c r="D1113" s="3"/>
      <c r="E1113" s="3"/>
      <c r="F1113" s="3"/>
      <c r="G1113" s="3"/>
      <c r="H1113" s="3"/>
      <c r="I1113" s="3"/>
      <c r="J1113" s="3"/>
    </row>
    <row r="1114" spans="3:10" ht="15" hidden="1" x14ac:dyDescent="0.25">
      <c r="C1114" s="3"/>
      <c r="D1114" s="3"/>
      <c r="E1114" s="3"/>
      <c r="F1114" s="3"/>
      <c r="G1114" s="3"/>
      <c r="H1114" s="3"/>
      <c r="I1114" s="3"/>
      <c r="J1114" s="3"/>
    </row>
    <row r="1115" spans="3:10" ht="15" hidden="1" x14ac:dyDescent="0.25">
      <c r="C1115" s="3"/>
      <c r="D1115" s="3"/>
      <c r="E1115" s="3"/>
      <c r="F1115" s="3"/>
      <c r="G1115" s="3"/>
      <c r="H1115" s="3"/>
      <c r="I1115" s="3"/>
      <c r="J1115" s="3"/>
    </row>
    <row r="1116" spans="3:10" ht="15" hidden="1" x14ac:dyDescent="0.25">
      <c r="C1116" s="3"/>
      <c r="D1116" s="3"/>
      <c r="E1116" s="3"/>
      <c r="F1116" s="3"/>
      <c r="G1116" s="3"/>
      <c r="H1116" s="3"/>
      <c r="I1116" s="3"/>
      <c r="J1116" s="3"/>
    </row>
    <row r="1117" spans="3:10" ht="15" hidden="1" x14ac:dyDescent="0.25">
      <c r="C1117" s="3"/>
      <c r="D1117" s="3"/>
      <c r="E1117" s="3"/>
      <c r="F1117" s="3"/>
      <c r="G1117" s="3"/>
      <c r="H1117" s="3"/>
      <c r="I1117" s="3"/>
      <c r="J1117" s="3"/>
    </row>
    <row r="1118" spans="3:10" ht="15" hidden="1" x14ac:dyDescent="0.25">
      <c r="C1118" s="3"/>
      <c r="D1118" s="3"/>
      <c r="E1118" s="3"/>
      <c r="F1118" s="3"/>
      <c r="G1118" s="3"/>
      <c r="H1118" s="3"/>
      <c r="I1118" s="3"/>
      <c r="J1118" s="3"/>
    </row>
    <row r="1119" spans="3:10" ht="15" hidden="1" x14ac:dyDescent="0.25">
      <c r="C1119" s="3"/>
      <c r="D1119" s="3"/>
      <c r="E1119" s="3"/>
      <c r="F1119" s="3"/>
      <c r="G1119" s="3"/>
      <c r="H1119" s="3"/>
      <c r="I1119" s="3"/>
      <c r="J1119" s="3"/>
    </row>
    <row r="1120" spans="3:10" ht="15" hidden="1" x14ac:dyDescent="0.25">
      <c r="C1120" s="3"/>
      <c r="D1120" s="3"/>
      <c r="E1120" s="3"/>
      <c r="F1120" s="3"/>
      <c r="G1120" s="3"/>
      <c r="H1120" s="3"/>
      <c r="I1120" s="3"/>
      <c r="J1120" s="3"/>
    </row>
    <row r="1121" spans="3:10" ht="15" hidden="1" x14ac:dyDescent="0.25">
      <c r="C1121" s="3"/>
      <c r="D1121" s="3"/>
      <c r="E1121" s="3"/>
      <c r="F1121" s="3"/>
      <c r="G1121" s="3"/>
      <c r="H1121" s="3"/>
      <c r="I1121" s="3"/>
      <c r="J1121" s="3"/>
    </row>
    <row r="1122" spans="3:10" ht="15" hidden="1" x14ac:dyDescent="0.25">
      <c r="C1122" s="3"/>
      <c r="D1122" s="3"/>
      <c r="E1122" s="3"/>
      <c r="F1122" s="3"/>
      <c r="G1122" s="3"/>
      <c r="H1122" s="3"/>
      <c r="I1122" s="3"/>
      <c r="J1122" s="3"/>
    </row>
    <row r="1123" spans="3:10" ht="15" hidden="1" x14ac:dyDescent="0.25">
      <c r="C1123" s="3"/>
      <c r="D1123" s="3"/>
      <c r="E1123" s="3"/>
      <c r="F1123" s="3"/>
      <c r="G1123" s="3"/>
      <c r="H1123" s="3"/>
      <c r="I1123" s="3"/>
      <c r="J1123" s="3"/>
    </row>
    <row r="1124" spans="3:10" ht="15" hidden="1" x14ac:dyDescent="0.25">
      <c r="C1124" s="3"/>
      <c r="D1124" s="3"/>
      <c r="E1124" s="3"/>
      <c r="F1124" s="3"/>
      <c r="G1124" s="3"/>
      <c r="H1124" s="3"/>
      <c r="I1124" s="3"/>
      <c r="J1124" s="3"/>
    </row>
    <row r="1125" spans="3:10" ht="15" hidden="1" x14ac:dyDescent="0.25">
      <c r="C1125" s="3"/>
      <c r="D1125" s="3"/>
      <c r="E1125" s="3"/>
      <c r="F1125" s="3"/>
      <c r="G1125" s="3"/>
      <c r="H1125" s="3"/>
      <c r="I1125" s="3"/>
      <c r="J1125" s="3"/>
    </row>
    <row r="1126" spans="3:10" ht="15" hidden="1" x14ac:dyDescent="0.25">
      <c r="C1126" s="3"/>
      <c r="D1126" s="3"/>
      <c r="E1126" s="3"/>
      <c r="F1126" s="3"/>
      <c r="G1126" s="3"/>
      <c r="H1126" s="3"/>
      <c r="I1126" s="3"/>
      <c r="J1126" s="3"/>
    </row>
    <row r="1127" spans="3:10" ht="15" hidden="1" x14ac:dyDescent="0.25">
      <c r="C1127" s="3"/>
      <c r="D1127" s="3"/>
      <c r="E1127" s="3"/>
      <c r="F1127" s="3"/>
      <c r="G1127" s="3"/>
      <c r="H1127" s="3"/>
      <c r="I1127" s="3"/>
      <c r="J1127" s="3"/>
    </row>
    <row r="1128" spans="3:10" ht="15" hidden="1" x14ac:dyDescent="0.25">
      <c r="C1128" s="3"/>
      <c r="D1128" s="3"/>
      <c r="E1128" s="3"/>
      <c r="F1128" s="3"/>
      <c r="G1128" s="3"/>
      <c r="H1128" s="3"/>
      <c r="I1128" s="3"/>
      <c r="J1128" s="3"/>
    </row>
    <row r="1129" spans="3:10" ht="15" hidden="1" x14ac:dyDescent="0.25">
      <c r="C1129" s="3"/>
      <c r="D1129" s="3"/>
      <c r="E1129" s="3"/>
      <c r="F1129" s="3"/>
      <c r="G1129" s="3"/>
      <c r="H1129" s="3"/>
      <c r="I1129" s="3"/>
      <c r="J1129" s="3"/>
    </row>
    <row r="1130" spans="3:10" ht="15" hidden="1" x14ac:dyDescent="0.25">
      <c r="C1130" s="3"/>
      <c r="D1130" s="3"/>
      <c r="E1130" s="3"/>
      <c r="F1130" s="3"/>
      <c r="G1130" s="3"/>
      <c r="H1130" s="3"/>
      <c r="I1130" s="3"/>
      <c r="J1130" s="3"/>
    </row>
    <row r="1131" spans="3:10" ht="15" hidden="1" x14ac:dyDescent="0.25">
      <c r="C1131" s="3"/>
      <c r="D1131" s="3"/>
      <c r="E1131" s="3"/>
      <c r="F1131" s="3"/>
      <c r="G1131" s="3"/>
      <c r="H1131" s="3"/>
      <c r="I1131" s="3"/>
      <c r="J1131" s="3"/>
    </row>
    <row r="1132" spans="3:10" ht="15" hidden="1" x14ac:dyDescent="0.25">
      <c r="C1132" s="3"/>
      <c r="D1132" s="3"/>
      <c r="E1132" s="3"/>
      <c r="F1132" s="3"/>
      <c r="G1132" s="3"/>
      <c r="H1132" s="3"/>
      <c r="I1132" s="3"/>
      <c r="J1132" s="3"/>
    </row>
    <row r="1133" spans="3:10" ht="15" hidden="1" x14ac:dyDescent="0.25">
      <c r="C1133" s="3"/>
      <c r="D1133" s="3"/>
      <c r="E1133" s="3"/>
      <c r="F1133" s="3"/>
      <c r="G1133" s="3"/>
      <c r="H1133" s="3"/>
      <c r="I1133" s="3"/>
      <c r="J1133" s="3"/>
    </row>
    <row r="1134" spans="3:10" ht="15" hidden="1" x14ac:dyDescent="0.25">
      <c r="C1134" s="3"/>
      <c r="D1134" s="3"/>
      <c r="E1134" s="3"/>
      <c r="F1134" s="3"/>
      <c r="G1134" s="3"/>
      <c r="H1134" s="3"/>
      <c r="I1134" s="3"/>
      <c r="J1134" s="3"/>
    </row>
    <row r="1135" spans="3:10" ht="15" hidden="1" x14ac:dyDescent="0.25">
      <c r="C1135" s="3"/>
      <c r="D1135" s="3"/>
      <c r="E1135" s="3"/>
      <c r="F1135" s="3"/>
      <c r="G1135" s="3"/>
      <c r="H1135" s="3"/>
      <c r="I1135" s="3"/>
      <c r="J1135" s="3"/>
    </row>
    <row r="1136" spans="3:10" ht="15" hidden="1" x14ac:dyDescent="0.25">
      <c r="C1136" s="3"/>
      <c r="D1136" s="3"/>
      <c r="E1136" s="3"/>
      <c r="F1136" s="3"/>
      <c r="G1136" s="3"/>
      <c r="H1136" s="3"/>
      <c r="I1136" s="3"/>
      <c r="J1136" s="3"/>
    </row>
    <row r="1137" spans="3:10" ht="15" hidden="1" x14ac:dyDescent="0.25">
      <c r="C1137" s="3"/>
      <c r="D1137" s="3"/>
      <c r="E1137" s="3"/>
      <c r="F1137" s="3"/>
      <c r="G1137" s="3"/>
      <c r="H1137" s="3"/>
      <c r="I1137" s="3"/>
      <c r="J1137" s="3"/>
    </row>
    <row r="1138" spans="3:10" ht="15" hidden="1" x14ac:dyDescent="0.25">
      <c r="C1138" s="3"/>
      <c r="D1138" s="3"/>
      <c r="E1138" s="3"/>
      <c r="F1138" s="3"/>
      <c r="G1138" s="3"/>
      <c r="H1138" s="3"/>
      <c r="I1138" s="3"/>
      <c r="J1138" s="3"/>
    </row>
    <row r="1139" spans="3:10" ht="15" hidden="1" x14ac:dyDescent="0.25">
      <c r="C1139" s="3"/>
      <c r="D1139" s="3"/>
      <c r="E1139" s="3"/>
      <c r="F1139" s="3"/>
      <c r="G1139" s="3"/>
      <c r="H1139" s="3"/>
      <c r="I1139" s="3"/>
      <c r="J1139" s="3"/>
    </row>
    <row r="1140" spans="3:10" ht="15" hidden="1" x14ac:dyDescent="0.25">
      <c r="C1140" s="3"/>
      <c r="D1140" s="3"/>
      <c r="E1140" s="3"/>
      <c r="F1140" s="3"/>
      <c r="G1140" s="3"/>
      <c r="H1140" s="3"/>
      <c r="I1140" s="3"/>
      <c r="J1140" s="3"/>
    </row>
    <row r="1141" spans="3:10" ht="15" hidden="1" x14ac:dyDescent="0.25">
      <c r="C1141" s="3"/>
      <c r="D1141" s="3"/>
      <c r="E1141" s="3"/>
      <c r="F1141" s="3"/>
      <c r="G1141" s="3"/>
      <c r="H1141" s="3"/>
      <c r="I1141" s="3"/>
      <c r="J1141" s="3"/>
    </row>
    <row r="1142" spans="3:10" ht="15" hidden="1" x14ac:dyDescent="0.25">
      <c r="C1142" s="3"/>
      <c r="D1142" s="3"/>
      <c r="E1142" s="3"/>
      <c r="F1142" s="3"/>
      <c r="G1142" s="3"/>
      <c r="H1142" s="3"/>
      <c r="I1142" s="3"/>
      <c r="J1142" s="3"/>
    </row>
    <row r="1143" spans="3:10" ht="15" hidden="1" x14ac:dyDescent="0.25">
      <c r="C1143" s="3"/>
      <c r="D1143" s="3"/>
      <c r="E1143" s="3"/>
      <c r="F1143" s="3"/>
      <c r="G1143" s="3"/>
      <c r="H1143" s="3"/>
      <c r="I1143" s="3"/>
      <c r="J1143" s="3"/>
    </row>
    <row r="1144" spans="3:10" ht="15" hidden="1" x14ac:dyDescent="0.25">
      <c r="C1144" s="3"/>
      <c r="D1144" s="3"/>
      <c r="E1144" s="3"/>
      <c r="F1144" s="3"/>
      <c r="G1144" s="3"/>
      <c r="H1144" s="3"/>
      <c r="I1144" s="3"/>
      <c r="J1144" s="3"/>
    </row>
    <row r="1145" spans="3:10" ht="15" hidden="1" x14ac:dyDescent="0.25">
      <c r="C1145" s="3"/>
      <c r="D1145" s="3"/>
      <c r="E1145" s="3"/>
      <c r="F1145" s="3"/>
      <c r="G1145" s="3"/>
      <c r="H1145" s="3"/>
      <c r="I1145" s="3"/>
      <c r="J1145" s="3"/>
    </row>
    <row r="1146" spans="3:10" ht="15" hidden="1" x14ac:dyDescent="0.25">
      <c r="C1146" s="3"/>
      <c r="D1146" s="3"/>
      <c r="E1146" s="3"/>
      <c r="F1146" s="3"/>
      <c r="G1146" s="3"/>
      <c r="H1146" s="3"/>
      <c r="I1146" s="3"/>
      <c r="J1146" s="3"/>
    </row>
    <row r="1147" spans="3:10" ht="15" hidden="1" x14ac:dyDescent="0.25">
      <c r="C1147" s="3"/>
      <c r="D1147" s="3"/>
      <c r="E1147" s="3"/>
      <c r="F1147" s="3"/>
      <c r="G1147" s="3"/>
      <c r="H1147" s="3"/>
      <c r="I1147" s="3"/>
      <c r="J1147" s="3"/>
    </row>
    <row r="1148" spans="3:10" ht="15" hidden="1" x14ac:dyDescent="0.25">
      <c r="C1148" s="3"/>
      <c r="D1148" s="3"/>
      <c r="E1148" s="3"/>
      <c r="F1148" s="3"/>
      <c r="G1148" s="3"/>
      <c r="H1148" s="3"/>
      <c r="I1148" s="3"/>
      <c r="J1148" s="3"/>
    </row>
    <row r="1149" spans="3:10" ht="15" hidden="1" x14ac:dyDescent="0.25">
      <c r="C1149" s="3"/>
      <c r="D1149" s="3"/>
      <c r="E1149" s="3"/>
      <c r="F1149" s="3"/>
      <c r="G1149" s="3"/>
      <c r="H1149" s="3"/>
      <c r="I1149" s="3"/>
      <c r="J1149" s="3"/>
    </row>
    <row r="1150" spans="3:10" ht="15" hidden="1" x14ac:dyDescent="0.25">
      <c r="C1150" s="3"/>
      <c r="D1150" s="3"/>
      <c r="E1150" s="3"/>
      <c r="F1150" s="3"/>
      <c r="G1150" s="3"/>
      <c r="H1150" s="3"/>
      <c r="I1150" s="3"/>
      <c r="J1150" s="3"/>
    </row>
    <row r="1151" spans="3:10" ht="15" hidden="1" x14ac:dyDescent="0.25">
      <c r="C1151" s="3"/>
      <c r="D1151" s="3"/>
      <c r="E1151" s="3"/>
      <c r="F1151" s="3"/>
      <c r="G1151" s="3"/>
      <c r="H1151" s="3"/>
      <c r="I1151" s="3"/>
      <c r="J1151" s="3"/>
    </row>
    <row r="1152" spans="3:10" ht="15" hidden="1" x14ac:dyDescent="0.25">
      <c r="C1152" s="3"/>
      <c r="D1152" s="3"/>
      <c r="E1152" s="3"/>
      <c r="F1152" s="3"/>
      <c r="G1152" s="3"/>
      <c r="H1152" s="3"/>
      <c r="I1152" s="3"/>
      <c r="J1152" s="3"/>
    </row>
    <row r="1153" spans="3:10" ht="15" hidden="1" x14ac:dyDescent="0.25">
      <c r="C1153" s="3"/>
      <c r="D1153" s="3"/>
      <c r="E1153" s="3"/>
      <c r="F1153" s="3"/>
      <c r="G1153" s="3"/>
      <c r="H1153" s="3"/>
      <c r="I1153" s="3"/>
      <c r="J1153" s="3"/>
    </row>
    <row r="1154" spans="3:10" ht="15" hidden="1" x14ac:dyDescent="0.25">
      <c r="C1154" s="3"/>
      <c r="D1154" s="3"/>
      <c r="E1154" s="3"/>
      <c r="F1154" s="3"/>
      <c r="G1154" s="3"/>
      <c r="H1154" s="3"/>
      <c r="I1154" s="3"/>
      <c r="J1154" s="3"/>
    </row>
    <row r="1155" spans="3:10" ht="15" hidden="1" x14ac:dyDescent="0.25">
      <c r="C1155" s="3"/>
      <c r="D1155" s="3"/>
      <c r="E1155" s="3"/>
      <c r="F1155" s="3"/>
      <c r="G1155" s="3"/>
      <c r="H1155" s="3"/>
      <c r="I1155" s="3"/>
      <c r="J1155" s="3"/>
    </row>
    <row r="1156" spans="3:10" ht="15" hidden="1" x14ac:dyDescent="0.25">
      <c r="C1156" s="3"/>
      <c r="D1156" s="3"/>
      <c r="E1156" s="3"/>
      <c r="F1156" s="3"/>
      <c r="G1156" s="3"/>
      <c r="H1156" s="3"/>
      <c r="I1156" s="3"/>
      <c r="J1156" s="3"/>
    </row>
    <row r="1157" spans="3:10" ht="15" hidden="1" x14ac:dyDescent="0.25">
      <c r="C1157" s="3"/>
      <c r="D1157" s="3"/>
      <c r="E1157" s="3"/>
      <c r="F1157" s="3"/>
      <c r="G1157" s="3"/>
      <c r="H1157" s="3"/>
      <c r="I1157" s="3"/>
      <c r="J1157" s="3"/>
    </row>
    <row r="1158" spans="3:10" ht="15" hidden="1" x14ac:dyDescent="0.25">
      <c r="C1158" s="3"/>
      <c r="D1158" s="3"/>
      <c r="E1158" s="3"/>
      <c r="F1158" s="3"/>
      <c r="G1158" s="3"/>
      <c r="H1158" s="3"/>
      <c r="I1158" s="3"/>
      <c r="J1158" s="3"/>
    </row>
    <row r="1159" spans="3:10" ht="15" hidden="1" x14ac:dyDescent="0.25">
      <c r="C1159" s="3"/>
      <c r="D1159" s="3"/>
      <c r="E1159" s="3"/>
      <c r="F1159" s="3"/>
      <c r="G1159" s="3"/>
      <c r="H1159" s="3"/>
      <c r="I1159" s="3"/>
      <c r="J1159" s="3"/>
    </row>
    <row r="1160" spans="3:10" ht="15" hidden="1" x14ac:dyDescent="0.25">
      <c r="C1160" s="3"/>
      <c r="D1160" s="3"/>
      <c r="E1160" s="3"/>
      <c r="F1160" s="3"/>
      <c r="G1160" s="3"/>
      <c r="H1160" s="3"/>
      <c r="I1160" s="3"/>
      <c r="J1160" s="3"/>
    </row>
    <row r="1161" spans="3:10" ht="15" hidden="1" x14ac:dyDescent="0.25">
      <c r="C1161" s="3"/>
      <c r="D1161" s="3"/>
      <c r="E1161" s="3"/>
      <c r="F1161" s="3"/>
      <c r="G1161" s="3"/>
      <c r="H1161" s="3"/>
      <c r="I1161" s="3"/>
      <c r="J1161" s="3"/>
    </row>
    <row r="1162" spans="3:10" ht="15" hidden="1" x14ac:dyDescent="0.25">
      <c r="C1162" s="3"/>
      <c r="D1162" s="3"/>
      <c r="E1162" s="3"/>
      <c r="F1162" s="3"/>
      <c r="G1162" s="3"/>
      <c r="H1162" s="3"/>
      <c r="I1162" s="3"/>
      <c r="J1162" s="3"/>
    </row>
    <row r="1163" spans="3:10" ht="15" hidden="1" x14ac:dyDescent="0.25">
      <c r="C1163" s="3"/>
      <c r="D1163" s="3"/>
      <c r="E1163" s="3"/>
      <c r="F1163" s="3"/>
      <c r="G1163" s="3"/>
      <c r="H1163" s="3"/>
      <c r="I1163" s="3"/>
      <c r="J1163" s="3"/>
    </row>
    <row r="1164" spans="3:10" ht="15" hidden="1" x14ac:dyDescent="0.25">
      <c r="C1164" s="3"/>
      <c r="D1164" s="3"/>
      <c r="E1164" s="3"/>
      <c r="F1164" s="3"/>
      <c r="G1164" s="3"/>
      <c r="H1164" s="3"/>
      <c r="I1164" s="3"/>
      <c r="J1164" s="3"/>
    </row>
    <row r="1165" spans="3:10" ht="15" hidden="1" x14ac:dyDescent="0.25">
      <c r="C1165" s="3"/>
      <c r="D1165" s="3"/>
      <c r="E1165" s="3"/>
      <c r="F1165" s="3"/>
      <c r="G1165" s="3"/>
      <c r="H1165" s="3"/>
      <c r="I1165" s="3"/>
      <c r="J1165" s="3"/>
    </row>
    <row r="1166" spans="3:10" ht="15" hidden="1" x14ac:dyDescent="0.25">
      <c r="C1166" s="3"/>
      <c r="D1166" s="3"/>
      <c r="E1166" s="3"/>
      <c r="F1166" s="3"/>
      <c r="G1166" s="3"/>
      <c r="H1166" s="3"/>
      <c r="I1166" s="3"/>
      <c r="J1166" s="3"/>
    </row>
    <row r="1167" spans="3:10" ht="15" hidden="1" x14ac:dyDescent="0.25">
      <c r="C1167" s="3"/>
      <c r="D1167" s="3"/>
      <c r="E1167" s="3"/>
      <c r="F1167" s="3"/>
      <c r="G1167" s="3"/>
      <c r="H1167" s="3"/>
      <c r="I1167" s="3"/>
      <c r="J1167" s="3"/>
    </row>
    <row r="1168" spans="3:10" ht="15" hidden="1" x14ac:dyDescent="0.25">
      <c r="C1168" s="3"/>
      <c r="D1168" s="3"/>
      <c r="E1168" s="3"/>
      <c r="F1168" s="3"/>
      <c r="G1168" s="3"/>
      <c r="H1168" s="3"/>
      <c r="I1168" s="3"/>
      <c r="J1168" s="3"/>
    </row>
    <row r="1169" spans="3:10" ht="15" hidden="1" x14ac:dyDescent="0.25">
      <c r="C1169" s="3"/>
      <c r="D1169" s="3"/>
      <c r="E1169" s="3"/>
      <c r="F1169" s="3"/>
      <c r="G1169" s="3"/>
      <c r="H1169" s="3"/>
      <c r="I1169" s="3"/>
      <c r="J1169" s="3"/>
    </row>
    <row r="1170" spans="3:10" ht="15" hidden="1" x14ac:dyDescent="0.25">
      <c r="C1170" s="3"/>
      <c r="D1170" s="3"/>
      <c r="E1170" s="3"/>
      <c r="F1170" s="3"/>
      <c r="G1170" s="3"/>
      <c r="H1170" s="3"/>
      <c r="I1170" s="3"/>
      <c r="J1170" s="3"/>
    </row>
    <row r="1171" spans="3:10" ht="15" hidden="1" x14ac:dyDescent="0.25">
      <c r="C1171" s="3"/>
      <c r="D1171" s="3"/>
      <c r="E1171" s="3"/>
      <c r="F1171" s="3"/>
      <c r="G1171" s="3"/>
      <c r="H1171" s="3"/>
      <c r="I1171" s="3"/>
      <c r="J1171" s="3"/>
    </row>
    <row r="1172" spans="3:10" ht="15" hidden="1" x14ac:dyDescent="0.25">
      <c r="C1172" s="3"/>
      <c r="D1172" s="3"/>
      <c r="E1172" s="3"/>
      <c r="F1172" s="3"/>
      <c r="G1172" s="3"/>
      <c r="H1172" s="3"/>
      <c r="I1172" s="3"/>
      <c r="J1172" s="3"/>
    </row>
    <row r="1173" spans="3:10" ht="15" hidden="1" x14ac:dyDescent="0.25">
      <c r="C1173" s="3"/>
      <c r="D1173" s="3"/>
      <c r="E1173" s="3"/>
      <c r="F1173" s="3"/>
      <c r="G1173" s="3"/>
      <c r="H1173" s="3"/>
      <c r="I1173" s="3"/>
      <c r="J1173" s="3"/>
    </row>
    <row r="1174" spans="3:10" ht="15" hidden="1" x14ac:dyDescent="0.25">
      <c r="C1174" s="3"/>
      <c r="D1174" s="3"/>
      <c r="E1174" s="3"/>
      <c r="F1174" s="3"/>
      <c r="G1174" s="3"/>
      <c r="H1174" s="3"/>
      <c r="I1174" s="3"/>
      <c r="J1174" s="3"/>
    </row>
    <row r="1175" spans="3:10" ht="15" hidden="1" x14ac:dyDescent="0.25">
      <c r="C1175" s="3"/>
      <c r="D1175" s="3"/>
      <c r="E1175" s="3"/>
      <c r="F1175" s="3"/>
      <c r="G1175" s="3"/>
      <c r="H1175" s="3"/>
      <c r="I1175" s="3"/>
      <c r="J1175" s="3"/>
    </row>
    <row r="1176" spans="3:10" ht="15" hidden="1" x14ac:dyDescent="0.25">
      <c r="C1176" s="3"/>
      <c r="D1176" s="3"/>
      <c r="E1176" s="3"/>
      <c r="F1176" s="3"/>
      <c r="G1176" s="3"/>
      <c r="H1176" s="3"/>
      <c r="I1176" s="3"/>
      <c r="J1176" s="3"/>
    </row>
    <row r="1177" spans="3:10" ht="15" hidden="1" x14ac:dyDescent="0.25">
      <c r="C1177" s="3"/>
      <c r="D1177" s="3"/>
      <c r="E1177" s="3"/>
      <c r="F1177" s="3"/>
      <c r="G1177" s="3"/>
      <c r="H1177" s="3"/>
      <c r="I1177" s="3"/>
      <c r="J1177" s="3"/>
    </row>
    <row r="1178" spans="3:10" ht="15" hidden="1" x14ac:dyDescent="0.25">
      <c r="C1178" s="3"/>
      <c r="D1178" s="3"/>
      <c r="E1178" s="3"/>
      <c r="F1178" s="3"/>
      <c r="G1178" s="3"/>
      <c r="H1178" s="3"/>
      <c r="I1178" s="3"/>
      <c r="J1178" s="3"/>
    </row>
    <row r="1179" spans="3:10" ht="15" hidden="1" x14ac:dyDescent="0.25">
      <c r="C1179" s="3"/>
      <c r="D1179" s="3"/>
      <c r="E1179" s="3"/>
      <c r="F1179" s="3"/>
      <c r="G1179" s="3"/>
      <c r="H1179" s="3"/>
      <c r="I1179" s="3"/>
      <c r="J1179" s="3"/>
    </row>
    <row r="1180" spans="3:10" ht="15" hidden="1" x14ac:dyDescent="0.25">
      <c r="C1180" s="3"/>
      <c r="D1180" s="3"/>
      <c r="E1180" s="3"/>
      <c r="F1180" s="3"/>
      <c r="G1180" s="3"/>
      <c r="H1180" s="3"/>
      <c r="I1180" s="3"/>
      <c r="J1180" s="3"/>
    </row>
    <row r="1181" spans="3:10" ht="15" hidden="1" x14ac:dyDescent="0.25">
      <c r="C1181" s="3"/>
      <c r="D1181" s="3"/>
      <c r="E1181" s="3"/>
      <c r="F1181" s="3"/>
      <c r="G1181" s="3"/>
      <c r="H1181" s="3"/>
      <c r="I1181" s="3"/>
      <c r="J1181" s="3"/>
    </row>
    <row r="1182" spans="3:10" ht="15" hidden="1" x14ac:dyDescent="0.25">
      <c r="C1182" s="3"/>
      <c r="D1182" s="3"/>
      <c r="E1182" s="3"/>
      <c r="F1182" s="3"/>
      <c r="G1182" s="3"/>
      <c r="H1182" s="3"/>
      <c r="I1182" s="3"/>
      <c r="J1182" s="3"/>
    </row>
    <row r="1183" spans="3:10" ht="15" hidden="1" x14ac:dyDescent="0.25">
      <c r="C1183" s="3"/>
      <c r="D1183" s="3"/>
      <c r="E1183" s="3"/>
      <c r="F1183" s="3"/>
      <c r="G1183" s="3"/>
      <c r="H1183" s="3"/>
      <c r="I1183" s="3"/>
      <c r="J1183" s="3"/>
    </row>
    <row r="1184" spans="3:10" ht="15" hidden="1" x14ac:dyDescent="0.25">
      <c r="C1184" s="3"/>
      <c r="D1184" s="3"/>
      <c r="E1184" s="3"/>
      <c r="F1184" s="3"/>
      <c r="G1184" s="3"/>
      <c r="H1184" s="3"/>
      <c r="I1184" s="3"/>
      <c r="J1184" s="3"/>
    </row>
    <row r="1185" spans="3:10" ht="15" hidden="1" x14ac:dyDescent="0.25">
      <c r="C1185" s="3"/>
      <c r="D1185" s="3"/>
      <c r="E1185" s="3"/>
      <c r="F1185" s="3"/>
      <c r="G1185" s="3"/>
      <c r="H1185" s="3"/>
      <c r="I1185" s="3"/>
      <c r="J1185" s="3"/>
    </row>
    <row r="1186" spans="3:10" ht="15" hidden="1" x14ac:dyDescent="0.25">
      <c r="C1186" s="3"/>
      <c r="D1186" s="3"/>
      <c r="E1186" s="3"/>
      <c r="F1186" s="3"/>
      <c r="G1186" s="3"/>
      <c r="H1186" s="3"/>
      <c r="I1186" s="3"/>
      <c r="J1186" s="3"/>
    </row>
    <row r="1187" spans="3:10" ht="15" hidden="1" x14ac:dyDescent="0.25">
      <c r="C1187" s="3"/>
      <c r="D1187" s="3"/>
      <c r="E1187" s="3"/>
      <c r="F1187" s="3"/>
      <c r="G1187" s="3"/>
      <c r="H1187" s="3"/>
      <c r="I1187" s="3"/>
      <c r="J1187" s="3"/>
    </row>
    <row r="1188" spans="3:10" ht="15" hidden="1" x14ac:dyDescent="0.25">
      <c r="C1188" s="3"/>
      <c r="D1188" s="3"/>
      <c r="E1188" s="3"/>
      <c r="F1188" s="3"/>
      <c r="G1188" s="3"/>
      <c r="H1188" s="3"/>
      <c r="I1188" s="3"/>
      <c r="J1188" s="3"/>
    </row>
    <row r="1189" spans="3:10" ht="15" hidden="1" x14ac:dyDescent="0.25">
      <c r="C1189" s="3"/>
      <c r="D1189" s="3"/>
      <c r="E1189" s="3"/>
      <c r="F1189" s="3"/>
      <c r="G1189" s="3"/>
      <c r="H1189" s="3"/>
      <c r="I1189" s="3"/>
      <c r="J1189" s="3"/>
    </row>
    <row r="1190" spans="3:10" ht="15" hidden="1" x14ac:dyDescent="0.25">
      <c r="C1190" s="3"/>
      <c r="D1190" s="3"/>
      <c r="E1190" s="3"/>
      <c r="F1190" s="3"/>
      <c r="G1190" s="3"/>
      <c r="H1190" s="3"/>
      <c r="I1190" s="3"/>
      <c r="J1190" s="3"/>
    </row>
    <row r="1191" spans="3:10" ht="15" hidden="1" x14ac:dyDescent="0.25">
      <c r="C1191" s="3"/>
      <c r="D1191" s="3"/>
      <c r="E1191" s="3"/>
      <c r="F1191" s="3"/>
      <c r="G1191" s="3"/>
      <c r="H1191" s="3"/>
      <c r="I1191" s="3"/>
      <c r="J1191" s="3"/>
    </row>
    <row r="1192" spans="3:10" ht="15" hidden="1" x14ac:dyDescent="0.25">
      <c r="C1192" s="3"/>
      <c r="D1192" s="3"/>
      <c r="E1192" s="3"/>
      <c r="F1192" s="3"/>
      <c r="G1192" s="3"/>
      <c r="H1192" s="3"/>
      <c r="I1192" s="3"/>
      <c r="J1192" s="3"/>
    </row>
    <row r="1193" spans="3:10" ht="15" hidden="1" x14ac:dyDescent="0.25">
      <c r="C1193" s="3"/>
      <c r="D1193" s="3"/>
      <c r="E1193" s="3"/>
      <c r="F1193" s="3"/>
      <c r="G1193" s="3"/>
      <c r="H1193" s="3"/>
      <c r="I1193" s="3"/>
      <c r="J1193" s="3"/>
    </row>
    <row r="1194" spans="3:10" ht="15" hidden="1" x14ac:dyDescent="0.25">
      <c r="C1194" s="3"/>
      <c r="D1194" s="3"/>
      <c r="E1194" s="3"/>
      <c r="F1194" s="3"/>
      <c r="G1194" s="3"/>
      <c r="H1194" s="3"/>
      <c r="I1194" s="3"/>
      <c r="J1194" s="3"/>
    </row>
    <row r="1195" spans="3:10" ht="15" hidden="1" x14ac:dyDescent="0.25">
      <c r="C1195" s="3"/>
      <c r="D1195" s="3"/>
      <c r="E1195" s="3"/>
      <c r="F1195" s="3"/>
      <c r="G1195" s="3"/>
      <c r="H1195" s="3"/>
      <c r="I1195" s="3"/>
      <c r="J1195" s="3"/>
    </row>
    <row r="1196" spans="3:10" ht="15" hidden="1" x14ac:dyDescent="0.25">
      <c r="C1196" s="3"/>
      <c r="D1196" s="3"/>
      <c r="E1196" s="3"/>
      <c r="F1196" s="3"/>
      <c r="G1196" s="3"/>
      <c r="H1196" s="3"/>
      <c r="I1196" s="3"/>
      <c r="J1196" s="3"/>
    </row>
    <row r="1197" spans="3:10" ht="15" hidden="1" x14ac:dyDescent="0.25">
      <c r="C1197" s="3"/>
      <c r="D1197" s="3"/>
      <c r="E1197" s="3"/>
      <c r="F1197" s="3"/>
      <c r="G1197" s="3"/>
      <c r="H1197" s="3"/>
      <c r="I1197" s="3"/>
      <c r="J1197" s="3"/>
    </row>
    <row r="1198" spans="3:10" ht="15" hidden="1" x14ac:dyDescent="0.25">
      <c r="C1198" s="3"/>
      <c r="D1198" s="3"/>
      <c r="E1198" s="3"/>
      <c r="F1198" s="3"/>
      <c r="G1198" s="3"/>
      <c r="H1198" s="3"/>
      <c r="I1198" s="3"/>
      <c r="J1198" s="3"/>
    </row>
    <row r="1199" spans="3:10" ht="15" hidden="1" x14ac:dyDescent="0.25">
      <c r="C1199" s="3"/>
      <c r="D1199" s="3"/>
      <c r="E1199" s="3"/>
      <c r="F1199" s="3"/>
      <c r="G1199" s="3"/>
      <c r="H1199" s="3"/>
      <c r="I1199" s="3"/>
      <c r="J1199" s="3"/>
    </row>
    <row r="1200" spans="3:10" ht="15" hidden="1" x14ac:dyDescent="0.25">
      <c r="C1200" s="3"/>
      <c r="D1200" s="3"/>
      <c r="E1200" s="3"/>
      <c r="F1200" s="3"/>
      <c r="G1200" s="3"/>
      <c r="H1200" s="3"/>
      <c r="I1200" s="3"/>
      <c r="J1200" s="3"/>
    </row>
    <row r="1201" spans="3:10" ht="15" hidden="1" x14ac:dyDescent="0.25">
      <c r="C1201" s="3"/>
      <c r="D1201" s="3"/>
      <c r="E1201" s="3"/>
      <c r="F1201" s="3"/>
      <c r="G1201" s="3"/>
      <c r="H1201" s="3"/>
      <c r="I1201" s="3"/>
      <c r="J1201" s="3"/>
    </row>
    <row r="1202" spans="3:10" ht="15" hidden="1" x14ac:dyDescent="0.25">
      <c r="C1202" s="3"/>
      <c r="D1202" s="3"/>
      <c r="E1202" s="3"/>
      <c r="F1202" s="3"/>
      <c r="G1202" s="3"/>
      <c r="H1202" s="3"/>
      <c r="I1202" s="3"/>
      <c r="J1202" s="3"/>
    </row>
    <row r="1203" spans="3:10" ht="15" hidden="1" x14ac:dyDescent="0.25">
      <c r="C1203" s="3"/>
      <c r="D1203" s="3"/>
      <c r="E1203" s="3"/>
      <c r="F1203" s="3"/>
      <c r="G1203" s="3"/>
      <c r="H1203" s="3"/>
      <c r="I1203" s="3"/>
      <c r="J1203" s="3"/>
    </row>
    <row r="1204" spans="3:10" ht="15" hidden="1" x14ac:dyDescent="0.25">
      <c r="C1204" s="3"/>
      <c r="D1204" s="3"/>
      <c r="E1204" s="3"/>
      <c r="F1204" s="3"/>
      <c r="G1204" s="3"/>
      <c r="H1204" s="3"/>
      <c r="I1204" s="3"/>
      <c r="J1204" s="3"/>
    </row>
    <row r="1205" spans="3:10" ht="15" hidden="1" x14ac:dyDescent="0.25">
      <c r="C1205" s="3"/>
      <c r="D1205" s="3"/>
      <c r="E1205" s="3"/>
      <c r="F1205" s="3"/>
      <c r="G1205" s="3"/>
      <c r="H1205" s="3"/>
      <c r="I1205" s="3"/>
      <c r="J1205" s="3"/>
    </row>
    <row r="1206" spans="3:10" ht="15" hidden="1" x14ac:dyDescent="0.25">
      <c r="C1206" s="3"/>
      <c r="D1206" s="3"/>
      <c r="E1206" s="3"/>
      <c r="F1206" s="3"/>
      <c r="G1206" s="3"/>
      <c r="H1206" s="3"/>
      <c r="I1206" s="3"/>
      <c r="J1206" s="3"/>
    </row>
    <row r="1207" spans="3:10" ht="15" hidden="1" x14ac:dyDescent="0.25">
      <c r="C1207" s="3"/>
      <c r="D1207" s="3"/>
      <c r="E1207" s="3"/>
      <c r="F1207" s="3"/>
      <c r="G1207" s="3"/>
      <c r="H1207" s="3"/>
      <c r="I1207" s="3"/>
      <c r="J1207" s="3"/>
    </row>
    <row r="1208" spans="3:10" ht="15" hidden="1" x14ac:dyDescent="0.25">
      <c r="C1208" s="3"/>
      <c r="D1208" s="3"/>
      <c r="E1208" s="3"/>
      <c r="F1208" s="3"/>
      <c r="G1208" s="3"/>
      <c r="H1208" s="3"/>
      <c r="I1208" s="3"/>
      <c r="J1208" s="3"/>
    </row>
    <row r="1209" spans="3:10" ht="15" hidden="1" x14ac:dyDescent="0.25">
      <c r="C1209" s="3"/>
      <c r="D1209" s="3"/>
      <c r="E1209" s="3"/>
      <c r="F1209" s="3"/>
      <c r="G1209" s="3"/>
      <c r="H1209" s="3"/>
      <c r="I1209" s="3"/>
      <c r="J1209" s="3"/>
    </row>
    <row r="1210" spans="3:10" ht="15" hidden="1" x14ac:dyDescent="0.25">
      <c r="C1210" s="3"/>
      <c r="D1210" s="3"/>
      <c r="E1210" s="3"/>
      <c r="F1210" s="3"/>
      <c r="G1210" s="3"/>
      <c r="H1210" s="3"/>
      <c r="I1210" s="3"/>
      <c r="J1210" s="3"/>
    </row>
    <row r="1211" spans="3:10" ht="15" hidden="1" x14ac:dyDescent="0.25">
      <c r="C1211" s="3"/>
      <c r="D1211" s="3"/>
      <c r="E1211" s="3"/>
      <c r="F1211" s="3"/>
      <c r="G1211" s="3"/>
      <c r="H1211" s="3"/>
      <c r="I1211" s="3"/>
      <c r="J1211" s="3"/>
    </row>
    <row r="1212" spans="3:10" ht="15" hidden="1" x14ac:dyDescent="0.25">
      <c r="C1212" s="3"/>
      <c r="D1212" s="3"/>
      <c r="E1212" s="3"/>
      <c r="F1212" s="3"/>
      <c r="G1212" s="3"/>
      <c r="H1212" s="3"/>
      <c r="I1212" s="3"/>
      <c r="J1212" s="3"/>
    </row>
    <row r="1213" spans="3:10" ht="15" hidden="1" x14ac:dyDescent="0.25">
      <c r="C1213" s="3"/>
      <c r="D1213" s="3"/>
      <c r="E1213" s="3"/>
      <c r="F1213" s="3"/>
      <c r="G1213" s="3"/>
      <c r="H1213" s="3"/>
      <c r="I1213" s="3"/>
      <c r="J1213" s="3"/>
    </row>
    <row r="1214" spans="3:10" ht="15" hidden="1" x14ac:dyDescent="0.25">
      <c r="C1214" s="3"/>
      <c r="D1214" s="3"/>
      <c r="E1214" s="3"/>
      <c r="F1214" s="3"/>
      <c r="G1214" s="3"/>
      <c r="H1214" s="3"/>
      <c r="I1214" s="3"/>
      <c r="J1214" s="3"/>
    </row>
    <row r="1215" spans="3:10" ht="15" hidden="1" x14ac:dyDescent="0.25">
      <c r="C1215" s="3"/>
      <c r="D1215" s="3"/>
      <c r="E1215" s="3"/>
      <c r="F1215" s="3"/>
      <c r="G1215" s="3"/>
      <c r="H1215" s="3"/>
      <c r="I1215" s="3"/>
      <c r="J1215" s="3"/>
    </row>
    <row r="1216" spans="3:10" ht="15" hidden="1" x14ac:dyDescent="0.25">
      <c r="C1216" s="3"/>
      <c r="D1216" s="3"/>
      <c r="E1216" s="3"/>
      <c r="F1216" s="3"/>
      <c r="G1216" s="3"/>
      <c r="H1216" s="3"/>
      <c r="I1216" s="3"/>
      <c r="J1216" s="3"/>
    </row>
    <row r="1217" spans="3:10" ht="15" hidden="1" x14ac:dyDescent="0.25">
      <c r="C1217" s="3"/>
      <c r="D1217" s="3"/>
      <c r="E1217" s="3"/>
      <c r="F1217" s="3"/>
      <c r="G1217" s="3"/>
      <c r="H1217" s="3"/>
      <c r="I1217" s="3"/>
      <c r="J1217" s="3"/>
    </row>
    <row r="1218" spans="3:10" ht="15" hidden="1" x14ac:dyDescent="0.25">
      <c r="C1218" s="3"/>
      <c r="D1218" s="3"/>
      <c r="E1218" s="3"/>
      <c r="F1218" s="3"/>
      <c r="G1218" s="3"/>
      <c r="H1218" s="3"/>
      <c r="I1218" s="3"/>
      <c r="J1218" s="3"/>
    </row>
    <row r="1219" spans="3:10" ht="15" hidden="1" x14ac:dyDescent="0.25">
      <c r="C1219" s="3"/>
      <c r="D1219" s="3"/>
      <c r="E1219" s="3"/>
      <c r="F1219" s="3"/>
      <c r="G1219" s="3"/>
      <c r="H1219" s="3"/>
      <c r="I1219" s="3"/>
      <c r="J1219" s="3"/>
    </row>
    <row r="1220" spans="3:10" ht="15" hidden="1" x14ac:dyDescent="0.25">
      <c r="C1220" s="3"/>
      <c r="D1220" s="3"/>
      <c r="E1220" s="3"/>
      <c r="F1220" s="3"/>
      <c r="G1220" s="3"/>
      <c r="H1220" s="3"/>
      <c r="I1220" s="3"/>
      <c r="J1220" s="3"/>
    </row>
    <row r="1221" spans="3:10" ht="15" hidden="1" x14ac:dyDescent="0.25">
      <c r="C1221" s="3"/>
      <c r="D1221" s="3"/>
      <c r="E1221" s="3"/>
      <c r="F1221" s="3"/>
      <c r="G1221" s="3"/>
      <c r="H1221" s="3"/>
      <c r="I1221" s="3"/>
      <c r="J1221" s="3"/>
    </row>
    <row r="1222" spans="3:10" ht="15" hidden="1" x14ac:dyDescent="0.25">
      <c r="C1222" s="3"/>
      <c r="D1222" s="3"/>
      <c r="E1222" s="3"/>
      <c r="F1222" s="3"/>
      <c r="G1222" s="3"/>
      <c r="H1222" s="3"/>
      <c r="I1222" s="3"/>
      <c r="J1222" s="3"/>
    </row>
    <row r="1223" spans="3:10" ht="15" hidden="1" x14ac:dyDescent="0.25">
      <c r="C1223" s="3"/>
      <c r="D1223" s="3"/>
      <c r="E1223" s="3"/>
      <c r="F1223" s="3"/>
      <c r="G1223" s="3"/>
      <c r="H1223" s="3"/>
      <c r="I1223" s="3"/>
      <c r="J1223" s="3"/>
    </row>
    <row r="1224" spans="3:10" ht="15" hidden="1" x14ac:dyDescent="0.25">
      <c r="C1224" s="3"/>
      <c r="D1224" s="3"/>
      <c r="E1224" s="3"/>
      <c r="F1224" s="3"/>
      <c r="G1224" s="3"/>
      <c r="H1224" s="3"/>
      <c r="I1224" s="3"/>
      <c r="J1224" s="3"/>
    </row>
    <row r="1225" spans="3:10" ht="15" hidden="1" x14ac:dyDescent="0.25">
      <c r="C1225" s="3"/>
      <c r="D1225" s="3"/>
      <c r="E1225" s="3"/>
      <c r="F1225" s="3"/>
      <c r="G1225" s="3"/>
      <c r="H1225" s="3"/>
      <c r="I1225" s="3"/>
      <c r="J1225" s="3"/>
    </row>
    <row r="1226" spans="3:10" ht="15" hidden="1" x14ac:dyDescent="0.25">
      <c r="C1226" s="3"/>
      <c r="D1226" s="3"/>
      <c r="E1226" s="3"/>
      <c r="F1226" s="3"/>
      <c r="G1226" s="3"/>
      <c r="H1226" s="3"/>
      <c r="I1226" s="3"/>
      <c r="J1226" s="3"/>
    </row>
    <row r="1227" spans="3:10" ht="15" hidden="1" x14ac:dyDescent="0.25">
      <c r="C1227" s="3"/>
      <c r="D1227" s="3"/>
      <c r="E1227" s="3"/>
      <c r="F1227" s="3"/>
      <c r="G1227" s="3"/>
      <c r="H1227" s="3"/>
      <c r="I1227" s="3"/>
      <c r="J1227" s="3"/>
    </row>
    <row r="1228" spans="3:10" ht="15" hidden="1" x14ac:dyDescent="0.25">
      <c r="C1228" s="3"/>
      <c r="D1228" s="3"/>
      <c r="E1228" s="3"/>
      <c r="F1228" s="3"/>
      <c r="G1228" s="3"/>
      <c r="H1228" s="3"/>
      <c r="I1228" s="3"/>
      <c r="J1228" s="3"/>
    </row>
    <row r="1229" spans="3:10" ht="15" hidden="1" x14ac:dyDescent="0.25">
      <c r="C1229" s="3"/>
      <c r="D1229" s="3"/>
      <c r="E1229" s="3"/>
      <c r="F1229" s="3"/>
      <c r="G1229" s="3"/>
      <c r="H1229" s="3"/>
      <c r="I1229" s="3"/>
      <c r="J1229" s="3"/>
    </row>
    <row r="1230" spans="3:10" ht="15" hidden="1" x14ac:dyDescent="0.25">
      <c r="C1230" s="3"/>
      <c r="D1230" s="3"/>
      <c r="E1230" s="3"/>
      <c r="F1230" s="3"/>
      <c r="G1230" s="3"/>
      <c r="H1230" s="3"/>
      <c r="I1230" s="3"/>
      <c r="J1230" s="3"/>
    </row>
    <row r="1231" spans="3:10" ht="15" hidden="1" x14ac:dyDescent="0.25">
      <c r="C1231" s="3"/>
      <c r="D1231" s="3"/>
      <c r="E1231" s="3"/>
      <c r="F1231" s="3"/>
      <c r="G1231" s="3"/>
      <c r="H1231" s="3"/>
      <c r="I1231" s="3"/>
      <c r="J1231" s="3"/>
    </row>
    <row r="1232" spans="3:10" ht="15" hidden="1" x14ac:dyDescent="0.25">
      <c r="C1232" s="3"/>
      <c r="D1232" s="3"/>
      <c r="E1232" s="3"/>
      <c r="F1232" s="3"/>
      <c r="G1232" s="3"/>
      <c r="H1232" s="3"/>
      <c r="I1232" s="3"/>
      <c r="J1232" s="3"/>
    </row>
    <row r="1233" spans="3:10" ht="15" hidden="1" x14ac:dyDescent="0.25">
      <c r="C1233" s="3"/>
      <c r="D1233" s="3"/>
      <c r="E1233" s="3"/>
      <c r="F1233" s="3"/>
      <c r="G1233" s="3"/>
      <c r="H1233" s="3"/>
      <c r="I1233" s="3"/>
      <c r="J1233" s="3"/>
    </row>
    <row r="1234" spans="3:10" ht="15" hidden="1" x14ac:dyDescent="0.25">
      <c r="C1234" s="3"/>
      <c r="D1234" s="3"/>
      <c r="E1234" s="3"/>
      <c r="F1234" s="3"/>
      <c r="G1234" s="3"/>
      <c r="H1234" s="3"/>
      <c r="I1234" s="3"/>
      <c r="J1234" s="3"/>
    </row>
    <row r="1235" spans="3:10" ht="15" hidden="1" x14ac:dyDescent="0.25">
      <c r="C1235" s="3"/>
      <c r="D1235" s="3"/>
      <c r="E1235" s="3"/>
      <c r="F1235" s="3"/>
      <c r="G1235" s="3"/>
      <c r="H1235" s="3"/>
      <c r="I1235" s="3"/>
      <c r="J1235" s="3"/>
    </row>
    <row r="1236" spans="3:10" ht="15" hidden="1" x14ac:dyDescent="0.25">
      <c r="C1236" s="3"/>
      <c r="D1236" s="3"/>
      <c r="E1236" s="3"/>
      <c r="F1236" s="3"/>
      <c r="G1236" s="3"/>
      <c r="H1236" s="3"/>
      <c r="I1236" s="3"/>
      <c r="J1236" s="3"/>
    </row>
    <row r="1237" spans="3:10" ht="15" hidden="1" x14ac:dyDescent="0.25">
      <c r="C1237" s="3"/>
      <c r="D1237" s="3"/>
      <c r="E1237" s="3"/>
      <c r="F1237" s="3"/>
      <c r="G1237" s="3"/>
      <c r="H1237" s="3"/>
      <c r="I1237" s="3"/>
      <c r="J1237" s="3"/>
    </row>
    <row r="1238" spans="3:10" ht="15" hidden="1" x14ac:dyDescent="0.25">
      <c r="C1238" s="3"/>
      <c r="D1238" s="3"/>
      <c r="E1238" s="3"/>
      <c r="F1238" s="3"/>
      <c r="G1238" s="3"/>
      <c r="H1238" s="3"/>
      <c r="I1238" s="3"/>
      <c r="J1238" s="3"/>
    </row>
    <row r="1239" spans="3:10" ht="15" hidden="1" x14ac:dyDescent="0.25">
      <c r="C1239" s="3"/>
      <c r="D1239" s="3"/>
      <c r="E1239" s="3"/>
      <c r="F1239" s="3"/>
      <c r="G1239" s="3"/>
      <c r="H1239" s="3"/>
      <c r="I1239" s="3"/>
      <c r="J1239" s="3"/>
    </row>
    <row r="1240" spans="3:10" ht="15" hidden="1" x14ac:dyDescent="0.25">
      <c r="C1240" s="3"/>
      <c r="D1240" s="3"/>
      <c r="E1240" s="3"/>
      <c r="F1240" s="3"/>
      <c r="G1240" s="3"/>
      <c r="H1240" s="3"/>
      <c r="I1240" s="3"/>
      <c r="J1240" s="3"/>
    </row>
    <row r="1241" spans="3:10" ht="15" hidden="1" x14ac:dyDescent="0.25">
      <c r="C1241" s="3"/>
      <c r="D1241" s="3"/>
      <c r="E1241" s="3"/>
      <c r="F1241" s="3"/>
      <c r="G1241" s="3"/>
      <c r="H1241" s="3"/>
      <c r="I1241" s="3"/>
      <c r="J1241" s="3"/>
    </row>
    <row r="1242" spans="3:10" ht="15" hidden="1" x14ac:dyDescent="0.25">
      <c r="C1242" s="3"/>
      <c r="D1242" s="3"/>
      <c r="E1242" s="3"/>
      <c r="F1242" s="3"/>
      <c r="G1242" s="3"/>
      <c r="H1242" s="3"/>
      <c r="I1242" s="3"/>
      <c r="J1242" s="3"/>
    </row>
    <row r="1243" spans="3:10" ht="15" hidden="1" x14ac:dyDescent="0.25">
      <c r="C1243" s="3"/>
      <c r="D1243" s="3"/>
      <c r="E1243" s="3"/>
      <c r="F1243" s="3"/>
      <c r="G1243" s="3"/>
      <c r="H1243" s="3"/>
      <c r="I1243" s="3"/>
      <c r="J1243" s="3"/>
    </row>
    <row r="1244" spans="3:10" ht="15" hidden="1" x14ac:dyDescent="0.25">
      <c r="C1244" s="3"/>
      <c r="D1244" s="3"/>
      <c r="E1244" s="3"/>
      <c r="F1244" s="3"/>
      <c r="G1244" s="3"/>
      <c r="H1244" s="3"/>
      <c r="I1244" s="3"/>
      <c r="J1244" s="3"/>
    </row>
    <row r="1245" spans="3:10" ht="15" hidden="1" x14ac:dyDescent="0.25">
      <c r="C1245" s="3"/>
      <c r="D1245" s="3"/>
      <c r="E1245" s="3"/>
      <c r="F1245" s="3"/>
      <c r="G1245" s="3"/>
      <c r="H1245" s="3"/>
      <c r="I1245" s="3"/>
      <c r="J1245" s="3"/>
    </row>
    <row r="1246" spans="3:10" ht="15" hidden="1" x14ac:dyDescent="0.25">
      <c r="C1246" s="3"/>
      <c r="D1246" s="3"/>
      <c r="E1246" s="3"/>
      <c r="F1246" s="3"/>
      <c r="G1246" s="3"/>
      <c r="H1246" s="3"/>
      <c r="I1246" s="3"/>
      <c r="J1246" s="3"/>
    </row>
    <row r="1247" spans="3:10" ht="15" hidden="1" x14ac:dyDescent="0.25">
      <c r="C1247" s="3"/>
      <c r="D1247" s="3"/>
      <c r="E1247" s="3"/>
      <c r="F1247" s="3"/>
      <c r="G1247" s="3"/>
      <c r="H1247" s="3"/>
      <c r="I1247" s="3"/>
      <c r="J1247" s="3"/>
    </row>
    <row r="1248" spans="3:10" ht="15" hidden="1" x14ac:dyDescent="0.25">
      <c r="C1248" s="3"/>
      <c r="D1248" s="3"/>
      <c r="E1248" s="3"/>
      <c r="F1248" s="3"/>
      <c r="G1248" s="3"/>
      <c r="H1248" s="3"/>
      <c r="I1248" s="3"/>
      <c r="J1248" s="3"/>
    </row>
    <row r="1249" spans="3:10" ht="15" hidden="1" x14ac:dyDescent="0.25">
      <c r="C1249" s="3"/>
      <c r="D1249" s="3"/>
      <c r="E1249" s="3"/>
      <c r="F1249" s="3"/>
      <c r="G1249" s="3"/>
      <c r="H1249" s="3"/>
      <c r="I1249" s="3"/>
      <c r="J1249" s="3"/>
    </row>
    <row r="1250" spans="3:10" ht="15" hidden="1" x14ac:dyDescent="0.25">
      <c r="C1250" s="3"/>
      <c r="D1250" s="3"/>
      <c r="E1250" s="3"/>
      <c r="F1250" s="3"/>
      <c r="G1250" s="3"/>
      <c r="H1250" s="3"/>
      <c r="I1250" s="3"/>
      <c r="J1250" s="3"/>
    </row>
    <row r="1251" spans="3:10" ht="15" hidden="1" x14ac:dyDescent="0.25">
      <c r="C1251" s="3"/>
      <c r="D1251" s="3"/>
      <c r="E1251" s="3"/>
      <c r="F1251" s="3"/>
      <c r="G1251" s="3"/>
      <c r="H1251" s="3"/>
      <c r="I1251" s="3"/>
      <c r="J1251" s="3"/>
    </row>
    <row r="1252" spans="3:10" ht="15" hidden="1" x14ac:dyDescent="0.25">
      <c r="C1252" s="3"/>
      <c r="D1252" s="3"/>
      <c r="E1252" s="3"/>
      <c r="F1252" s="3"/>
      <c r="G1252" s="3"/>
      <c r="H1252" s="3"/>
      <c r="I1252" s="3"/>
      <c r="J1252" s="3"/>
    </row>
    <row r="1253" spans="3:10" ht="15" hidden="1" x14ac:dyDescent="0.25">
      <c r="C1253" s="3"/>
      <c r="D1253" s="3"/>
      <c r="E1253" s="3"/>
      <c r="F1253" s="3"/>
      <c r="G1253" s="3"/>
      <c r="H1253" s="3"/>
      <c r="I1253" s="3"/>
      <c r="J1253" s="3"/>
    </row>
    <row r="1254" spans="3:10" ht="15" hidden="1" x14ac:dyDescent="0.25">
      <c r="C1254" s="3"/>
      <c r="D1254" s="3"/>
      <c r="E1254" s="3"/>
      <c r="F1254" s="3"/>
      <c r="G1254" s="3"/>
      <c r="H1254" s="3"/>
      <c r="I1254" s="3"/>
      <c r="J1254" s="3"/>
    </row>
    <row r="1255" spans="3:10" ht="15" hidden="1" x14ac:dyDescent="0.25">
      <c r="C1255" s="3"/>
      <c r="D1255" s="3"/>
      <c r="E1255" s="3"/>
      <c r="F1255" s="3"/>
      <c r="G1255" s="3"/>
      <c r="H1255" s="3"/>
      <c r="I1255" s="3"/>
      <c r="J1255" s="3"/>
    </row>
    <row r="1256" spans="3:10" ht="15" hidden="1" x14ac:dyDescent="0.25">
      <c r="C1256" s="3"/>
      <c r="D1256" s="3"/>
      <c r="E1256" s="3"/>
      <c r="F1256" s="3"/>
      <c r="G1256" s="3"/>
      <c r="H1256" s="3"/>
      <c r="I1256" s="3"/>
      <c r="J1256" s="3"/>
    </row>
    <row r="1257" spans="3:10" ht="15" hidden="1" x14ac:dyDescent="0.25">
      <c r="C1257" s="3"/>
      <c r="D1257" s="3"/>
      <c r="E1257" s="3"/>
      <c r="F1257" s="3"/>
      <c r="G1257" s="3"/>
      <c r="H1257" s="3"/>
      <c r="I1257" s="3"/>
      <c r="J1257" s="3"/>
    </row>
    <row r="1258" spans="3:10" ht="15" hidden="1" x14ac:dyDescent="0.25">
      <c r="C1258" s="3"/>
      <c r="D1258" s="3"/>
      <c r="E1258" s="3"/>
      <c r="F1258" s="3"/>
      <c r="G1258" s="3"/>
      <c r="H1258" s="3"/>
      <c r="I1258" s="3"/>
      <c r="J1258" s="3"/>
    </row>
    <row r="1259" spans="3:10" ht="15" hidden="1" x14ac:dyDescent="0.25">
      <c r="C1259" s="3"/>
      <c r="D1259" s="3"/>
      <c r="E1259" s="3"/>
      <c r="F1259" s="3"/>
      <c r="G1259" s="3"/>
      <c r="H1259" s="3"/>
      <c r="I1259" s="3"/>
      <c r="J1259" s="3"/>
    </row>
    <row r="1260" spans="3:10" ht="15" hidden="1" x14ac:dyDescent="0.25">
      <c r="C1260" s="3"/>
      <c r="D1260" s="3"/>
      <c r="E1260" s="3"/>
      <c r="F1260" s="3"/>
      <c r="G1260" s="3"/>
      <c r="H1260" s="3"/>
      <c r="I1260" s="3"/>
      <c r="J1260" s="3"/>
    </row>
    <row r="1261" spans="3:10" ht="15" hidden="1" x14ac:dyDescent="0.25">
      <c r="C1261" s="3"/>
      <c r="D1261" s="3"/>
      <c r="E1261" s="3"/>
      <c r="F1261" s="3"/>
      <c r="G1261" s="3"/>
      <c r="H1261" s="3"/>
      <c r="I1261" s="3"/>
      <c r="J1261" s="3"/>
    </row>
    <row r="1262" spans="3:10" ht="15" hidden="1" x14ac:dyDescent="0.25">
      <c r="C1262" s="3"/>
      <c r="D1262" s="3"/>
      <c r="E1262" s="3"/>
      <c r="F1262" s="3"/>
      <c r="G1262" s="3"/>
      <c r="H1262" s="3"/>
      <c r="I1262" s="3"/>
      <c r="J1262" s="3"/>
    </row>
    <row r="1263" spans="3:10" ht="15" hidden="1" x14ac:dyDescent="0.25">
      <c r="C1263" s="3"/>
      <c r="D1263" s="3"/>
      <c r="E1263" s="3"/>
      <c r="F1263" s="3"/>
      <c r="G1263" s="3"/>
      <c r="H1263" s="3"/>
      <c r="I1263" s="3"/>
      <c r="J1263" s="3"/>
    </row>
    <row r="1264" spans="3:10" ht="15" hidden="1" x14ac:dyDescent="0.25">
      <c r="C1264" s="3"/>
      <c r="D1264" s="3"/>
      <c r="E1264" s="3"/>
      <c r="F1264" s="3"/>
      <c r="G1264" s="3"/>
      <c r="H1264" s="3"/>
      <c r="I1264" s="3"/>
      <c r="J1264" s="3"/>
    </row>
    <row r="1265" spans="3:10" ht="15" hidden="1" x14ac:dyDescent="0.25">
      <c r="C1265" s="3"/>
      <c r="D1265" s="3"/>
      <c r="E1265" s="3"/>
      <c r="F1265" s="3"/>
      <c r="G1265" s="3"/>
      <c r="H1265" s="3"/>
      <c r="I1265" s="3"/>
      <c r="J1265" s="3"/>
    </row>
    <row r="1266" spans="3:10" ht="15" hidden="1" x14ac:dyDescent="0.25">
      <c r="C1266" s="3"/>
      <c r="D1266" s="3"/>
      <c r="E1266" s="3"/>
      <c r="F1266" s="3"/>
      <c r="G1266" s="3"/>
      <c r="H1266" s="3"/>
      <c r="I1266" s="3"/>
      <c r="J1266" s="3"/>
    </row>
    <row r="1267" spans="3:10" ht="15" hidden="1" x14ac:dyDescent="0.25">
      <c r="C1267" s="3"/>
      <c r="D1267" s="3"/>
      <c r="E1267" s="3"/>
      <c r="F1267" s="3"/>
      <c r="G1267" s="3"/>
      <c r="H1267" s="3"/>
      <c r="I1267" s="3"/>
      <c r="J1267" s="3"/>
    </row>
    <row r="1268" spans="3:10" ht="15" hidden="1" x14ac:dyDescent="0.25">
      <c r="C1268" s="3"/>
      <c r="D1268" s="3"/>
      <c r="E1268" s="3"/>
      <c r="F1268" s="3"/>
      <c r="G1268" s="3"/>
      <c r="H1268" s="3"/>
      <c r="I1268" s="3"/>
      <c r="J1268" s="3"/>
    </row>
    <row r="1269" spans="3:10" ht="15" hidden="1" x14ac:dyDescent="0.25">
      <c r="C1269" s="3"/>
      <c r="D1269" s="3"/>
      <c r="E1269" s="3"/>
      <c r="F1269" s="3"/>
      <c r="G1269" s="3"/>
      <c r="H1269" s="3"/>
      <c r="I1269" s="3"/>
      <c r="J1269" s="3"/>
    </row>
    <row r="1270" spans="3:10" ht="15" hidden="1" x14ac:dyDescent="0.25">
      <c r="C1270" s="3"/>
      <c r="D1270" s="3"/>
      <c r="E1270" s="3"/>
      <c r="F1270" s="3"/>
      <c r="G1270" s="3"/>
      <c r="H1270" s="3"/>
      <c r="I1270" s="3"/>
      <c r="J1270" s="3"/>
    </row>
    <row r="1271" spans="3:10" ht="15" hidden="1" x14ac:dyDescent="0.25">
      <c r="C1271" s="3"/>
      <c r="D1271" s="3"/>
      <c r="E1271" s="3"/>
      <c r="F1271" s="3"/>
      <c r="G1271" s="3"/>
      <c r="H1271" s="3"/>
      <c r="I1271" s="3"/>
      <c r="J1271" s="3"/>
    </row>
    <row r="1272" spans="3:10" ht="15" hidden="1" x14ac:dyDescent="0.25">
      <c r="C1272" s="3"/>
      <c r="D1272" s="3"/>
      <c r="E1272" s="3"/>
      <c r="F1272" s="3"/>
      <c r="G1272" s="3"/>
      <c r="H1272" s="3"/>
      <c r="I1272" s="3"/>
      <c r="J1272" s="3"/>
    </row>
    <row r="1273" spans="3:10" ht="15" hidden="1" x14ac:dyDescent="0.25">
      <c r="C1273" s="3"/>
      <c r="D1273" s="3"/>
      <c r="E1273" s="3"/>
      <c r="F1273" s="3"/>
      <c r="G1273" s="3"/>
      <c r="H1273" s="3"/>
      <c r="I1273" s="3"/>
      <c r="J1273" s="3"/>
    </row>
    <row r="1274" spans="3:10" ht="15" hidden="1" x14ac:dyDescent="0.25">
      <c r="C1274" s="3"/>
      <c r="D1274" s="3"/>
      <c r="E1274" s="3"/>
      <c r="F1274" s="3"/>
      <c r="G1274" s="3"/>
      <c r="H1274" s="3"/>
      <c r="I1274" s="3"/>
      <c r="J1274" s="3"/>
    </row>
    <row r="1275" spans="3:10" ht="15" hidden="1" x14ac:dyDescent="0.25">
      <c r="C1275" s="3"/>
      <c r="D1275" s="3"/>
      <c r="E1275" s="3"/>
      <c r="F1275" s="3"/>
      <c r="G1275" s="3"/>
      <c r="H1275" s="3"/>
      <c r="I1275" s="3"/>
      <c r="J1275" s="3"/>
    </row>
    <row r="1276" spans="3:10" ht="15" hidden="1" x14ac:dyDescent="0.25">
      <c r="C1276" s="3"/>
      <c r="D1276" s="3"/>
      <c r="E1276" s="3"/>
      <c r="F1276" s="3"/>
      <c r="G1276" s="3"/>
      <c r="H1276" s="3"/>
      <c r="I1276" s="3"/>
      <c r="J1276" s="3"/>
    </row>
    <row r="1277" spans="3:10" ht="15" hidden="1" x14ac:dyDescent="0.25">
      <c r="C1277" s="3"/>
      <c r="D1277" s="3"/>
      <c r="E1277" s="3"/>
      <c r="F1277" s="3"/>
      <c r="G1277" s="3"/>
      <c r="H1277" s="3"/>
      <c r="I1277" s="3"/>
      <c r="J1277" s="3"/>
    </row>
    <row r="1278" spans="3:10" ht="15" hidden="1" x14ac:dyDescent="0.25">
      <c r="C1278" s="3"/>
      <c r="D1278" s="3"/>
      <c r="E1278" s="3"/>
      <c r="F1278" s="3"/>
      <c r="G1278" s="3"/>
      <c r="H1278" s="3"/>
      <c r="I1278" s="3"/>
      <c r="J1278" s="3"/>
    </row>
    <row r="1279" spans="3:10" ht="15" hidden="1" x14ac:dyDescent="0.25">
      <c r="C1279" s="3"/>
      <c r="D1279" s="3"/>
      <c r="E1279" s="3"/>
      <c r="F1279" s="3"/>
      <c r="G1279" s="3"/>
      <c r="H1279" s="3"/>
      <c r="I1279" s="3"/>
      <c r="J1279" s="3"/>
    </row>
    <row r="1280" spans="3:10" ht="15" hidden="1" x14ac:dyDescent="0.25">
      <c r="C1280" s="3"/>
      <c r="D1280" s="3"/>
      <c r="E1280" s="3"/>
      <c r="F1280" s="3"/>
      <c r="G1280" s="3"/>
      <c r="H1280" s="3"/>
      <c r="I1280" s="3"/>
      <c r="J1280" s="3"/>
    </row>
    <row r="1281" spans="3:10" ht="15" hidden="1" x14ac:dyDescent="0.25">
      <c r="C1281" s="3"/>
      <c r="D1281" s="3"/>
      <c r="E1281" s="3"/>
      <c r="F1281" s="3"/>
      <c r="G1281" s="3"/>
      <c r="H1281" s="3"/>
      <c r="I1281" s="3"/>
      <c r="J1281" s="3"/>
    </row>
    <row r="1282" spans="3:10" ht="15" hidden="1" x14ac:dyDescent="0.25">
      <c r="C1282" s="3"/>
      <c r="D1282" s="3"/>
      <c r="E1282" s="3"/>
      <c r="F1282" s="3"/>
      <c r="G1282" s="3"/>
      <c r="H1282" s="3"/>
      <c r="I1282" s="3"/>
      <c r="J1282" s="3"/>
    </row>
    <row r="1283" spans="3:10" ht="15" hidden="1" x14ac:dyDescent="0.25">
      <c r="C1283" s="3"/>
      <c r="D1283" s="3"/>
      <c r="E1283" s="3"/>
      <c r="F1283" s="3"/>
      <c r="G1283" s="3"/>
      <c r="H1283" s="3"/>
      <c r="I1283" s="3"/>
      <c r="J1283" s="3"/>
    </row>
    <row r="1284" spans="3:10" ht="15" hidden="1" x14ac:dyDescent="0.25">
      <c r="C1284" s="3"/>
      <c r="D1284" s="3"/>
      <c r="E1284" s="3"/>
      <c r="F1284" s="3"/>
      <c r="G1284" s="3"/>
      <c r="H1284" s="3"/>
      <c r="I1284" s="3"/>
      <c r="J1284" s="3"/>
    </row>
    <row r="1285" spans="3:10" ht="15" hidden="1" x14ac:dyDescent="0.25">
      <c r="C1285" s="3"/>
      <c r="D1285" s="3"/>
      <c r="E1285" s="3"/>
      <c r="F1285" s="3"/>
      <c r="G1285" s="3"/>
      <c r="H1285" s="3"/>
      <c r="I1285" s="3"/>
      <c r="J1285" s="3"/>
    </row>
    <row r="1286" spans="3:10" ht="15" hidden="1" x14ac:dyDescent="0.25">
      <c r="C1286" s="3"/>
      <c r="D1286" s="3"/>
      <c r="E1286" s="3"/>
      <c r="F1286" s="3"/>
      <c r="G1286" s="3"/>
      <c r="H1286" s="3"/>
      <c r="I1286" s="3"/>
      <c r="J1286" s="3"/>
    </row>
    <row r="1287" spans="3:10" ht="15" hidden="1" x14ac:dyDescent="0.25">
      <c r="C1287" s="3"/>
      <c r="D1287" s="3"/>
      <c r="E1287" s="3"/>
      <c r="F1287" s="3"/>
      <c r="G1287" s="3"/>
      <c r="H1287" s="3"/>
      <c r="I1287" s="3"/>
      <c r="J1287" s="3"/>
    </row>
    <row r="1288" spans="3:10" ht="15" hidden="1" x14ac:dyDescent="0.25">
      <c r="C1288" s="3"/>
      <c r="D1288" s="3"/>
      <c r="E1288" s="3"/>
      <c r="F1288" s="3"/>
      <c r="G1288" s="3"/>
      <c r="H1288" s="3"/>
      <c r="I1288" s="3"/>
      <c r="J1288" s="3"/>
    </row>
    <row r="1289" spans="3:10" ht="15" hidden="1" x14ac:dyDescent="0.25">
      <c r="C1289" s="3"/>
      <c r="D1289" s="3"/>
      <c r="E1289" s="3"/>
      <c r="F1289" s="3"/>
      <c r="G1289" s="3"/>
      <c r="H1289" s="3"/>
      <c r="I1289" s="3"/>
      <c r="J1289" s="3"/>
    </row>
    <row r="1290" spans="3:10" ht="15" hidden="1" x14ac:dyDescent="0.25">
      <c r="C1290" s="3"/>
      <c r="D1290" s="3"/>
      <c r="E1290" s="3"/>
      <c r="F1290" s="3"/>
      <c r="G1290" s="3"/>
      <c r="H1290" s="3"/>
      <c r="I1290" s="3"/>
      <c r="J1290" s="3"/>
    </row>
    <row r="1291" spans="3:10" ht="15" hidden="1" x14ac:dyDescent="0.25">
      <c r="C1291" s="3"/>
      <c r="D1291" s="3"/>
      <c r="E1291" s="3"/>
      <c r="F1291" s="3"/>
      <c r="G1291" s="3"/>
      <c r="H1291" s="3"/>
      <c r="I1291" s="3"/>
      <c r="J1291" s="3"/>
    </row>
    <row r="1292" spans="3:10" ht="15" hidden="1" x14ac:dyDescent="0.25">
      <c r="C1292" s="3"/>
      <c r="D1292" s="3"/>
      <c r="E1292" s="3"/>
      <c r="F1292" s="3"/>
      <c r="G1292" s="3"/>
      <c r="H1292" s="3"/>
      <c r="I1292" s="3"/>
      <c r="J1292" s="3"/>
    </row>
    <row r="1293" spans="3:10" ht="15" hidden="1" x14ac:dyDescent="0.25">
      <c r="C1293" s="3"/>
      <c r="D1293" s="3"/>
      <c r="E1293" s="3"/>
      <c r="F1293" s="3"/>
      <c r="G1293" s="3"/>
      <c r="H1293" s="3"/>
      <c r="I1293" s="3"/>
      <c r="J1293" s="3"/>
    </row>
    <row r="1294" spans="3:10" ht="15" hidden="1" x14ac:dyDescent="0.25">
      <c r="C1294" s="3"/>
      <c r="D1294" s="3"/>
      <c r="E1294" s="3"/>
      <c r="F1294" s="3"/>
      <c r="G1294" s="3"/>
      <c r="H1294" s="3"/>
      <c r="I1294" s="3"/>
      <c r="J1294" s="3"/>
    </row>
    <row r="1295" spans="3:10" ht="15" hidden="1" x14ac:dyDescent="0.25">
      <c r="C1295" s="3"/>
      <c r="D1295" s="3"/>
      <c r="E1295" s="3"/>
      <c r="F1295" s="3"/>
      <c r="G1295" s="3"/>
      <c r="H1295" s="3"/>
      <c r="I1295" s="3"/>
      <c r="J1295" s="3"/>
    </row>
    <row r="1296" spans="3:10" ht="15" hidden="1" x14ac:dyDescent="0.25">
      <c r="C1296" s="3"/>
      <c r="D1296" s="3"/>
      <c r="E1296" s="3"/>
      <c r="F1296" s="3"/>
      <c r="G1296" s="3"/>
      <c r="H1296" s="3"/>
      <c r="I1296" s="3"/>
      <c r="J1296" s="3"/>
    </row>
    <row r="1297" spans="3:10" ht="15" hidden="1" x14ac:dyDescent="0.25">
      <c r="C1297" s="3"/>
      <c r="D1297" s="3"/>
      <c r="E1297" s="3"/>
      <c r="F1297" s="3"/>
      <c r="G1297" s="3"/>
      <c r="H1297" s="3"/>
      <c r="I1297" s="3"/>
      <c r="J1297" s="3"/>
    </row>
    <row r="1298" spans="3:10" ht="15" hidden="1" x14ac:dyDescent="0.25">
      <c r="C1298" s="3"/>
      <c r="D1298" s="3"/>
      <c r="E1298" s="3"/>
      <c r="F1298" s="3"/>
      <c r="G1298" s="3"/>
      <c r="H1298" s="3"/>
      <c r="I1298" s="3"/>
      <c r="J1298" s="3"/>
    </row>
    <row r="1299" spans="3:10" ht="15" hidden="1" x14ac:dyDescent="0.25">
      <c r="C1299" s="3"/>
      <c r="D1299" s="3"/>
      <c r="E1299" s="3"/>
      <c r="F1299" s="3"/>
      <c r="G1299" s="3"/>
      <c r="H1299" s="3"/>
      <c r="I1299" s="3"/>
      <c r="J1299" s="3"/>
    </row>
    <row r="1300" spans="3:10" ht="15" hidden="1" x14ac:dyDescent="0.25">
      <c r="C1300" s="3"/>
      <c r="D1300" s="3"/>
      <c r="E1300" s="3"/>
      <c r="F1300" s="3"/>
      <c r="G1300" s="3"/>
      <c r="H1300" s="3"/>
      <c r="I1300" s="3"/>
      <c r="J1300" s="3"/>
    </row>
    <row r="1301" spans="3:10" ht="15" hidden="1" x14ac:dyDescent="0.25">
      <c r="C1301" s="3"/>
      <c r="D1301" s="3"/>
      <c r="E1301" s="3"/>
      <c r="F1301" s="3"/>
      <c r="G1301" s="3"/>
      <c r="H1301" s="3"/>
      <c r="I1301" s="3"/>
      <c r="J1301" s="3"/>
    </row>
    <row r="1302" spans="3:10" ht="15" hidden="1" x14ac:dyDescent="0.25">
      <c r="C1302" s="3"/>
      <c r="D1302" s="3"/>
      <c r="E1302" s="3"/>
      <c r="F1302" s="3"/>
      <c r="G1302" s="3"/>
      <c r="H1302" s="3"/>
      <c r="I1302" s="3"/>
      <c r="J1302" s="3"/>
    </row>
    <row r="1303" spans="3:10" ht="15" hidden="1" x14ac:dyDescent="0.25">
      <c r="C1303" s="3"/>
      <c r="D1303" s="3"/>
      <c r="E1303" s="3"/>
      <c r="F1303" s="3"/>
      <c r="G1303" s="3"/>
      <c r="H1303" s="3"/>
      <c r="I1303" s="3"/>
      <c r="J1303" s="3"/>
    </row>
    <row r="1304" spans="3:10" ht="15" hidden="1" x14ac:dyDescent="0.25">
      <c r="C1304" s="3"/>
      <c r="D1304" s="3"/>
      <c r="E1304" s="3"/>
      <c r="F1304" s="3"/>
      <c r="G1304" s="3"/>
      <c r="H1304" s="3"/>
      <c r="I1304" s="3"/>
      <c r="J1304" s="3"/>
    </row>
    <row r="1305" spans="3:10" ht="15" hidden="1" x14ac:dyDescent="0.25">
      <c r="C1305" s="3"/>
      <c r="D1305" s="3"/>
      <c r="E1305" s="3"/>
      <c r="F1305" s="3"/>
      <c r="G1305" s="3"/>
      <c r="H1305" s="3"/>
      <c r="I1305" s="3"/>
      <c r="J1305" s="3"/>
    </row>
    <row r="1306" spans="3:10" ht="15" hidden="1" x14ac:dyDescent="0.25">
      <c r="C1306" s="3"/>
      <c r="D1306" s="3"/>
      <c r="E1306" s="3"/>
      <c r="F1306" s="3"/>
      <c r="G1306" s="3"/>
      <c r="H1306" s="3"/>
      <c r="I1306" s="3"/>
      <c r="J1306" s="3"/>
    </row>
    <row r="1307" spans="3:10" ht="15" hidden="1" x14ac:dyDescent="0.25">
      <c r="C1307" s="3"/>
      <c r="D1307" s="3"/>
      <c r="E1307" s="3"/>
      <c r="F1307" s="3"/>
      <c r="G1307" s="3"/>
      <c r="H1307" s="3"/>
      <c r="I1307" s="3"/>
      <c r="J1307" s="3"/>
    </row>
    <row r="1308" spans="3:10" ht="15" hidden="1" x14ac:dyDescent="0.25">
      <c r="C1308" s="3"/>
      <c r="D1308" s="3"/>
      <c r="E1308" s="3"/>
      <c r="F1308" s="3"/>
      <c r="G1308" s="3"/>
      <c r="H1308" s="3"/>
      <c r="I1308" s="3"/>
      <c r="J1308" s="3"/>
    </row>
    <row r="1309" spans="3:10" ht="15" hidden="1" x14ac:dyDescent="0.25">
      <c r="C1309" s="3"/>
      <c r="D1309" s="3"/>
      <c r="E1309" s="3"/>
      <c r="F1309" s="3"/>
      <c r="G1309" s="3"/>
      <c r="H1309" s="3"/>
      <c r="I1309" s="3"/>
      <c r="J1309" s="3"/>
    </row>
    <row r="1310" spans="3:10" ht="15" hidden="1" x14ac:dyDescent="0.25">
      <c r="C1310" s="3"/>
      <c r="D1310" s="3"/>
      <c r="E1310" s="3"/>
      <c r="F1310" s="3"/>
      <c r="G1310" s="3"/>
      <c r="H1310" s="3"/>
      <c r="I1310" s="3"/>
      <c r="J1310" s="3"/>
    </row>
    <row r="1311" spans="3:10" ht="15" hidden="1" x14ac:dyDescent="0.25">
      <c r="C1311" s="3"/>
      <c r="D1311" s="3"/>
      <c r="E1311" s="3"/>
      <c r="F1311" s="3"/>
      <c r="G1311" s="3"/>
      <c r="H1311" s="3"/>
      <c r="I1311" s="3"/>
      <c r="J1311" s="3"/>
    </row>
    <row r="1312" spans="3:10" ht="15" hidden="1" x14ac:dyDescent="0.25">
      <c r="C1312" s="3"/>
      <c r="D1312" s="3"/>
      <c r="E1312" s="3"/>
      <c r="F1312" s="3"/>
      <c r="G1312" s="3"/>
      <c r="H1312" s="3"/>
      <c r="I1312" s="3"/>
      <c r="J1312" s="3"/>
    </row>
    <row r="1313" spans="3:10" ht="15" hidden="1" x14ac:dyDescent="0.25">
      <c r="C1313" s="3"/>
      <c r="D1313" s="3"/>
      <c r="E1313" s="3"/>
      <c r="F1313" s="3"/>
      <c r="G1313" s="3"/>
      <c r="H1313" s="3"/>
      <c r="I1313" s="3"/>
      <c r="J1313" s="3"/>
    </row>
    <row r="1314" spans="3:10" ht="15" hidden="1" x14ac:dyDescent="0.25">
      <c r="C1314" s="3"/>
      <c r="D1314" s="3"/>
      <c r="E1314" s="3"/>
      <c r="F1314" s="3"/>
      <c r="G1314" s="3"/>
      <c r="H1314" s="3"/>
      <c r="I1314" s="3"/>
      <c r="J1314" s="3"/>
    </row>
    <row r="1315" spans="3:10" ht="15" hidden="1" x14ac:dyDescent="0.25">
      <c r="C1315" s="3"/>
      <c r="D1315" s="3"/>
      <c r="E1315" s="3"/>
      <c r="F1315" s="3"/>
      <c r="G1315" s="3"/>
      <c r="H1315" s="3"/>
      <c r="I1315" s="3"/>
      <c r="J1315" s="3"/>
    </row>
    <row r="1316" spans="3:10" ht="15" hidden="1" x14ac:dyDescent="0.25">
      <c r="C1316" s="3"/>
      <c r="D1316" s="3"/>
      <c r="E1316" s="3"/>
      <c r="F1316" s="3"/>
      <c r="G1316" s="3"/>
      <c r="H1316" s="3"/>
      <c r="I1316" s="3"/>
      <c r="J1316" s="3"/>
    </row>
    <row r="1317" spans="3:10" ht="15" hidden="1" x14ac:dyDescent="0.25">
      <c r="C1317" s="3"/>
      <c r="D1317" s="3"/>
      <c r="E1317" s="3"/>
      <c r="F1317" s="3"/>
      <c r="G1317" s="3"/>
      <c r="H1317" s="3"/>
      <c r="I1317" s="3"/>
      <c r="J1317" s="3"/>
    </row>
    <row r="1318" spans="3:10" ht="15" hidden="1" x14ac:dyDescent="0.25">
      <c r="C1318" s="3"/>
      <c r="D1318" s="3"/>
      <c r="E1318" s="3"/>
      <c r="F1318" s="3"/>
      <c r="G1318" s="3"/>
      <c r="H1318" s="3"/>
      <c r="I1318" s="3"/>
      <c r="J1318" s="3"/>
    </row>
    <row r="1319" spans="3:10" ht="15" hidden="1" x14ac:dyDescent="0.25">
      <c r="C1319" s="3"/>
      <c r="D1319" s="3"/>
      <c r="E1319" s="3"/>
      <c r="F1319" s="3"/>
      <c r="G1319" s="3"/>
      <c r="H1319" s="3"/>
      <c r="I1319" s="3"/>
      <c r="J1319" s="3"/>
    </row>
    <row r="1320" spans="3:10" ht="15" hidden="1" x14ac:dyDescent="0.25">
      <c r="C1320" s="3"/>
      <c r="D1320" s="3"/>
      <c r="E1320" s="3"/>
      <c r="F1320" s="3"/>
      <c r="G1320" s="3"/>
      <c r="H1320" s="3"/>
      <c r="I1320" s="3"/>
      <c r="J1320" s="3"/>
    </row>
    <row r="1321" spans="3:10" ht="15" hidden="1" x14ac:dyDescent="0.25">
      <c r="C1321" s="3"/>
      <c r="D1321" s="3"/>
      <c r="E1321" s="3"/>
      <c r="F1321" s="3"/>
      <c r="G1321" s="3"/>
      <c r="H1321" s="3"/>
      <c r="I1321" s="3"/>
      <c r="J1321" s="3"/>
    </row>
    <row r="1322" spans="3:10" ht="15" hidden="1" x14ac:dyDescent="0.25">
      <c r="C1322" s="3"/>
      <c r="D1322" s="3"/>
      <c r="E1322" s="3"/>
      <c r="F1322" s="3"/>
      <c r="G1322" s="3"/>
      <c r="H1322" s="3"/>
      <c r="I1322" s="3"/>
      <c r="J1322" s="3"/>
    </row>
    <row r="1323" spans="3:10" ht="15" hidden="1" x14ac:dyDescent="0.25">
      <c r="C1323" s="3"/>
      <c r="D1323" s="3"/>
      <c r="E1323" s="3"/>
      <c r="F1323" s="3"/>
      <c r="G1323" s="3"/>
      <c r="H1323" s="3"/>
      <c r="I1323" s="3"/>
      <c r="J1323" s="3"/>
    </row>
    <row r="1324" spans="3:10" ht="15" hidden="1" x14ac:dyDescent="0.25">
      <c r="C1324" s="3"/>
      <c r="D1324" s="3"/>
      <c r="E1324" s="3"/>
      <c r="F1324" s="3"/>
      <c r="G1324" s="3"/>
      <c r="H1324" s="3"/>
      <c r="I1324" s="3"/>
      <c r="J1324" s="3"/>
    </row>
    <row r="1325" spans="3:10" ht="15" hidden="1" x14ac:dyDescent="0.25">
      <c r="C1325" s="3"/>
      <c r="D1325" s="3"/>
      <c r="E1325" s="3"/>
      <c r="F1325" s="3"/>
      <c r="G1325" s="3"/>
      <c r="H1325" s="3"/>
      <c r="I1325" s="3"/>
      <c r="J1325" s="3"/>
    </row>
    <row r="1326" spans="3:10" ht="15" hidden="1" x14ac:dyDescent="0.25">
      <c r="C1326" s="3"/>
      <c r="D1326" s="3"/>
      <c r="E1326" s="3"/>
      <c r="F1326" s="3"/>
      <c r="G1326" s="3"/>
      <c r="H1326" s="3"/>
      <c r="I1326" s="3"/>
      <c r="J1326" s="3"/>
    </row>
    <row r="1327" spans="3:10" ht="15" hidden="1" x14ac:dyDescent="0.25">
      <c r="C1327" s="3"/>
      <c r="D1327" s="3"/>
      <c r="E1327" s="3"/>
      <c r="F1327" s="3"/>
      <c r="G1327" s="3"/>
      <c r="H1327" s="3"/>
      <c r="I1327" s="3"/>
      <c r="J1327" s="3"/>
    </row>
    <row r="1328" spans="3:10" ht="15" hidden="1" x14ac:dyDescent="0.25">
      <c r="C1328" s="3"/>
      <c r="D1328" s="3"/>
      <c r="E1328" s="3"/>
      <c r="F1328" s="3"/>
      <c r="G1328" s="3"/>
      <c r="H1328" s="3"/>
      <c r="I1328" s="3"/>
      <c r="J1328" s="3"/>
    </row>
    <row r="1329" spans="3:10" ht="15" hidden="1" x14ac:dyDescent="0.25">
      <c r="C1329" s="3"/>
      <c r="D1329" s="3"/>
      <c r="E1329" s="3"/>
      <c r="F1329" s="3"/>
      <c r="G1329" s="3"/>
      <c r="H1329" s="3"/>
      <c r="I1329" s="3"/>
      <c r="J1329" s="3"/>
    </row>
    <row r="1330" spans="3:10" ht="15" hidden="1" x14ac:dyDescent="0.25">
      <c r="C1330" s="3"/>
      <c r="D1330" s="3"/>
      <c r="E1330" s="3"/>
      <c r="F1330" s="3"/>
      <c r="G1330" s="3"/>
      <c r="H1330" s="3"/>
      <c r="I1330" s="3"/>
      <c r="J1330" s="3"/>
    </row>
    <row r="1331" spans="3:10" ht="15" hidden="1" x14ac:dyDescent="0.25">
      <c r="C1331" s="3"/>
      <c r="D1331" s="3"/>
      <c r="E1331" s="3"/>
      <c r="F1331" s="3"/>
      <c r="G1331" s="3"/>
      <c r="H1331" s="3"/>
      <c r="I1331" s="3"/>
      <c r="J1331" s="3"/>
    </row>
    <row r="1332" spans="3:10" ht="15" hidden="1" x14ac:dyDescent="0.25">
      <c r="C1332" s="3"/>
      <c r="D1332" s="3"/>
      <c r="E1332" s="3"/>
      <c r="F1332" s="3"/>
      <c r="G1332" s="3"/>
      <c r="H1332" s="3"/>
      <c r="I1332" s="3"/>
      <c r="J1332" s="3"/>
    </row>
    <row r="1333" spans="3:10" ht="15" hidden="1" x14ac:dyDescent="0.25">
      <c r="C1333" s="3"/>
      <c r="D1333" s="3"/>
      <c r="E1333" s="3"/>
      <c r="F1333" s="3"/>
      <c r="G1333" s="3"/>
      <c r="H1333" s="3"/>
      <c r="I1333" s="3"/>
      <c r="J1333" s="3"/>
    </row>
    <row r="1334" spans="3:10" ht="15" hidden="1" x14ac:dyDescent="0.25">
      <c r="C1334" s="3"/>
      <c r="D1334" s="3"/>
      <c r="E1334" s="3"/>
      <c r="F1334" s="3"/>
      <c r="G1334" s="3"/>
      <c r="H1334" s="3"/>
      <c r="I1334" s="3"/>
      <c r="J1334" s="3"/>
    </row>
    <row r="1335" spans="3:10" ht="15" hidden="1" x14ac:dyDescent="0.25">
      <c r="C1335" s="3"/>
      <c r="D1335" s="3"/>
      <c r="E1335" s="3"/>
      <c r="F1335" s="3"/>
      <c r="G1335" s="3"/>
      <c r="H1335" s="3"/>
      <c r="I1335" s="3"/>
      <c r="J1335" s="3"/>
    </row>
    <row r="1336" spans="3:10" ht="15" hidden="1" x14ac:dyDescent="0.25">
      <c r="C1336" s="3"/>
      <c r="D1336" s="3"/>
      <c r="E1336" s="3"/>
      <c r="F1336" s="3"/>
      <c r="G1336" s="3"/>
      <c r="H1336" s="3"/>
      <c r="I1336" s="3"/>
      <c r="J1336" s="3"/>
    </row>
    <row r="1337" spans="3:10" ht="15" hidden="1" x14ac:dyDescent="0.25">
      <c r="C1337" s="3"/>
      <c r="D1337" s="3"/>
      <c r="E1337" s="3"/>
      <c r="F1337" s="3"/>
      <c r="G1337" s="3"/>
      <c r="H1337" s="3"/>
      <c r="I1337" s="3"/>
      <c r="J1337" s="3"/>
    </row>
    <row r="1338" spans="3:10" ht="15" hidden="1" x14ac:dyDescent="0.25">
      <c r="C1338" s="3"/>
      <c r="D1338" s="3"/>
      <c r="E1338" s="3"/>
      <c r="F1338" s="3"/>
      <c r="G1338" s="3"/>
      <c r="H1338" s="3"/>
      <c r="I1338" s="3"/>
      <c r="J1338" s="3"/>
    </row>
    <row r="1339" spans="3:10" ht="15" hidden="1" x14ac:dyDescent="0.25">
      <c r="C1339" s="3"/>
      <c r="D1339" s="3"/>
      <c r="E1339" s="3"/>
      <c r="F1339" s="3"/>
      <c r="G1339" s="3"/>
      <c r="H1339" s="3"/>
      <c r="I1339" s="3"/>
      <c r="J1339" s="3"/>
    </row>
    <row r="1340" spans="3:10" ht="15" hidden="1" x14ac:dyDescent="0.25">
      <c r="C1340" s="3"/>
      <c r="D1340" s="3"/>
      <c r="E1340" s="3"/>
      <c r="F1340" s="3"/>
      <c r="G1340" s="3"/>
      <c r="H1340" s="3"/>
      <c r="I1340" s="3"/>
      <c r="J1340" s="3"/>
    </row>
    <row r="1341" spans="3:10" ht="15" hidden="1" x14ac:dyDescent="0.25">
      <c r="C1341" s="3"/>
      <c r="D1341" s="3"/>
      <c r="E1341" s="3"/>
      <c r="F1341" s="3"/>
      <c r="G1341" s="3"/>
      <c r="H1341" s="3"/>
      <c r="I1341" s="3"/>
      <c r="J1341" s="3"/>
    </row>
    <row r="1342" spans="3:10" ht="15" hidden="1" x14ac:dyDescent="0.25">
      <c r="C1342" s="3"/>
      <c r="D1342" s="3"/>
      <c r="E1342" s="3"/>
      <c r="F1342" s="3"/>
      <c r="G1342" s="3"/>
      <c r="H1342" s="3"/>
      <c r="I1342" s="3"/>
      <c r="J1342" s="3"/>
    </row>
    <row r="1343" spans="3:10" ht="15" hidden="1" x14ac:dyDescent="0.25">
      <c r="C1343" s="3"/>
      <c r="D1343" s="3"/>
      <c r="E1343" s="3"/>
      <c r="F1343" s="3"/>
      <c r="G1343" s="3"/>
      <c r="H1343" s="3"/>
      <c r="I1343" s="3"/>
      <c r="J1343" s="3"/>
    </row>
    <row r="1344" spans="3:10" ht="15" hidden="1" x14ac:dyDescent="0.25">
      <c r="C1344" s="3"/>
      <c r="D1344" s="3"/>
      <c r="E1344" s="3"/>
      <c r="F1344" s="3"/>
      <c r="G1344" s="3"/>
      <c r="H1344" s="3"/>
      <c r="I1344" s="3"/>
      <c r="J1344" s="3"/>
    </row>
    <row r="1345" spans="3:10" ht="15" hidden="1" x14ac:dyDescent="0.25">
      <c r="C1345" s="3"/>
      <c r="D1345" s="3"/>
      <c r="E1345" s="3"/>
      <c r="F1345" s="3"/>
      <c r="G1345" s="3"/>
      <c r="H1345" s="3"/>
      <c r="I1345" s="3"/>
      <c r="J1345" s="3"/>
    </row>
    <row r="1346" spans="3:10" ht="15" hidden="1" x14ac:dyDescent="0.25">
      <c r="C1346" s="3"/>
      <c r="D1346" s="3"/>
      <c r="E1346" s="3"/>
      <c r="F1346" s="3"/>
      <c r="G1346" s="3"/>
      <c r="H1346" s="3"/>
      <c r="I1346" s="3"/>
      <c r="J1346" s="3"/>
    </row>
    <row r="1347" spans="3:10" ht="15" hidden="1" x14ac:dyDescent="0.25">
      <c r="C1347" s="3"/>
      <c r="D1347" s="3"/>
      <c r="E1347" s="3"/>
      <c r="F1347" s="3"/>
      <c r="G1347" s="3"/>
      <c r="H1347" s="3"/>
      <c r="I1347" s="3"/>
      <c r="J1347" s="3"/>
    </row>
    <row r="1348" spans="3:10" ht="15" hidden="1" x14ac:dyDescent="0.25">
      <c r="C1348" s="3"/>
      <c r="D1348" s="3"/>
      <c r="E1348" s="3"/>
      <c r="F1348" s="3"/>
      <c r="G1348" s="3"/>
      <c r="H1348" s="3"/>
      <c r="I1348" s="3"/>
      <c r="J1348" s="3"/>
    </row>
    <row r="1349" spans="3:10" ht="15" hidden="1" x14ac:dyDescent="0.25">
      <c r="C1349" s="3"/>
      <c r="D1349" s="3"/>
      <c r="E1349" s="3"/>
      <c r="F1349" s="3"/>
      <c r="G1349" s="3"/>
      <c r="H1349" s="3"/>
      <c r="I1349" s="3"/>
      <c r="J1349" s="3"/>
    </row>
    <row r="1350" spans="3:10" ht="15" hidden="1" x14ac:dyDescent="0.25">
      <c r="C1350" s="3"/>
      <c r="D1350" s="3"/>
      <c r="E1350" s="3"/>
      <c r="F1350" s="3"/>
      <c r="G1350" s="3"/>
      <c r="H1350" s="3"/>
      <c r="I1350" s="3"/>
      <c r="J1350" s="3"/>
    </row>
    <row r="1351" spans="3:10" ht="15" hidden="1" x14ac:dyDescent="0.25">
      <c r="C1351" s="3"/>
      <c r="D1351" s="3"/>
      <c r="E1351" s="3"/>
      <c r="F1351" s="3"/>
      <c r="G1351" s="3"/>
      <c r="H1351" s="3"/>
      <c r="I1351" s="3"/>
      <c r="J1351" s="3"/>
    </row>
    <row r="1352" spans="3:10" ht="15" hidden="1" x14ac:dyDescent="0.25">
      <c r="C1352" s="3"/>
      <c r="D1352" s="3"/>
      <c r="E1352" s="3"/>
      <c r="F1352" s="3"/>
      <c r="G1352" s="3"/>
      <c r="H1352" s="3"/>
      <c r="I1352" s="3"/>
      <c r="J1352" s="3"/>
    </row>
    <row r="1353" spans="3:10" ht="15" hidden="1" x14ac:dyDescent="0.25">
      <c r="C1353" s="3"/>
      <c r="D1353" s="3"/>
      <c r="E1353" s="3"/>
      <c r="F1353" s="3"/>
      <c r="G1353" s="3"/>
      <c r="H1353" s="3"/>
      <c r="I1353" s="3"/>
      <c r="J1353" s="3"/>
    </row>
    <row r="1354" spans="3:10" ht="15" hidden="1" x14ac:dyDescent="0.25">
      <c r="C1354" s="3"/>
      <c r="D1354" s="3"/>
      <c r="E1354" s="3"/>
      <c r="F1354" s="3"/>
      <c r="G1354" s="3"/>
      <c r="H1354" s="3"/>
      <c r="I1354" s="3"/>
      <c r="J1354" s="3"/>
    </row>
    <row r="1355" spans="3:10" ht="15" hidden="1" x14ac:dyDescent="0.25">
      <c r="C1355" s="3"/>
      <c r="D1355" s="3"/>
      <c r="E1355" s="3"/>
      <c r="F1355" s="3"/>
      <c r="G1355" s="3"/>
      <c r="H1355" s="3"/>
      <c r="I1355" s="3"/>
      <c r="J1355" s="3"/>
    </row>
    <row r="1356" spans="3:10" ht="15" hidden="1" x14ac:dyDescent="0.25">
      <c r="C1356" s="3"/>
      <c r="D1356" s="3"/>
      <c r="E1356" s="3"/>
      <c r="F1356" s="3"/>
      <c r="G1356" s="3"/>
      <c r="H1356" s="3"/>
      <c r="I1356" s="3"/>
      <c r="J1356" s="3"/>
    </row>
    <row r="1357" spans="3:10" ht="15" hidden="1" x14ac:dyDescent="0.25">
      <c r="C1357" s="3"/>
      <c r="D1357" s="3"/>
      <c r="E1357" s="3"/>
      <c r="F1357" s="3"/>
      <c r="G1357" s="3"/>
      <c r="H1357" s="3"/>
      <c r="I1357" s="3"/>
      <c r="J1357" s="3"/>
    </row>
    <row r="1358" spans="3:10" ht="15" hidden="1" x14ac:dyDescent="0.25">
      <c r="C1358" s="3"/>
      <c r="D1358" s="3"/>
      <c r="E1358" s="3"/>
      <c r="F1358" s="3"/>
      <c r="G1358" s="3"/>
      <c r="H1358" s="3"/>
      <c r="I1358" s="3"/>
      <c r="J1358" s="3"/>
    </row>
    <row r="1359" spans="3:10" ht="15" hidden="1" x14ac:dyDescent="0.25">
      <c r="C1359" s="3"/>
      <c r="D1359" s="3"/>
      <c r="E1359" s="3"/>
      <c r="F1359" s="3"/>
      <c r="G1359" s="3"/>
      <c r="H1359" s="3"/>
      <c r="I1359" s="3"/>
      <c r="J1359" s="3"/>
    </row>
    <row r="1360" spans="3:10" ht="15" hidden="1" x14ac:dyDescent="0.25">
      <c r="C1360" s="3"/>
      <c r="D1360" s="3"/>
      <c r="E1360" s="3"/>
      <c r="F1360" s="3"/>
      <c r="G1360" s="3"/>
      <c r="H1360" s="3"/>
      <c r="I1360" s="3"/>
      <c r="J1360" s="3"/>
    </row>
    <row r="1361" spans="3:10" ht="15" hidden="1" x14ac:dyDescent="0.25">
      <c r="C1361" s="3"/>
      <c r="D1361" s="3"/>
      <c r="E1361" s="3"/>
      <c r="F1361" s="3"/>
      <c r="G1361" s="3"/>
      <c r="H1361" s="3"/>
      <c r="I1361" s="3"/>
      <c r="J1361" s="3"/>
    </row>
    <row r="1362" spans="3:10" ht="15" hidden="1" x14ac:dyDescent="0.25">
      <c r="C1362" s="3"/>
      <c r="D1362" s="3"/>
      <c r="E1362" s="3"/>
      <c r="F1362" s="3"/>
      <c r="G1362" s="3"/>
      <c r="H1362" s="3"/>
      <c r="I1362" s="3"/>
      <c r="J1362" s="3"/>
    </row>
    <row r="1363" spans="3:10" ht="15" hidden="1" x14ac:dyDescent="0.25">
      <c r="C1363" s="3"/>
      <c r="D1363" s="3"/>
      <c r="E1363" s="3"/>
      <c r="F1363" s="3"/>
      <c r="G1363" s="3"/>
      <c r="H1363" s="3"/>
      <c r="I1363" s="3"/>
      <c r="J1363" s="3"/>
    </row>
    <row r="1364" spans="3:10" ht="15" hidden="1" x14ac:dyDescent="0.25">
      <c r="C1364" s="3"/>
      <c r="D1364" s="3"/>
      <c r="E1364" s="3"/>
      <c r="F1364" s="3"/>
      <c r="G1364" s="3"/>
      <c r="H1364" s="3"/>
      <c r="I1364" s="3"/>
      <c r="J1364" s="3"/>
    </row>
    <row r="1365" spans="3:10" ht="15" hidden="1" x14ac:dyDescent="0.25">
      <c r="C1365" s="3"/>
      <c r="D1365" s="3"/>
      <c r="E1365" s="3"/>
      <c r="F1365" s="3"/>
      <c r="G1365" s="3"/>
      <c r="H1365" s="3"/>
      <c r="I1365" s="3"/>
      <c r="J1365" s="3"/>
    </row>
    <row r="1366" spans="3:10" ht="15" hidden="1" x14ac:dyDescent="0.25">
      <c r="C1366" s="3"/>
      <c r="D1366" s="3"/>
      <c r="E1366" s="3"/>
      <c r="F1366" s="3"/>
      <c r="G1366" s="3"/>
      <c r="H1366" s="3"/>
      <c r="I1366" s="3"/>
      <c r="J1366" s="3"/>
    </row>
    <row r="1367" spans="3:10" ht="15" hidden="1" x14ac:dyDescent="0.25">
      <c r="C1367" s="3"/>
      <c r="D1367" s="3"/>
      <c r="E1367" s="3"/>
      <c r="F1367" s="3"/>
      <c r="G1367" s="3"/>
      <c r="H1367" s="3"/>
      <c r="I1367" s="3"/>
      <c r="J1367" s="3"/>
    </row>
    <row r="1368" spans="3:10" ht="15" hidden="1" x14ac:dyDescent="0.25">
      <c r="C1368" s="3"/>
      <c r="D1368" s="3"/>
      <c r="E1368" s="3"/>
      <c r="F1368" s="3"/>
      <c r="G1368" s="3"/>
      <c r="H1368" s="3"/>
      <c r="I1368" s="3"/>
      <c r="J1368" s="3"/>
    </row>
    <row r="1369" spans="3:10" ht="15" hidden="1" x14ac:dyDescent="0.25">
      <c r="C1369" s="3"/>
      <c r="D1369" s="3"/>
      <c r="E1369" s="3"/>
      <c r="F1369" s="3"/>
      <c r="G1369" s="3"/>
      <c r="H1369" s="3"/>
      <c r="I1369" s="3"/>
      <c r="J1369" s="3"/>
    </row>
    <row r="1370" spans="3:10" ht="15" hidden="1" x14ac:dyDescent="0.25">
      <c r="C1370" s="3"/>
      <c r="D1370" s="3"/>
      <c r="E1370" s="3"/>
      <c r="F1370" s="3"/>
      <c r="G1370" s="3"/>
      <c r="H1370" s="3"/>
      <c r="I1370" s="3"/>
      <c r="J1370" s="3"/>
    </row>
    <row r="1371" spans="3:10" ht="15" hidden="1" x14ac:dyDescent="0.25">
      <c r="C1371" s="3"/>
      <c r="D1371" s="3"/>
      <c r="E1371" s="3"/>
      <c r="F1371" s="3"/>
      <c r="G1371" s="3"/>
      <c r="H1371" s="3"/>
      <c r="I1371" s="3"/>
      <c r="J1371" s="3"/>
    </row>
    <row r="1372" spans="3:10" ht="15" hidden="1" x14ac:dyDescent="0.25">
      <c r="C1372" s="3"/>
      <c r="D1372" s="3"/>
      <c r="E1372" s="3"/>
      <c r="F1372" s="3"/>
      <c r="G1372" s="3"/>
      <c r="H1372" s="3"/>
      <c r="I1372" s="3"/>
      <c r="J1372" s="3"/>
    </row>
    <row r="1373" spans="3:10" ht="15" hidden="1" x14ac:dyDescent="0.25">
      <c r="C1373" s="3"/>
      <c r="D1373" s="3"/>
      <c r="E1373" s="3"/>
      <c r="F1373" s="3"/>
      <c r="G1373" s="3"/>
      <c r="H1373" s="3"/>
      <c r="I1373" s="3"/>
      <c r="J1373" s="3"/>
    </row>
    <row r="1374" spans="3:10" ht="15" hidden="1" x14ac:dyDescent="0.25">
      <c r="C1374" s="3"/>
      <c r="D1374" s="3"/>
      <c r="E1374" s="3"/>
      <c r="F1374" s="3"/>
      <c r="G1374" s="3"/>
      <c r="H1374" s="3"/>
      <c r="I1374" s="3"/>
      <c r="J1374" s="3"/>
    </row>
    <row r="1375" spans="3:10" ht="15" hidden="1" x14ac:dyDescent="0.25">
      <c r="C1375" s="3"/>
      <c r="D1375" s="3"/>
      <c r="E1375" s="3"/>
      <c r="F1375" s="3"/>
      <c r="G1375" s="3"/>
      <c r="H1375" s="3"/>
      <c r="I1375" s="3"/>
      <c r="J1375" s="3"/>
    </row>
    <row r="1376" spans="3:10" ht="15" hidden="1" x14ac:dyDescent="0.25">
      <c r="C1376" s="3"/>
      <c r="D1376" s="3"/>
      <c r="E1376" s="3"/>
      <c r="F1376" s="3"/>
      <c r="G1376" s="3"/>
      <c r="H1376" s="3"/>
      <c r="I1376" s="3"/>
      <c r="J1376" s="3"/>
    </row>
    <row r="1377" spans="3:10" ht="15" hidden="1" x14ac:dyDescent="0.25">
      <c r="C1377" s="3"/>
      <c r="D1377" s="3"/>
      <c r="E1377" s="3"/>
      <c r="F1377" s="3"/>
      <c r="G1377" s="3"/>
      <c r="H1377" s="3"/>
      <c r="I1377" s="3"/>
      <c r="J1377" s="3"/>
    </row>
    <row r="1378" spans="3:10" ht="15" hidden="1" x14ac:dyDescent="0.25">
      <c r="C1378" s="3"/>
      <c r="D1378" s="3"/>
      <c r="E1378" s="3"/>
      <c r="F1378" s="3"/>
      <c r="G1378" s="3"/>
      <c r="H1378" s="3"/>
      <c r="I1378" s="3"/>
      <c r="J1378" s="3"/>
    </row>
    <row r="1379" spans="3:10" ht="15" hidden="1" x14ac:dyDescent="0.25">
      <c r="C1379" s="3"/>
      <c r="D1379" s="3"/>
      <c r="E1379" s="3"/>
      <c r="F1379" s="3"/>
      <c r="G1379" s="3"/>
      <c r="H1379" s="3"/>
      <c r="I1379" s="3"/>
      <c r="J1379" s="3"/>
    </row>
    <row r="1380" spans="3:10" ht="15" hidden="1" x14ac:dyDescent="0.25">
      <c r="C1380" s="3"/>
      <c r="D1380" s="3"/>
      <c r="E1380" s="3"/>
      <c r="F1380" s="3"/>
      <c r="G1380" s="3"/>
      <c r="H1380" s="3"/>
      <c r="I1380" s="3"/>
      <c r="J1380" s="3"/>
    </row>
    <row r="1381" spans="3:10" ht="15" hidden="1" x14ac:dyDescent="0.25">
      <c r="C1381" s="3"/>
      <c r="D1381" s="3"/>
      <c r="E1381" s="3"/>
      <c r="F1381" s="3"/>
      <c r="G1381" s="3"/>
      <c r="H1381" s="3"/>
      <c r="I1381" s="3"/>
      <c r="J1381" s="3"/>
    </row>
    <row r="1382" spans="3:10" ht="15" hidden="1" x14ac:dyDescent="0.25">
      <c r="C1382" s="3"/>
      <c r="D1382" s="3"/>
      <c r="E1382" s="3"/>
      <c r="F1382" s="3"/>
      <c r="G1382" s="3"/>
      <c r="H1382" s="3"/>
      <c r="I1382" s="3"/>
      <c r="J1382" s="3"/>
    </row>
    <row r="1383" spans="3:10" ht="15" hidden="1" x14ac:dyDescent="0.25">
      <c r="C1383" s="3"/>
      <c r="D1383" s="3"/>
      <c r="E1383" s="3"/>
      <c r="F1383" s="3"/>
      <c r="G1383" s="3"/>
      <c r="H1383" s="3"/>
      <c r="I1383" s="3"/>
      <c r="J1383" s="3"/>
    </row>
    <row r="1384" spans="3:10" ht="15" hidden="1" x14ac:dyDescent="0.25">
      <c r="C1384" s="3"/>
      <c r="D1384" s="3"/>
      <c r="E1384" s="3"/>
      <c r="F1384" s="3"/>
      <c r="G1384" s="3"/>
      <c r="H1384" s="3"/>
      <c r="I1384" s="3"/>
      <c r="J1384" s="3"/>
    </row>
    <row r="1385" spans="3:10" ht="15" hidden="1" x14ac:dyDescent="0.25">
      <c r="C1385" s="3"/>
      <c r="D1385" s="3"/>
      <c r="E1385" s="3"/>
      <c r="F1385" s="3"/>
      <c r="G1385" s="3"/>
      <c r="H1385" s="3"/>
      <c r="I1385" s="3"/>
      <c r="J1385" s="3"/>
    </row>
    <row r="1386" spans="3:10" ht="15" hidden="1" x14ac:dyDescent="0.25">
      <c r="C1386" s="3"/>
      <c r="D1386" s="3"/>
      <c r="E1386" s="3"/>
      <c r="F1386" s="3"/>
      <c r="G1386" s="3"/>
      <c r="H1386" s="3"/>
      <c r="I1386" s="3"/>
      <c r="J1386" s="3"/>
    </row>
    <row r="1387" spans="3:10" ht="15" hidden="1" x14ac:dyDescent="0.25">
      <c r="C1387" s="3"/>
      <c r="D1387" s="3"/>
      <c r="E1387" s="3"/>
      <c r="F1387" s="3"/>
      <c r="G1387" s="3"/>
      <c r="H1387" s="3"/>
      <c r="I1387" s="3"/>
      <c r="J1387" s="3"/>
    </row>
    <row r="1388" spans="3:10" ht="15" hidden="1" x14ac:dyDescent="0.25">
      <c r="C1388" s="3"/>
      <c r="D1388" s="3"/>
      <c r="E1388" s="3"/>
      <c r="F1388" s="3"/>
      <c r="G1388" s="3"/>
      <c r="H1388" s="3"/>
      <c r="I1388" s="3"/>
      <c r="J1388" s="3"/>
    </row>
    <row r="1389" spans="3:10" ht="15" hidden="1" x14ac:dyDescent="0.25">
      <c r="C1389" s="3"/>
      <c r="D1389" s="3"/>
      <c r="E1389" s="3"/>
      <c r="F1389" s="3"/>
      <c r="G1389" s="3"/>
      <c r="H1389" s="3"/>
      <c r="I1389" s="3"/>
      <c r="J1389" s="3"/>
    </row>
    <row r="1390" spans="3:10" ht="15" hidden="1" x14ac:dyDescent="0.25">
      <c r="C1390" s="3"/>
      <c r="D1390" s="3"/>
      <c r="E1390" s="3"/>
      <c r="F1390" s="3"/>
      <c r="G1390" s="3"/>
      <c r="H1390" s="3"/>
      <c r="I1390" s="3"/>
      <c r="J1390" s="3"/>
    </row>
    <row r="1391" spans="3:10" ht="15" hidden="1" x14ac:dyDescent="0.25">
      <c r="C1391" s="3"/>
      <c r="D1391" s="3"/>
      <c r="E1391" s="3"/>
      <c r="F1391" s="3"/>
      <c r="G1391" s="3"/>
      <c r="H1391" s="3"/>
      <c r="I1391" s="3"/>
      <c r="J1391" s="3"/>
    </row>
    <row r="1392" spans="3:10" ht="15" hidden="1" x14ac:dyDescent="0.25">
      <c r="C1392" s="3"/>
      <c r="D1392" s="3"/>
      <c r="E1392" s="3"/>
      <c r="F1392" s="3"/>
      <c r="G1392" s="3"/>
      <c r="H1392" s="3"/>
      <c r="I1392" s="3"/>
      <c r="J1392" s="3"/>
    </row>
    <row r="1393" spans="3:10" ht="15" hidden="1" x14ac:dyDescent="0.25">
      <c r="C1393" s="3"/>
      <c r="D1393" s="3"/>
      <c r="E1393" s="3"/>
      <c r="F1393" s="3"/>
      <c r="G1393" s="3"/>
      <c r="H1393" s="3"/>
      <c r="I1393" s="3"/>
      <c r="J1393" s="3"/>
    </row>
    <row r="1394" spans="3:10" ht="15" hidden="1" x14ac:dyDescent="0.25">
      <c r="C1394" s="3"/>
      <c r="D1394" s="3"/>
      <c r="E1394" s="3"/>
      <c r="F1394" s="3"/>
      <c r="G1394" s="3"/>
      <c r="H1394" s="3"/>
      <c r="I1394" s="3"/>
      <c r="J1394" s="3"/>
    </row>
    <row r="1395" spans="3:10" ht="15" hidden="1" x14ac:dyDescent="0.25">
      <c r="C1395" s="3"/>
      <c r="D1395" s="3"/>
      <c r="E1395" s="3"/>
      <c r="F1395" s="3"/>
      <c r="G1395" s="3"/>
      <c r="H1395" s="3"/>
      <c r="I1395" s="3"/>
      <c r="J1395" s="3"/>
    </row>
    <row r="1396" spans="3:10" ht="15" hidden="1" x14ac:dyDescent="0.25">
      <c r="C1396" s="3"/>
      <c r="D1396" s="3"/>
      <c r="E1396" s="3"/>
      <c r="F1396" s="3"/>
      <c r="G1396" s="3"/>
      <c r="H1396" s="3"/>
      <c r="I1396" s="3"/>
      <c r="J1396" s="3"/>
    </row>
    <row r="1397" spans="3:10" ht="15" hidden="1" x14ac:dyDescent="0.25">
      <c r="C1397" s="3"/>
      <c r="D1397" s="3"/>
      <c r="E1397" s="3"/>
      <c r="F1397" s="3"/>
      <c r="G1397" s="3"/>
      <c r="H1397" s="3"/>
      <c r="I1397" s="3"/>
      <c r="J1397" s="3"/>
    </row>
    <row r="1398" spans="3:10" ht="15" hidden="1" x14ac:dyDescent="0.25">
      <c r="C1398" s="3"/>
      <c r="D1398" s="3"/>
      <c r="E1398" s="3"/>
      <c r="F1398" s="3"/>
      <c r="G1398" s="3"/>
      <c r="H1398" s="3"/>
      <c r="I1398" s="3"/>
      <c r="J1398" s="3"/>
    </row>
    <row r="1399" spans="3:10" ht="15" hidden="1" x14ac:dyDescent="0.25">
      <c r="C1399" s="3"/>
      <c r="D1399" s="3"/>
      <c r="E1399" s="3"/>
      <c r="F1399" s="3"/>
      <c r="G1399" s="3"/>
      <c r="H1399" s="3"/>
      <c r="I1399" s="3"/>
      <c r="J1399" s="3"/>
    </row>
    <row r="1400" spans="3:10" ht="15" hidden="1" x14ac:dyDescent="0.25">
      <c r="C1400" s="3"/>
      <c r="D1400" s="3"/>
      <c r="E1400" s="3"/>
      <c r="F1400" s="3"/>
      <c r="G1400" s="3"/>
      <c r="H1400" s="3"/>
      <c r="I1400" s="3"/>
      <c r="J1400" s="3"/>
    </row>
    <row r="1401" spans="3:10" ht="15" hidden="1" x14ac:dyDescent="0.25">
      <c r="C1401" s="3"/>
      <c r="D1401" s="3"/>
      <c r="E1401" s="3"/>
      <c r="F1401" s="3"/>
      <c r="G1401" s="3"/>
      <c r="H1401" s="3"/>
      <c r="I1401" s="3"/>
      <c r="J1401" s="3"/>
    </row>
    <row r="1402" spans="3:10" ht="15" hidden="1" x14ac:dyDescent="0.25">
      <c r="C1402" s="3"/>
      <c r="D1402" s="3"/>
      <c r="E1402" s="3"/>
      <c r="F1402" s="3"/>
      <c r="G1402" s="3"/>
      <c r="H1402" s="3"/>
      <c r="I1402" s="3"/>
      <c r="J1402" s="3"/>
    </row>
    <row r="1403" spans="3:10" ht="15" hidden="1" x14ac:dyDescent="0.25">
      <c r="C1403" s="3"/>
      <c r="D1403" s="3"/>
      <c r="E1403" s="3"/>
      <c r="F1403" s="3"/>
      <c r="G1403" s="3"/>
      <c r="H1403" s="3"/>
      <c r="I1403" s="3"/>
      <c r="J1403" s="3"/>
    </row>
    <row r="1404" spans="3:10" ht="15" hidden="1" x14ac:dyDescent="0.25">
      <c r="C1404" s="3"/>
      <c r="D1404" s="3"/>
      <c r="E1404" s="3"/>
      <c r="F1404" s="3"/>
      <c r="G1404" s="3"/>
      <c r="H1404" s="3"/>
      <c r="I1404" s="3"/>
      <c r="J1404" s="3"/>
    </row>
    <row r="1405" spans="3:10" ht="15" hidden="1" x14ac:dyDescent="0.25">
      <c r="C1405" s="3"/>
      <c r="D1405" s="3"/>
      <c r="E1405" s="3"/>
      <c r="F1405" s="3"/>
      <c r="G1405" s="3"/>
      <c r="H1405" s="3"/>
      <c r="I1405" s="3"/>
      <c r="J1405" s="3"/>
    </row>
    <row r="1406" spans="3:10" ht="15" hidden="1" x14ac:dyDescent="0.25">
      <c r="C1406" s="3"/>
      <c r="D1406" s="3"/>
      <c r="E1406" s="3"/>
      <c r="F1406" s="3"/>
      <c r="G1406" s="3"/>
      <c r="H1406" s="3"/>
      <c r="I1406" s="3"/>
      <c r="J1406" s="3"/>
    </row>
    <row r="1407" spans="3:10" ht="15" hidden="1" x14ac:dyDescent="0.25">
      <c r="C1407" s="3"/>
      <c r="D1407" s="3"/>
      <c r="E1407" s="3"/>
      <c r="F1407" s="3"/>
      <c r="G1407" s="3"/>
      <c r="H1407" s="3"/>
      <c r="I1407" s="3"/>
      <c r="J1407" s="3"/>
    </row>
    <row r="1408" spans="3:10" ht="15" hidden="1" x14ac:dyDescent="0.25">
      <c r="C1408" s="3"/>
      <c r="D1408" s="3"/>
      <c r="E1408" s="3"/>
      <c r="F1408" s="3"/>
      <c r="G1408" s="3"/>
      <c r="H1408" s="3"/>
      <c r="I1408" s="3"/>
      <c r="J1408" s="3"/>
    </row>
    <row r="1409" spans="3:10" ht="15" hidden="1" x14ac:dyDescent="0.25">
      <c r="C1409" s="3"/>
      <c r="D1409" s="3"/>
      <c r="E1409" s="3"/>
      <c r="F1409" s="3"/>
      <c r="G1409" s="3"/>
      <c r="H1409" s="3"/>
      <c r="I1409" s="3"/>
      <c r="J1409" s="3"/>
    </row>
    <row r="1410" spans="3:10" ht="15" hidden="1" x14ac:dyDescent="0.25">
      <c r="C1410" s="3"/>
      <c r="D1410" s="3"/>
      <c r="E1410" s="3"/>
      <c r="F1410" s="3"/>
      <c r="G1410" s="3"/>
      <c r="H1410" s="3"/>
      <c r="I1410" s="3"/>
      <c r="J1410" s="3"/>
    </row>
    <row r="1411" spans="3:10" ht="15" hidden="1" x14ac:dyDescent="0.25">
      <c r="C1411" s="3"/>
      <c r="D1411" s="3"/>
      <c r="E1411" s="3"/>
      <c r="F1411" s="3"/>
      <c r="G1411" s="3"/>
      <c r="H1411" s="3"/>
      <c r="I1411" s="3"/>
      <c r="J1411" s="3"/>
    </row>
    <row r="1412" spans="3:10" ht="15" hidden="1" x14ac:dyDescent="0.25">
      <c r="C1412" s="3"/>
      <c r="D1412" s="3"/>
      <c r="E1412" s="3"/>
      <c r="F1412" s="3"/>
      <c r="G1412" s="3"/>
      <c r="H1412" s="3"/>
      <c r="I1412" s="3"/>
      <c r="J1412" s="3"/>
    </row>
    <row r="1413" spans="3:10" ht="15" hidden="1" x14ac:dyDescent="0.25">
      <c r="C1413" s="3"/>
      <c r="D1413" s="3"/>
      <c r="E1413" s="3"/>
      <c r="F1413" s="3"/>
      <c r="G1413" s="3"/>
      <c r="H1413" s="3"/>
      <c r="I1413" s="3"/>
      <c r="J1413" s="3"/>
    </row>
    <row r="1414" spans="3:10" ht="15" hidden="1" x14ac:dyDescent="0.25">
      <c r="C1414" s="3"/>
      <c r="D1414" s="3"/>
      <c r="E1414" s="3"/>
      <c r="F1414" s="3"/>
      <c r="G1414" s="3"/>
      <c r="H1414" s="3"/>
      <c r="I1414" s="3"/>
      <c r="J1414" s="3"/>
    </row>
    <row r="1415" spans="3:10" ht="15" hidden="1" x14ac:dyDescent="0.25">
      <c r="C1415" s="3"/>
      <c r="D1415" s="3"/>
      <c r="E1415" s="3"/>
      <c r="F1415" s="3"/>
      <c r="G1415" s="3"/>
      <c r="H1415" s="3"/>
      <c r="I1415" s="3"/>
      <c r="J1415" s="3"/>
    </row>
    <row r="1416" spans="3:10" ht="15" hidden="1" x14ac:dyDescent="0.25">
      <c r="C1416" s="3"/>
      <c r="D1416" s="3"/>
      <c r="E1416" s="3"/>
      <c r="F1416" s="3"/>
      <c r="G1416" s="3"/>
      <c r="H1416" s="3"/>
      <c r="I1416" s="3"/>
      <c r="J1416" s="3"/>
    </row>
    <row r="1417" spans="3:10" ht="15" hidden="1" x14ac:dyDescent="0.25">
      <c r="C1417" s="3"/>
      <c r="D1417" s="3"/>
      <c r="E1417" s="3"/>
      <c r="F1417" s="3"/>
      <c r="G1417" s="3"/>
      <c r="H1417" s="3"/>
      <c r="I1417" s="3"/>
      <c r="J1417" s="3"/>
    </row>
    <row r="1418" spans="3:10" ht="15" hidden="1" x14ac:dyDescent="0.25">
      <c r="C1418" s="3"/>
      <c r="D1418" s="3"/>
      <c r="E1418" s="3"/>
      <c r="F1418" s="3"/>
      <c r="G1418" s="3"/>
      <c r="H1418" s="3"/>
      <c r="I1418" s="3"/>
      <c r="J1418" s="3"/>
    </row>
    <row r="1419" spans="3:10" ht="15" hidden="1" x14ac:dyDescent="0.25">
      <c r="C1419" s="3"/>
      <c r="D1419" s="3"/>
      <c r="E1419" s="3"/>
      <c r="F1419" s="3"/>
      <c r="G1419" s="3"/>
      <c r="H1419" s="3"/>
      <c r="I1419" s="3"/>
      <c r="J1419" s="3"/>
    </row>
    <row r="1420" spans="3:10" ht="15" hidden="1" x14ac:dyDescent="0.25">
      <c r="C1420" s="3"/>
      <c r="D1420" s="3"/>
      <c r="E1420" s="3"/>
      <c r="F1420" s="3"/>
      <c r="G1420" s="3"/>
      <c r="H1420" s="3"/>
      <c r="I1420" s="3"/>
      <c r="J1420" s="3"/>
    </row>
    <row r="1421" spans="3:10" ht="15" hidden="1" x14ac:dyDescent="0.25">
      <c r="C1421" s="3"/>
      <c r="D1421" s="3"/>
      <c r="E1421" s="3"/>
      <c r="F1421" s="3"/>
      <c r="G1421" s="3"/>
      <c r="H1421" s="3"/>
      <c r="I1421" s="3"/>
      <c r="J1421" s="3"/>
    </row>
    <row r="1422" spans="3:10" ht="15" hidden="1" x14ac:dyDescent="0.25">
      <c r="C1422" s="3"/>
      <c r="D1422" s="3"/>
      <c r="E1422" s="3"/>
      <c r="F1422" s="3"/>
      <c r="G1422" s="3"/>
      <c r="H1422" s="3"/>
      <c r="I1422" s="3"/>
      <c r="J1422" s="3"/>
    </row>
    <row r="1423" spans="3:10" ht="15" hidden="1" x14ac:dyDescent="0.25">
      <c r="C1423" s="3"/>
      <c r="D1423" s="3"/>
      <c r="E1423" s="3"/>
      <c r="F1423" s="3"/>
      <c r="G1423" s="3"/>
      <c r="H1423" s="3"/>
      <c r="I1423" s="3"/>
      <c r="J1423" s="3"/>
    </row>
    <row r="1424" spans="3:10" ht="15" hidden="1" x14ac:dyDescent="0.25">
      <c r="C1424" s="3"/>
      <c r="D1424" s="3"/>
      <c r="E1424" s="3"/>
      <c r="F1424" s="3"/>
      <c r="G1424" s="3"/>
      <c r="H1424" s="3"/>
      <c r="I1424" s="3"/>
      <c r="J1424" s="3"/>
    </row>
    <row r="1425" spans="3:10" ht="15" hidden="1" x14ac:dyDescent="0.25">
      <c r="C1425" s="3"/>
      <c r="D1425" s="3"/>
      <c r="E1425" s="3"/>
      <c r="F1425" s="3"/>
      <c r="G1425" s="3"/>
      <c r="H1425" s="3"/>
      <c r="I1425" s="3"/>
      <c r="J1425" s="3"/>
    </row>
    <row r="1426" spans="3:10" ht="15" hidden="1" x14ac:dyDescent="0.25">
      <c r="C1426" s="3"/>
      <c r="D1426" s="3"/>
      <c r="E1426" s="3"/>
      <c r="F1426" s="3"/>
      <c r="G1426" s="3"/>
      <c r="H1426" s="3"/>
      <c r="I1426" s="3"/>
      <c r="J1426" s="3"/>
    </row>
    <row r="1427" spans="3:10" ht="15" hidden="1" x14ac:dyDescent="0.25">
      <c r="C1427" s="3"/>
      <c r="D1427" s="3"/>
      <c r="E1427" s="3"/>
      <c r="F1427" s="3"/>
      <c r="G1427" s="3"/>
      <c r="H1427" s="3"/>
      <c r="I1427" s="3"/>
      <c r="J1427" s="3"/>
    </row>
    <row r="1428" spans="3:10" ht="15" hidden="1" x14ac:dyDescent="0.25">
      <c r="C1428" s="3"/>
      <c r="D1428" s="3"/>
      <c r="E1428" s="3"/>
      <c r="F1428" s="3"/>
      <c r="G1428" s="3"/>
      <c r="H1428" s="3"/>
      <c r="I1428" s="3"/>
      <c r="J1428" s="3"/>
    </row>
    <row r="1429" spans="3:10" ht="15" hidden="1" x14ac:dyDescent="0.25">
      <c r="C1429" s="3"/>
      <c r="D1429" s="3"/>
      <c r="E1429" s="3"/>
      <c r="F1429" s="3"/>
      <c r="G1429" s="3"/>
      <c r="H1429" s="3"/>
      <c r="I1429" s="3"/>
      <c r="J1429" s="3"/>
    </row>
    <row r="1430" spans="3:10" ht="15" hidden="1" x14ac:dyDescent="0.25">
      <c r="C1430" s="3"/>
      <c r="D1430" s="3"/>
      <c r="E1430" s="3"/>
      <c r="F1430" s="3"/>
      <c r="G1430" s="3"/>
      <c r="H1430" s="3"/>
      <c r="I1430" s="3"/>
      <c r="J1430" s="3"/>
    </row>
    <row r="1431" spans="3:10" ht="15" hidden="1" x14ac:dyDescent="0.25">
      <c r="C1431" s="3"/>
      <c r="D1431" s="3"/>
      <c r="E1431" s="3"/>
      <c r="F1431" s="3"/>
      <c r="G1431" s="3"/>
      <c r="H1431" s="3"/>
      <c r="I1431" s="3"/>
      <c r="J1431" s="3"/>
    </row>
    <row r="1432" spans="3:10" ht="15" hidden="1" x14ac:dyDescent="0.25">
      <c r="C1432" s="3"/>
      <c r="D1432" s="3"/>
      <c r="E1432" s="3"/>
      <c r="F1432" s="3"/>
      <c r="G1432" s="3"/>
      <c r="H1432" s="3"/>
      <c r="I1432" s="3"/>
      <c r="J1432" s="3"/>
    </row>
    <row r="1433" spans="3:10" ht="15" hidden="1" x14ac:dyDescent="0.25">
      <c r="C1433" s="3"/>
      <c r="D1433" s="3"/>
      <c r="E1433" s="3"/>
      <c r="F1433" s="3"/>
      <c r="G1433" s="3"/>
      <c r="H1433" s="3"/>
      <c r="I1433" s="3"/>
      <c r="J1433" s="3"/>
    </row>
    <row r="1434" spans="3:10" ht="15" hidden="1" x14ac:dyDescent="0.25">
      <c r="C1434" s="3"/>
      <c r="D1434" s="3"/>
      <c r="E1434" s="3"/>
      <c r="F1434" s="3"/>
      <c r="G1434" s="3"/>
      <c r="H1434" s="3"/>
      <c r="I1434" s="3"/>
      <c r="J1434" s="3"/>
    </row>
    <row r="1435" spans="3:10" ht="15" hidden="1" x14ac:dyDescent="0.25">
      <c r="C1435" s="3"/>
      <c r="D1435" s="3"/>
      <c r="E1435" s="3"/>
      <c r="F1435" s="3"/>
      <c r="G1435" s="3"/>
      <c r="H1435" s="3"/>
      <c r="I1435" s="3"/>
      <c r="J1435" s="3"/>
    </row>
    <row r="1436" spans="3:10" ht="15" hidden="1" x14ac:dyDescent="0.25">
      <c r="C1436" s="3"/>
      <c r="D1436" s="3"/>
      <c r="E1436" s="3"/>
      <c r="F1436" s="3"/>
      <c r="G1436" s="3"/>
      <c r="H1436" s="3"/>
      <c r="I1436" s="3"/>
      <c r="J1436" s="3"/>
    </row>
    <row r="1437" spans="3:10" ht="15" hidden="1" x14ac:dyDescent="0.25">
      <c r="C1437" s="3"/>
      <c r="D1437" s="3"/>
      <c r="E1437" s="3"/>
      <c r="F1437" s="3"/>
      <c r="G1437" s="3"/>
      <c r="H1437" s="3"/>
      <c r="I1437" s="3"/>
      <c r="J1437" s="3"/>
    </row>
    <row r="1438" spans="3:10" ht="15" hidden="1" x14ac:dyDescent="0.25">
      <c r="C1438" s="3"/>
      <c r="D1438" s="3"/>
      <c r="E1438" s="3"/>
      <c r="F1438" s="3"/>
      <c r="G1438" s="3"/>
      <c r="H1438" s="3"/>
      <c r="I1438" s="3"/>
      <c r="J1438" s="3"/>
    </row>
    <row r="1439" spans="3:10" ht="15" hidden="1" x14ac:dyDescent="0.25">
      <c r="C1439" s="3"/>
      <c r="D1439" s="3"/>
      <c r="E1439" s="3"/>
      <c r="F1439" s="3"/>
      <c r="G1439" s="3"/>
      <c r="H1439" s="3"/>
      <c r="I1439" s="3"/>
      <c r="J1439" s="3"/>
    </row>
    <row r="1440" spans="3:10" ht="15" hidden="1" x14ac:dyDescent="0.25">
      <c r="C1440" s="3"/>
      <c r="D1440" s="3"/>
      <c r="E1440" s="3"/>
      <c r="F1440" s="3"/>
      <c r="G1440" s="3"/>
      <c r="H1440" s="3"/>
      <c r="I1440" s="3"/>
      <c r="J1440" s="3"/>
    </row>
    <row r="1441" spans="3:10" ht="15" hidden="1" x14ac:dyDescent="0.25">
      <c r="C1441" s="3"/>
      <c r="D1441" s="3"/>
      <c r="E1441" s="3"/>
      <c r="F1441" s="3"/>
      <c r="G1441" s="3"/>
      <c r="H1441" s="3"/>
      <c r="I1441" s="3"/>
      <c r="J1441" s="3"/>
    </row>
    <row r="1442" spans="3:10" ht="15" hidden="1" x14ac:dyDescent="0.25">
      <c r="C1442" s="3"/>
      <c r="D1442" s="3"/>
      <c r="E1442" s="3"/>
      <c r="F1442" s="3"/>
      <c r="G1442" s="3"/>
      <c r="H1442" s="3"/>
      <c r="I1442" s="3"/>
      <c r="J1442" s="3"/>
    </row>
    <row r="1443" spans="3:10" ht="15" hidden="1" x14ac:dyDescent="0.25">
      <c r="C1443" s="3"/>
      <c r="D1443" s="3"/>
      <c r="E1443" s="3"/>
      <c r="F1443" s="3"/>
      <c r="G1443" s="3"/>
      <c r="H1443" s="3"/>
      <c r="I1443" s="3"/>
      <c r="J1443" s="3"/>
    </row>
    <row r="1444" spans="3:10" ht="15" hidden="1" x14ac:dyDescent="0.25">
      <c r="C1444" s="3"/>
      <c r="D1444" s="3"/>
      <c r="E1444" s="3"/>
      <c r="F1444" s="3"/>
      <c r="G1444" s="3"/>
      <c r="H1444" s="3"/>
      <c r="I1444" s="3"/>
      <c r="J1444" s="3"/>
    </row>
    <row r="1445" spans="3:10" ht="15" hidden="1" x14ac:dyDescent="0.25">
      <c r="C1445" s="3"/>
      <c r="D1445" s="3"/>
      <c r="E1445" s="3"/>
      <c r="F1445" s="3"/>
      <c r="G1445" s="3"/>
      <c r="H1445" s="3"/>
      <c r="I1445" s="3"/>
      <c r="J1445" s="3"/>
    </row>
    <row r="1446" spans="3:10" ht="15" hidden="1" x14ac:dyDescent="0.25">
      <c r="C1446" s="3"/>
      <c r="D1446" s="3"/>
      <c r="E1446" s="3"/>
      <c r="F1446" s="3"/>
      <c r="G1446" s="3"/>
      <c r="H1446" s="3"/>
      <c r="I1446" s="3"/>
      <c r="J1446" s="3"/>
    </row>
    <row r="1447" spans="3:10" ht="15" hidden="1" x14ac:dyDescent="0.25">
      <c r="C1447" s="3"/>
      <c r="D1447" s="3"/>
      <c r="E1447" s="3"/>
      <c r="F1447" s="3"/>
      <c r="G1447" s="3"/>
      <c r="H1447" s="3"/>
      <c r="I1447" s="3"/>
      <c r="J1447" s="3"/>
    </row>
    <row r="1448" spans="3:10" ht="15" hidden="1" x14ac:dyDescent="0.25">
      <c r="C1448" s="3"/>
      <c r="D1448" s="3"/>
      <c r="E1448" s="3"/>
      <c r="F1448" s="3"/>
      <c r="G1448" s="3"/>
      <c r="H1448" s="3"/>
      <c r="I1448" s="3"/>
      <c r="J1448" s="3"/>
    </row>
    <row r="1449" spans="3:10" ht="15" hidden="1" x14ac:dyDescent="0.25">
      <c r="C1449" s="3"/>
      <c r="D1449" s="3"/>
      <c r="E1449" s="3"/>
      <c r="F1449" s="3"/>
      <c r="G1449" s="3"/>
      <c r="H1449" s="3"/>
      <c r="I1449" s="3"/>
      <c r="J1449" s="3"/>
    </row>
    <row r="1450" spans="3:10" ht="15" hidden="1" x14ac:dyDescent="0.25">
      <c r="C1450" s="3"/>
      <c r="D1450" s="3"/>
      <c r="E1450" s="3"/>
      <c r="F1450" s="3"/>
      <c r="G1450" s="3"/>
      <c r="H1450" s="3"/>
      <c r="I1450" s="3"/>
      <c r="J1450" s="3"/>
    </row>
    <row r="1451" spans="3:10" ht="15" hidden="1" x14ac:dyDescent="0.25">
      <c r="C1451" s="3"/>
      <c r="D1451" s="3"/>
      <c r="E1451" s="3"/>
      <c r="F1451" s="3"/>
      <c r="G1451" s="3"/>
      <c r="H1451" s="3"/>
      <c r="I1451" s="3"/>
      <c r="J1451" s="3"/>
    </row>
    <row r="1452" spans="3:10" ht="15" hidden="1" x14ac:dyDescent="0.25">
      <c r="C1452" s="3"/>
      <c r="D1452" s="3"/>
      <c r="E1452" s="3"/>
      <c r="F1452" s="3"/>
      <c r="G1452" s="3"/>
      <c r="H1452" s="3"/>
      <c r="I1452" s="3"/>
      <c r="J1452" s="3"/>
    </row>
    <row r="1453" spans="3:10" ht="15" hidden="1" x14ac:dyDescent="0.25">
      <c r="C1453" s="3"/>
      <c r="D1453" s="3"/>
      <c r="E1453" s="3"/>
      <c r="F1453" s="3"/>
      <c r="G1453" s="3"/>
      <c r="H1453" s="3"/>
      <c r="I1453" s="3"/>
      <c r="J1453" s="3"/>
    </row>
    <row r="1454" spans="3:10" ht="15" hidden="1" x14ac:dyDescent="0.25">
      <c r="C1454" s="3"/>
      <c r="D1454" s="3"/>
      <c r="E1454" s="3"/>
      <c r="F1454" s="3"/>
      <c r="G1454" s="3"/>
      <c r="H1454" s="3"/>
      <c r="I1454" s="3"/>
      <c r="J1454" s="3"/>
    </row>
    <row r="1455" spans="3:10" ht="15" hidden="1" x14ac:dyDescent="0.25">
      <c r="C1455" s="3"/>
      <c r="D1455" s="3"/>
      <c r="E1455" s="3"/>
      <c r="F1455" s="3"/>
      <c r="G1455" s="3"/>
      <c r="H1455" s="3"/>
      <c r="I1455" s="3"/>
      <c r="J1455" s="3"/>
    </row>
    <row r="1456" spans="3:10" ht="15" hidden="1" x14ac:dyDescent="0.25">
      <c r="C1456" s="3"/>
      <c r="D1456" s="3"/>
      <c r="E1456" s="3"/>
      <c r="F1456" s="3"/>
      <c r="G1456" s="3"/>
      <c r="H1456" s="3"/>
      <c r="I1456" s="3"/>
      <c r="J1456" s="3"/>
    </row>
    <row r="1457" spans="3:10" ht="15" hidden="1" x14ac:dyDescent="0.25">
      <c r="C1457" s="3"/>
      <c r="D1457" s="3"/>
      <c r="E1457" s="3"/>
      <c r="F1457" s="3"/>
      <c r="G1457" s="3"/>
      <c r="H1457" s="3"/>
      <c r="I1457" s="3"/>
      <c r="J1457" s="3"/>
    </row>
    <row r="1458" spans="3:10" ht="15" hidden="1" x14ac:dyDescent="0.25">
      <c r="C1458" s="3"/>
      <c r="D1458" s="3"/>
      <c r="E1458" s="3"/>
      <c r="F1458" s="3"/>
      <c r="G1458" s="3"/>
      <c r="H1458" s="3"/>
      <c r="I1458" s="3"/>
      <c r="J1458" s="3"/>
    </row>
    <row r="1459" spans="3:10" ht="15" hidden="1" x14ac:dyDescent="0.25">
      <c r="C1459" s="3"/>
      <c r="D1459" s="3"/>
      <c r="E1459" s="3"/>
      <c r="F1459" s="3"/>
      <c r="G1459" s="3"/>
      <c r="H1459" s="3"/>
      <c r="I1459" s="3"/>
      <c r="J1459" s="3"/>
    </row>
    <row r="1460" spans="3:10" ht="15" hidden="1" x14ac:dyDescent="0.25">
      <c r="C1460" s="3"/>
      <c r="D1460" s="3"/>
      <c r="E1460" s="3"/>
      <c r="F1460" s="3"/>
      <c r="G1460" s="3"/>
      <c r="H1460" s="3"/>
      <c r="I1460" s="3"/>
      <c r="J1460" s="3"/>
    </row>
    <row r="1461" spans="3:10" ht="15" hidden="1" x14ac:dyDescent="0.25">
      <c r="C1461" s="3"/>
      <c r="D1461" s="3"/>
      <c r="E1461" s="3"/>
      <c r="F1461" s="3"/>
      <c r="G1461" s="3"/>
      <c r="H1461" s="3"/>
      <c r="I1461" s="3"/>
      <c r="J1461" s="3"/>
    </row>
    <row r="1462" spans="3:10" ht="15" hidden="1" x14ac:dyDescent="0.25">
      <c r="C1462" s="3"/>
      <c r="D1462" s="3"/>
      <c r="E1462" s="3"/>
      <c r="F1462" s="3"/>
      <c r="G1462" s="3"/>
      <c r="H1462" s="3"/>
      <c r="I1462" s="3"/>
      <c r="J1462" s="3"/>
    </row>
    <row r="1463" spans="3:10" ht="15" hidden="1" x14ac:dyDescent="0.25">
      <c r="C1463" s="3"/>
      <c r="D1463" s="3"/>
      <c r="E1463" s="3"/>
      <c r="F1463" s="3"/>
      <c r="G1463" s="3"/>
      <c r="H1463" s="3"/>
      <c r="I1463" s="3"/>
      <c r="J1463" s="3"/>
    </row>
    <row r="1464" spans="3:10" ht="15" hidden="1" x14ac:dyDescent="0.25">
      <c r="C1464" s="3"/>
      <c r="D1464" s="3"/>
      <c r="E1464" s="3"/>
      <c r="F1464" s="3"/>
      <c r="G1464" s="3"/>
      <c r="H1464" s="3"/>
      <c r="I1464" s="3"/>
      <c r="J1464" s="3"/>
    </row>
    <row r="1465" spans="3:10" ht="15" hidden="1" x14ac:dyDescent="0.25">
      <c r="C1465" s="3"/>
      <c r="D1465" s="3"/>
      <c r="E1465" s="3"/>
      <c r="F1465" s="3"/>
      <c r="G1465" s="3"/>
      <c r="H1465" s="3"/>
      <c r="I1465" s="3"/>
      <c r="J1465" s="3"/>
    </row>
    <row r="1466" spans="3:10" ht="15" hidden="1" x14ac:dyDescent="0.25">
      <c r="C1466" s="3"/>
      <c r="D1466" s="3"/>
      <c r="E1466" s="3"/>
      <c r="F1466" s="3"/>
      <c r="G1466" s="3"/>
      <c r="H1466" s="3"/>
      <c r="I1466" s="3"/>
      <c r="J1466" s="3"/>
    </row>
    <row r="1467" spans="3:10" ht="15" hidden="1" x14ac:dyDescent="0.25">
      <c r="C1467" s="3"/>
      <c r="D1467" s="3"/>
      <c r="E1467" s="3"/>
      <c r="F1467" s="3"/>
      <c r="G1467" s="3"/>
      <c r="H1467" s="3"/>
      <c r="I1467" s="3"/>
      <c r="J1467" s="3"/>
    </row>
    <row r="1468" spans="3:10" ht="15" hidden="1" x14ac:dyDescent="0.25">
      <c r="C1468" s="3"/>
      <c r="D1468" s="3"/>
      <c r="E1468" s="3"/>
      <c r="F1468" s="3"/>
      <c r="G1468" s="3"/>
      <c r="H1468" s="3"/>
      <c r="I1468" s="3"/>
      <c r="J1468" s="3"/>
    </row>
    <row r="1469" spans="3:10" ht="15" hidden="1" x14ac:dyDescent="0.25">
      <c r="C1469" s="3"/>
      <c r="D1469" s="3"/>
      <c r="E1469" s="3"/>
      <c r="F1469" s="3"/>
      <c r="G1469" s="3"/>
      <c r="H1469" s="3"/>
      <c r="I1469" s="3"/>
      <c r="J1469" s="3"/>
    </row>
    <row r="1470" spans="3:10" ht="15" hidden="1" x14ac:dyDescent="0.25">
      <c r="C1470" s="3"/>
      <c r="D1470" s="3"/>
      <c r="E1470" s="3"/>
      <c r="F1470" s="3"/>
      <c r="G1470" s="3"/>
      <c r="H1470" s="3"/>
      <c r="I1470" s="3"/>
      <c r="J1470" s="3"/>
    </row>
    <row r="1471" spans="3:10" ht="15" hidden="1" x14ac:dyDescent="0.25">
      <c r="C1471" s="3"/>
      <c r="D1471" s="3"/>
      <c r="E1471" s="3"/>
      <c r="F1471" s="3"/>
      <c r="G1471" s="3"/>
      <c r="H1471" s="3"/>
      <c r="I1471" s="3"/>
      <c r="J1471" s="3"/>
    </row>
    <row r="1472" spans="3:10" ht="15" hidden="1" x14ac:dyDescent="0.25">
      <c r="C1472" s="3"/>
      <c r="D1472" s="3"/>
      <c r="E1472" s="3"/>
      <c r="F1472" s="3"/>
      <c r="G1472" s="3"/>
      <c r="H1472" s="3"/>
      <c r="I1472" s="3"/>
      <c r="J1472" s="3"/>
    </row>
    <row r="1473" spans="3:10" ht="15" hidden="1" x14ac:dyDescent="0.25">
      <c r="C1473" s="3"/>
      <c r="D1473" s="3"/>
      <c r="E1473" s="3"/>
      <c r="F1473" s="3"/>
      <c r="G1473" s="3"/>
      <c r="H1473" s="3"/>
      <c r="I1473" s="3"/>
      <c r="J1473" s="3"/>
    </row>
    <row r="1474" spans="3:10" ht="15" hidden="1" x14ac:dyDescent="0.25">
      <c r="C1474" s="3"/>
      <c r="D1474" s="3"/>
      <c r="E1474" s="3"/>
      <c r="F1474" s="3"/>
      <c r="G1474" s="3"/>
      <c r="H1474" s="3"/>
      <c r="I1474" s="3"/>
      <c r="J1474" s="3"/>
    </row>
    <row r="1475" spans="3:10" ht="15" hidden="1" x14ac:dyDescent="0.25">
      <c r="C1475" s="3"/>
      <c r="D1475" s="3"/>
      <c r="E1475" s="3"/>
      <c r="F1475" s="3"/>
      <c r="G1475" s="3"/>
      <c r="H1475" s="3"/>
      <c r="I1475" s="3"/>
      <c r="J1475" s="3"/>
    </row>
    <row r="1476" spans="3:10" ht="15" hidden="1" x14ac:dyDescent="0.25">
      <c r="C1476" s="3"/>
      <c r="D1476" s="3"/>
      <c r="E1476" s="3"/>
      <c r="F1476" s="3"/>
      <c r="G1476" s="3"/>
      <c r="H1476" s="3"/>
      <c r="I1476" s="3"/>
      <c r="J1476" s="3"/>
    </row>
    <row r="1477" spans="3:10" ht="15" hidden="1" x14ac:dyDescent="0.25">
      <c r="C1477" s="3"/>
      <c r="D1477" s="3"/>
      <c r="E1477" s="3"/>
      <c r="F1477" s="3"/>
      <c r="G1477" s="3"/>
      <c r="H1477" s="3"/>
      <c r="I1477" s="3"/>
      <c r="J1477" s="3"/>
    </row>
    <row r="1478" spans="3:10" ht="15" hidden="1" x14ac:dyDescent="0.25">
      <c r="C1478" s="3"/>
      <c r="D1478" s="3"/>
      <c r="E1478" s="3"/>
      <c r="F1478" s="3"/>
      <c r="G1478" s="3"/>
      <c r="H1478" s="3"/>
      <c r="I1478" s="3"/>
      <c r="J1478" s="3"/>
    </row>
    <row r="1479" spans="3:10" ht="15" hidden="1" x14ac:dyDescent="0.25">
      <c r="C1479" s="3"/>
      <c r="D1479" s="3"/>
      <c r="E1479" s="3"/>
      <c r="F1479" s="3"/>
      <c r="G1479" s="3"/>
      <c r="H1479" s="3"/>
      <c r="I1479" s="3"/>
      <c r="J1479" s="3"/>
    </row>
    <row r="1480" spans="3:10" ht="15" hidden="1" x14ac:dyDescent="0.25">
      <c r="C1480" s="3"/>
      <c r="D1480" s="3"/>
      <c r="E1480" s="3"/>
      <c r="F1480" s="3"/>
      <c r="G1480" s="3"/>
      <c r="H1480" s="3"/>
      <c r="I1480" s="3"/>
      <c r="J1480" s="3"/>
    </row>
    <row r="1481" spans="3:10" ht="15" hidden="1" x14ac:dyDescent="0.25">
      <c r="C1481" s="3"/>
      <c r="D1481" s="3"/>
      <c r="E1481" s="3"/>
      <c r="F1481" s="3"/>
      <c r="G1481" s="3"/>
      <c r="H1481" s="3"/>
      <c r="I1481" s="3"/>
      <c r="J1481" s="3"/>
    </row>
    <row r="1482" spans="3:10" ht="15" hidden="1" x14ac:dyDescent="0.25">
      <c r="C1482" s="3"/>
      <c r="D1482" s="3"/>
      <c r="E1482" s="3"/>
      <c r="F1482" s="3"/>
      <c r="G1482" s="3"/>
      <c r="H1482" s="3"/>
      <c r="I1482" s="3"/>
      <c r="J1482" s="3"/>
    </row>
    <row r="1483" spans="3:10" ht="15" hidden="1" x14ac:dyDescent="0.25">
      <c r="C1483" s="3"/>
      <c r="D1483" s="3"/>
      <c r="E1483" s="3"/>
      <c r="F1483" s="3"/>
      <c r="G1483" s="3"/>
      <c r="H1483" s="3"/>
      <c r="I1483" s="3"/>
      <c r="J1483" s="3"/>
    </row>
    <row r="1484" spans="3:10" ht="15" hidden="1" x14ac:dyDescent="0.25">
      <c r="C1484" s="3"/>
      <c r="D1484" s="3"/>
      <c r="E1484" s="3"/>
      <c r="F1484" s="3"/>
      <c r="G1484" s="3"/>
      <c r="H1484" s="3"/>
      <c r="I1484" s="3"/>
      <c r="J1484" s="3"/>
    </row>
    <row r="1485" spans="3:10" ht="15" hidden="1" x14ac:dyDescent="0.25">
      <c r="C1485" s="3"/>
      <c r="D1485" s="3"/>
      <c r="E1485" s="3"/>
      <c r="F1485" s="3"/>
      <c r="G1485" s="3"/>
      <c r="H1485" s="3"/>
      <c r="I1485" s="3"/>
      <c r="J1485" s="3"/>
    </row>
    <row r="1486" spans="3:10" ht="15" hidden="1" x14ac:dyDescent="0.25">
      <c r="C1486" s="3"/>
      <c r="D1486" s="3"/>
      <c r="E1486" s="3"/>
      <c r="F1486" s="3"/>
      <c r="G1486" s="3"/>
      <c r="H1486" s="3"/>
      <c r="I1486" s="3"/>
      <c r="J1486" s="3"/>
    </row>
    <row r="1487" spans="3:10" ht="15" hidden="1" x14ac:dyDescent="0.25">
      <c r="C1487" s="3"/>
      <c r="D1487" s="3"/>
      <c r="E1487" s="3"/>
      <c r="F1487" s="3"/>
      <c r="G1487" s="3"/>
      <c r="H1487" s="3"/>
      <c r="I1487" s="3"/>
      <c r="J1487" s="3"/>
    </row>
    <row r="1488" spans="3:10" ht="15" hidden="1" x14ac:dyDescent="0.25">
      <c r="C1488" s="3"/>
      <c r="D1488" s="3"/>
      <c r="E1488" s="3"/>
      <c r="F1488" s="3"/>
      <c r="G1488" s="3"/>
      <c r="H1488" s="3"/>
      <c r="I1488" s="3"/>
      <c r="J1488" s="3"/>
    </row>
    <row r="1489" spans="3:10" ht="15" hidden="1" x14ac:dyDescent="0.25">
      <c r="C1489" s="3"/>
      <c r="D1489" s="3"/>
      <c r="E1489" s="3"/>
      <c r="F1489" s="3"/>
      <c r="G1489" s="3"/>
      <c r="H1489" s="3"/>
      <c r="I1489" s="3"/>
      <c r="J1489" s="3"/>
    </row>
    <row r="1490" spans="3:10" ht="15" hidden="1" x14ac:dyDescent="0.25">
      <c r="C1490" s="3"/>
      <c r="D1490" s="3"/>
      <c r="E1490" s="3"/>
      <c r="F1490" s="3"/>
      <c r="G1490" s="3"/>
      <c r="H1490" s="3"/>
      <c r="I1490" s="3"/>
      <c r="J1490" s="3"/>
    </row>
    <row r="1491" spans="3:10" ht="15" hidden="1" x14ac:dyDescent="0.25">
      <c r="C1491" s="3"/>
      <c r="D1491" s="3"/>
      <c r="E1491" s="3"/>
      <c r="F1491" s="3"/>
      <c r="G1491" s="3"/>
      <c r="H1491" s="3"/>
      <c r="I1491" s="3"/>
      <c r="J1491" s="3"/>
    </row>
    <row r="1492" spans="3:10" ht="15" hidden="1" x14ac:dyDescent="0.25">
      <c r="C1492" s="3"/>
      <c r="D1492" s="3"/>
      <c r="E1492" s="3"/>
      <c r="F1492" s="3"/>
      <c r="G1492" s="3"/>
      <c r="H1492" s="3"/>
      <c r="I1492" s="3"/>
      <c r="J1492" s="3"/>
    </row>
    <row r="1493" spans="3:10" ht="15" hidden="1" x14ac:dyDescent="0.25">
      <c r="C1493" s="3"/>
      <c r="D1493" s="3"/>
      <c r="E1493" s="3"/>
      <c r="F1493" s="3"/>
      <c r="G1493" s="3"/>
      <c r="H1493" s="3"/>
      <c r="I1493" s="3"/>
      <c r="J1493" s="3"/>
    </row>
    <row r="1494" spans="3:10" ht="15" hidden="1" x14ac:dyDescent="0.25">
      <c r="C1494" s="3"/>
      <c r="D1494" s="3"/>
      <c r="E1494" s="3"/>
      <c r="F1494" s="3"/>
      <c r="G1494" s="3"/>
      <c r="H1494" s="3"/>
      <c r="I1494" s="3"/>
      <c r="J1494" s="3"/>
    </row>
    <row r="1495" spans="3:10" ht="15" hidden="1" x14ac:dyDescent="0.25">
      <c r="C1495" s="3"/>
      <c r="D1495" s="3"/>
      <c r="E1495" s="3"/>
      <c r="F1495" s="3"/>
      <c r="G1495" s="3"/>
      <c r="H1495" s="3"/>
      <c r="I1495" s="3"/>
      <c r="J1495" s="3"/>
    </row>
    <row r="1496" spans="3:10" ht="15" hidden="1" x14ac:dyDescent="0.25">
      <c r="C1496" s="3"/>
      <c r="D1496" s="3"/>
      <c r="E1496" s="3"/>
      <c r="F1496" s="3"/>
      <c r="G1496" s="3"/>
      <c r="H1496" s="3"/>
      <c r="I1496" s="3"/>
      <c r="J1496" s="3"/>
    </row>
    <row r="1497" spans="3:10" ht="15" hidden="1" x14ac:dyDescent="0.25">
      <c r="C1497" s="3"/>
      <c r="D1497" s="3"/>
      <c r="E1497" s="3"/>
      <c r="F1497" s="3"/>
      <c r="G1497" s="3"/>
      <c r="H1497" s="3"/>
      <c r="I1497" s="3"/>
      <c r="J1497" s="3"/>
    </row>
    <row r="1498" spans="3:10" ht="15" hidden="1" x14ac:dyDescent="0.25">
      <c r="C1498" s="3"/>
      <c r="D1498" s="3"/>
      <c r="E1498" s="3"/>
      <c r="F1498" s="3"/>
      <c r="G1498" s="3"/>
      <c r="H1498" s="3"/>
      <c r="I1498" s="3"/>
      <c r="J1498" s="3"/>
    </row>
    <row r="1499" spans="3:10" ht="15" hidden="1" x14ac:dyDescent="0.25">
      <c r="C1499" s="3"/>
      <c r="D1499" s="3"/>
      <c r="E1499" s="3"/>
      <c r="F1499" s="3"/>
      <c r="G1499" s="3"/>
      <c r="H1499" s="3"/>
      <c r="I1499" s="3"/>
      <c r="J1499" s="3"/>
    </row>
    <row r="1500" spans="3:10" ht="15" hidden="1" x14ac:dyDescent="0.25">
      <c r="C1500" s="3"/>
      <c r="D1500" s="3"/>
      <c r="E1500" s="3"/>
      <c r="F1500" s="3"/>
      <c r="G1500" s="3"/>
      <c r="H1500" s="3"/>
      <c r="I1500" s="3"/>
      <c r="J1500" s="3"/>
    </row>
    <row r="1501" spans="3:10" ht="15" hidden="1" x14ac:dyDescent="0.25">
      <c r="C1501" s="3"/>
      <c r="D1501" s="3"/>
      <c r="E1501" s="3"/>
      <c r="F1501" s="3"/>
      <c r="G1501" s="3"/>
      <c r="H1501" s="3"/>
      <c r="I1501" s="3"/>
      <c r="J1501" s="3"/>
    </row>
    <row r="1502" spans="3:10" ht="15" hidden="1" x14ac:dyDescent="0.25">
      <c r="C1502" s="3"/>
      <c r="D1502" s="3"/>
      <c r="E1502" s="3"/>
      <c r="F1502" s="3"/>
      <c r="G1502" s="3"/>
      <c r="H1502" s="3"/>
      <c r="I1502" s="3"/>
      <c r="J1502" s="3"/>
    </row>
    <row r="1503" spans="3:10" ht="15" hidden="1" x14ac:dyDescent="0.25">
      <c r="C1503" s="3"/>
      <c r="D1503" s="3"/>
      <c r="E1503" s="3"/>
      <c r="F1503" s="3"/>
      <c r="G1503" s="3"/>
      <c r="H1503" s="3"/>
      <c r="I1503" s="3"/>
      <c r="J1503" s="3"/>
    </row>
    <row r="1504" spans="3:10" ht="15" hidden="1" x14ac:dyDescent="0.25">
      <c r="C1504" s="3"/>
      <c r="D1504" s="3"/>
      <c r="E1504" s="3"/>
      <c r="F1504" s="3"/>
      <c r="G1504" s="3"/>
      <c r="H1504" s="3"/>
      <c r="I1504" s="3"/>
      <c r="J1504" s="3"/>
    </row>
    <row r="1505" spans="3:10" ht="15" hidden="1" x14ac:dyDescent="0.25">
      <c r="C1505" s="3"/>
      <c r="D1505" s="3"/>
      <c r="E1505" s="3"/>
      <c r="F1505" s="3"/>
      <c r="G1505" s="3"/>
      <c r="H1505" s="3"/>
      <c r="I1505" s="3"/>
      <c r="J1505" s="3"/>
    </row>
    <row r="1506" spans="3:10" ht="15" hidden="1" x14ac:dyDescent="0.25">
      <c r="C1506" s="3"/>
      <c r="D1506" s="3"/>
      <c r="E1506" s="3"/>
      <c r="F1506" s="3"/>
      <c r="G1506" s="3"/>
      <c r="H1506" s="3"/>
      <c r="I1506" s="3"/>
      <c r="J1506" s="3"/>
    </row>
    <row r="1507" spans="3:10" ht="15" hidden="1" x14ac:dyDescent="0.25">
      <c r="C1507" s="3"/>
      <c r="D1507" s="3"/>
      <c r="E1507" s="3"/>
      <c r="F1507" s="3"/>
      <c r="G1507" s="3"/>
      <c r="H1507" s="3"/>
      <c r="I1507" s="3"/>
      <c r="J1507" s="3"/>
    </row>
    <row r="1508" spans="3:10" ht="15" hidden="1" x14ac:dyDescent="0.25">
      <c r="C1508" s="3"/>
      <c r="D1508" s="3"/>
      <c r="E1508" s="3"/>
      <c r="F1508" s="3"/>
      <c r="G1508" s="3"/>
      <c r="H1508" s="3"/>
      <c r="I1508" s="3"/>
      <c r="J1508" s="3"/>
    </row>
    <row r="1509" spans="3:10" ht="15" hidden="1" x14ac:dyDescent="0.25">
      <c r="C1509" s="3"/>
      <c r="D1509" s="3"/>
      <c r="E1509" s="3"/>
      <c r="F1509" s="3"/>
      <c r="G1509" s="3"/>
      <c r="H1509" s="3"/>
      <c r="I1509" s="3"/>
      <c r="J1509" s="3"/>
    </row>
    <row r="1510" spans="3:10" ht="15" hidden="1" x14ac:dyDescent="0.25">
      <c r="C1510" s="3"/>
      <c r="D1510" s="3"/>
      <c r="E1510" s="3"/>
      <c r="F1510" s="3"/>
      <c r="G1510" s="3"/>
      <c r="H1510" s="3"/>
      <c r="I1510" s="3"/>
      <c r="J1510" s="3"/>
    </row>
    <row r="1511" spans="3:10" ht="15" hidden="1" x14ac:dyDescent="0.25">
      <c r="C1511" s="3"/>
      <c r="D1511" s="3"/>
      <c r="E1511" s="3"/>
      <c r="F1511" s="3"/>
      <c r="G1511" s="3"/>
      <c r="H1511" s="3"/>
      <c r="I1511" s="3"/>
      <c r="J1511" s="3"/>
    </row>
    <row r="1512" spans="3:10" ht="15" hidden="1" x14ac:dyDescent="0.25">
      <c r="C1512" s="3"/>
      <c r="D1512" s="3"/>
      <c r="E1512" s="3"/>
      <c r="F1512" s="3"/>
      <c r="G1512" s="3"/>
      <c r="H1512" s="3"/>
      <c r="I1512" s="3"/>
      <c r="J1512" s="3"/>
    </row>
    <row r="1513" spans="3:10" ht="15" hidden="1" x14ac:dyDescent="0.25">
      <c r="C1513" s="3"/>
      <c r="D1513" s="3"/>
      <c r="E1513" s="3"/>
      <c r="F1513" s="3"/>
      <c r="G1513" s="3"/>
      <c r="H1513" s="3"/>
      <c r="I1513" s="3"/>
      <c r="J1513" s="3"/>
    </row>
    <row r="1514" spans="3:10" ht="15" hidden="1" x14ac:dyDescent="0.25">
      <c r="C1514" s="3"/>
      <c r="D1514" s="3"/>
      <c r="E1514" s="3"/>
      <c r="F1514" s="3"/>
      <c r="G1514" s="3"/>
      <c r="H1514" s="3"/>
      <c r="I1514" s="3"/>
      <c r="J1514" s="3"/>
    </row>
    <row r="1515" spans="3:10" ht="15" hidden="1" x14ac:dyDescent="0.25">
      <c r="C1515" s="3"/>
      <c r="D1515" s="3"/>
      <c r="E1515" s="3"/>
      <c r="F1515" s="3"/>
      <c r="G1515" s="3"/>
      <c r="H1515" s="3"/>
      <c r="I1515" s="3"/>
      <c r="J1515" s="3"/>
    </row>
    <row r="1516" spans="3:10" ht="15" hidden="1" x14ac:dyDescent="0.25">
      <c r="C1516" s="3"/>
      <c r="D1516" s="3"/>
      <c r="E1516" s="3"/>
      <c r="F1516" s="3"/>
      <c r="G1516" s="3"/>
      <c r="H1516" s="3"/>
      <c r="I1516" s="3"/>
      <c r="J1516" s="3"/>
    </row>
    <row r="1517" spans="3:10" ht="15" hidden="1" x14ac:dyDescent="0.25">
      <c r="C1517" s="3"/>
      <c r="D1517" s="3"/>
      <c r="E1517" s="3"/>
      <c r="F1517" s="3"/>
      <c r="G1517" s="3"/>
      <c r="H1517" s="3"/>
      <c r="I1517" s="3"/>
      <c r="J1517" s="3"/>
    </row>
    <row r="1518" spans="3:10" ht="15" hidden="1" x14ac:dyDescent="0.25">
      <c r="C1518" s="3"/>
      <c r="D1518" s="3"/>
      <c r="E1518" s="3"/>
      <c r="F1518" s="3"/>
      <c r="G1518" s="3"/>
      <c r="H1518" s="3"/>
      <c r="I1518" s="3"/>
      <c r="J1518" s="3"/>
    </row>
    <row r="1519" spans="3:10" ht="15" hidden="1" x14ac:dyDescent="0.25">
      <c r="C1519" s="3"/>
      <c r="D1519" s="3"/>
      <c r="E1519" s="3"/>
      <c r="F1519" s="3"/>
      <c r="G1519" s="3"/>
      <c r="H1519" s="3"/>
      <c r="I1519" s="3"/>
      <c r="J1519" s="3"/>
    </row>
    <row r="1520" spans="3:10" ht="15" hidden="1" x14ac:dyDescent="0.25">
      <c r="C1520" s="3"/>
      <c r="D1520" s="3"/>
      <c r="E1520" s="3"/>
      <c r="F1520" s="3"/>
      <c r="G1520" s="3"/>
      <c r="H1520" s="3"/>
      <c r="I1520" s="3"/>
      <c r="J1520" s="3"/>
    </row>
    <row r="1521" spans="3:10" ht="15" hidden="1" x14ac:dyDescent="0.25">
      <c r="C1521" s="3"/>
      <c r="D1521" s="3"/>
      <c r="E1521" s="3"/>
      <c r="F1521" s="3"/>
      <c r="G1521" s="3"/>
      <c r="H1521" s="3"/>
      <c r="I1521" s="3"/>
      <c r="J1521" s="3"/>
    </row>
    <row r="1522" spans="3:10" ht="15" hidden="1" x14ac:dyDescent="0.25">
      <c r="C1522" s="3"/>
      <c r="D1522" s="3"/>
      <c r="E1522" s="3"/>
      <c r="F1522" s="3"/>
      <c r="G1522" s="3"/>
      <c r="H1522" s="3"/>
      <c r="I1522" s="3"/>
      <c r="J1522" s="3"/>
    </row>
    <row r="1523" spans="3:10" ht="15" hidden="1" x14ac:dyDescent="0.25">
      <c r="C1523" s="3"/>
      <c r="D1523" s="3"/>
      <c r="E1523" s="3"/>
      <c r="F1523" s="3"/>
      <c r="G1523" s="3"/>
      <c r="H1523" s="3"/>
      <c r="I1523" s="3"/>
      <c r="J1523" s="3"/>
    </row>
    <row r="1524" spans="3:10" ht="15" hidden="1" x14ac:dyDescent="0.25">
      <c r="C1524" s="3"/>
      <c r="D1524" s="3"/>
      <c r="E1524" s="3"/>
      <c r="F1524" s="3"/>
      <c r="G1524" s="3"/>
      <c r="H1524" s="3"/>
      <c r="I1524" s="3"/>
      <c r="J1524" s="3"/>
    </row>
    <row r="1525" spans="3:10" ht="15" hidden="1" x14ac:dyDescent="0.25">
      <c r="C1525" s="3"/>
      <c r="D1525" s="3"/>
      <c r="E1525" s="3"/>
      <c r="F1525" s="3"/>
      <c r="G1525" s="3"/>
      <c r="H1525" s="3"/>
      <c r="I1525" s="3"/>
      <c r="J1525" s="3"/>
    </row>
    <row r="1526" spans="3:10" ht="15" hidden="1" x14ac:dyDescent="0.25">
      <c r="C1526" s="3"/>
      <c r="D1526" s="3"/>
      <c r="E1526" s="3"/>
      <c r="F1526" s="3"/>
      <c r="G1526" s="3"/>
      <c r="H1526" s="3"/>
      <c r="I1526" s="3"/>
      <c r="J1526" s="3"/>
    </row>
    <row r="1527" spans="3:10" ht="15" hidden="1" x14ac:dyDescent="0.25">
      <c r="C1527" s="3"/>
      <c r="D1527" s="3"/>
      <c r="E1527" s="3"/>
      <c r="F1527" s="3"/>
      <c r="G1527" s="3"/>
      <c r="H1527" s="3"/>
      <c r="I1527" s="3"/>
      <c r="J1527" s="3"/>
    </row>
    <row r="1528" spans="3:10" ht="15" hidden="1" x14ac:dyDescent="0.25">
      <c r="C1528" s="3"/>
      <c r="D1528" s="3"/>
      <c r="E1528" s="3"/>
      <c r="F1528" s="3"/>
      <c r="G1528" s="3"/>
      <c r="H1528" s="3"/>
      <c r="I1528" s="3"/>
      <c r="J1528" s="3"/>
    </row>
    <row r="1529" spans="3:10" ht="15" hidden="1" x14ac:dyDescent="0.25">
      <c r="C1529" s="3"/>
      <c r="D1529" s="3"/>
      <c r="E1529" s="3"/>
      <c r="F1529" s="3"/>
      <c r="G1529" s="3"/>
      <c r="H1529" s="3"/>
      <c r="I1529" s="3"/>
      <c r="J1529" s="3"/>
    </row>
    <row r="1530" spans="3:10" ht="15" hidden="1" x14ac:dyDescent="0.25">
      <c r="C1530" s="3"/>
      <c r="D1530" s="3"/>
      <c r="E1530" s="3"/>
      <c r="F1530" s="3"/>
      <c r="G1530" s="3"/>
      <c r="H1530" s="3"/>
      <c r="I1530" s="3"/>
      <c r="J1530" s="3"/>
    </row>
    <row r="1531" spans="3:10" ht="15" hidden="1" x14ac:dyDescent="0.25">
      <c r="C1531" s="3"/>
      <c r="D1531" s="3"/>
      <c r="E1531" s="3"/>
      <c r="F1531" s="3"/>
      <c r="G1531" s="3"/>
      <c r="H1531" s="3"/>
      <c r="I1531" s="3"/>
      <c r="J1531" s="3"/>
    </row>
    <row r="1532" spans="3:10" ht="15" hidden="1" x14ac:dyDescent="0.25">
      <c r="C1532" s="3"/>
      <c r="D1532" s="3"/>
      <c r="E1532" s="3"/>
      <c r="F1532" s="3"/>
      <c r="G1532" s="3"/>
      <c r="H1532" s="3"/>
      <c r="I1532" s="3"/>
      <c r="J1532" s="3"/>
    </row>
    <row r="1533" spans="3:10" ht="15" hidden="1" x14ac:dyDescent="0.25">
      <c r="C1533" s="3"/>
      <c r="D1533" s="3"/>
      <c r="E1533" s="3"/>
      <c r="F1533" s="3"/>
      <c r="G1533" s="3"/>
      <c r="H1533" s="3"/>
      <c r="I1533" s="3"/>
      <c r="J1533" s="3"/>
    </row>
    <row r="1534" spans="3:10" ht="15" hidden="1" x14ac:dyDescent="0.25">
      <c r="C1534" s="3"/>
      <c r="D1534" s="3"/>
      <c r="E1534" s="3"/>
      <c r="F1534" s="3"/>
      <c r="G1534" s="3"/>
      <c r="H1534" s="3"/>
      <c r="I1534" s="3"/>
      <c r="J1534" s="3"/>
    </row>
    <row r="1535" spans="3:10" ht="15" hidden="1" x14ac:dyDescent="0.25">
      <c r="C1535" s="3"/>
      <c r="D1535" s="3"/>
      <c r="E1535" s="3"/>
      <c r="F1535" s="3"/>
      <c r="G1535" s="3"/>
      <c r="H1535" s="3"/>
      <c r="I1535" s="3"/>
      <c r="J1535" s="3"/>
    </row>
    <row r="1536" spans="3:10" ht="15" hidden="1" x14ac:dyDescent="0.25">
      <c r="C1536" s="3"/>
      <c r="D1536" s="3"/>
      <c r="E1536" s="3"/>
      <c r="F1536" s="3"/>
      <c r="G1536" s="3"/>
      <c r="H1536" s="3"/>
      <c r="I1536" s="3"/>
      <c r="J1536" s="3"/>
    </row>
    <row r="1537" spans="3:10" ht="15" hidden="1" x14ac:dyDescent="0.25">
      <c r="C1537" s="3"/>
      <c r="D1537" s="3"/>
      <c r="E1537" s="3"/>
      <c r="F1537" s="3"/>
      <c r="G1537" s="3"/>
      <c r="H1537" s="3"/>
      <c r="I1537" s="3"/>
      <c r="J1537" s="3"/>
    </row>
    <row r="1538" spans="3:10" ht="15" hidden="1" x14ac:dyDescent="0.25">
      <c r="C1538" s="3"/>
      <c r="D1538" s="3"/>
      <c r="E1538" s="3"/>
      <c r="F1538" s="3"/>
      <c r="G1538" s="3"/>
      <c r="H1538" s="3"/>
      <c r="I1538" s="3"/>
      <c r="J1538" s="3"/>
    </row>
    <row r="1539" spans="3:10" ht="15" hidden="1" x14ac:dyDescent="0.25">
      <c r="C1539" s="3"/>
      <c r="D1539" s="3"/>
      <c r="E1539" s="3"/>
      <c r="F1539" s="3"/>
      <c r="G1539" s="3"/>
      <c r="H1539" s="3"/>
      <c r="I1539" s="3"/>
      <c r="J1539" s="3"/>
    </row>
    <row r="1540" spans="3:10" ht="15" hidden="1" x14ac:dyDescent="0.25">
      <c r="C1540" s="3"/>
      <c r="D1540" s="3"/>
      <c r="E1540" s="3"/>
      <c r="F1540" s="3"/>
      <c r="G1540" s="3"/>
      <c r="H1540" s="3"/>
      <c r="I1540" s="3"/>
      <c r="J1540" s="3"/>
    </row>
    <row r="1541" spans="3:10" ht="15" hidden="1" x14ac:dyDescent="0.25">
      <c r="C1541" s="3"/>
      <c r="D1541" s="3"/>
      <c r="E1541" s="3"/>
      <c r="F1541" s="3"/>
      <c r="G1541" s="3"/>
      <c r="H1541" s="3"/>
      <c r="I1541" s="3"/>
      <c r="J1541" s="3"/>
    </row>
    <row r="1542" spans="3:10" ht="15" hidden="1" x14ac:dyDescent="0.25">
      <c r="C1542" s="3"/>
      <c r="D1542" s="3"/>
      <c r="E1542" s="3"/>
      <c r="F1542" s="3"/>
      <c r="G1542" s="3"/>
      <c r="H1542" s="3"/>
      <c r="I1542" s="3"/>
      <c r="J1542" s="3"/>
    </row>
    <row r="1543" spans="3:10" ht="15" hidden="1" x14ac:dyDescent="0.25">
      <c r="C1543" s="3"/>
      <c r="D1543" s="3"/>
      <c r="E1543" s="3"/>
      <c r="F1543" s="3"/>
      <c r="G1543" s="3"/>
      <c r="H1543" s="3"/>
      <c r="I1543" s="3"/>
      <c r="J1543" s="3"/>
    </row>
    <row r="1544" spans="3:10" ht="15" hidden="1" x14ac:dyDescent="0.25">
      <c r="C1544" s="3"/>
      <c r="D1544" s="3"/>
      <c r="E1544" s="3"/>
      <c r="F1544" s="3"/>
      <c r="G1544" s="3"/>
      <c r="H1544" s="3"/>
      <c r="I1544" s="3"/>
      <c r="J1544" s="3"/>
    </row>
    <row r="1545" spans="3:10" ht="15" hidden="1" x14ac:dyDescent="0.25">
      <c r="C1545" s="3"/>
      <c r="D1545" s="3"/>
      <c r="E1545" s="3"/>
      <c r="F1545" s="3"/>
      <c r="G1545" s="3"/>
      <c r="H1545" s="3"/>
      <c r="I1545" s="3"/>
      <c r="J1545" s="3"/>
    </row>
    <row r="1546" spans="3:10" ht="15" hidden="1" x14ac:dyDescent="0.25">
      <c r="C1546" s="3"/>
      <c r="D1546" s="3"/>
      <c r="E1546" s="3"/>
      <c r="F1546" s="3"/>
      <c r="G1546" s="3"/>
      <c r="H1546" s="3"/>
      <c r="I1546" s="3"/>
      <c r="J1546" s="3"/>
    </row>
    <row r="1547" spans="3:10" ht="15" hidden="1" x14ac:dyDescent="0.25">
      <c r="C1547" s="3"/>
      <c r="D1547" s="3"/>
      <c r="E1547" s="3"/>
      <c r="F1547" s="3"/>
      <c r="G1547" s="3"/>
      <c r="H1547" s="3"/>
      <c r="I1547" s="3"/>
      <c r="J1547" s="3"/>
    </row>
    <row r="1548" spans="3:10" ht="15" hidden="1" x14ac:dyDescent="0.25">
      <c r="C1548" s="3"/>
      <c r="D1548" s="3"/>
      <c r="E1548" s="3"/>
      <c r="F1548" s="3"/>
      <c r="G1548" s="3"/>
      <c r="H1548" s="3"/>
      <c r="I1548" s="3"/>
      <c r="J1548" s="3"/>
    </row>
    <row r="1549" spans="3:10" ht="15" hidden="1" x14ac:dyDescent="0.25">
      <c r="C1549" s="3"/>
      <c r="D1549" s="3"/>
      <c r="E1549" s="3"/>
      <c r="F1549" s="3"/>
      <c r="G1549" s="3"/>
      <c r="H1549" s="3"/>
      <c r="I1549" s="3"/>
      <c r="J1549" s="3"/>
    </row>
    <row r="1550" spans="3:10" ht="15" hidden="1" x14ac:dyDescent="0.25">
      <c r="C1550" s="3"/>
      <c r="D1550" s="3"/>
      <c r="E1550" s="3"/>
      <c r="F1550" s="3"/>
      <c r="G1550" s="3"/>
      <c r="H1550" s="3"/>
      <c r="I1550" s="3"/>
      <c r="J1550" s="3"/>
    </row>
    <row r="1551" spans="3:10" ht="15" hidden="1" x14ac:dyDescent="0.25">
      <c r="C1551" s="3"/>
      <c r="D1551" s="3"/>
      <c r="E1551" s="3"/>
      <c r="F1551" s="3"/>
      <c r="G1551" s="3"/>
      <c r="H1551" s="3"/>
      <c r="I1551" s="3"/>
      <c r="J1551" s="3"/>
    </row>
    <row r="1552" spans="3:10" ht="15" hidden="1" x14ac:dyDescent="0.25">
      <c r="C1552" s="3"/>
      <c r="D1552" s="3"/>
      <c r="E1552" s="3"/>
      <c r="F1552" s="3"/>
      <c r="G1552" s="3"/>
      <c r="H1552" s="3"/>
      <c r="I1552" s="3"/>
      <c r="J1552" s="3"/>
    </row>
    <row r="1553" spans="3:10" ht="15" hidden="1" x14ac:dyDescent="0.25">
      <c r="C1553" s="3"/>
      <c r="D1553" s="3"/>
      <c r="E1553" s="3"/>
      <c r="F1553" s="3"/>
      <c r="G1553" s="3"/>
      <c r="H1553" s="3"/>
      <c r="I1553" s="3"/>
      <c r="J1553" s="3"/>
    </row>
    <row r="1554" spans="3:10" ht="15" hidden="1" x14ac:dyDescent="0.25">
      <c r="C1554" s="3"/>
      <c r="D1554" s="3"/>
      <c r="E1554" s="3"/>
      <c r="F1554" s="3"/>
      <c r="G1554" s="3"/>
      <c r="H1554" s="3"/>
      <c r="I1554" s="3"/>
      <c r="J1554" s="3"/>
    </row>
    <row r="1555" spans="3:10" ht="15" hidden="1" x14ac:dyDescent="0.25">
      <c r="C1555" s="3"/>
      <c r="D1555" s="3"/>
      <c r="E1555" s="3"/>
      <c r="F1555" s="3"/>
      <c r="G1555" s="3"/>
      <c r="H1555" s="3"/>
      <c r="I1555" s="3"/>
      <c r="J1555" s="3"/>
    </row>
    <row r="1556" spans="3:10" ht="15" hidden="1" x14ac:dyDescent="0.25">
      <c r="C1556" s="3"/>
      <c r="D1556" s="3"/>
      <c r="E1556" s="3"/>
      <c r="F1556" s="3"/>
      <c r="G1556" s="3"/>
      <c r="H1556" s="3"/>
      <c r="I1556" s="3"/>
      <c r="J1556" s="3"/>
    </row>
    <row r="1557" spans="3:10" ht="15" hidden="1" x14ac:dyDescent="0.25">
      <c r="C1557" s="3"/>
      <c r="D1557" s="3"/>
      <c r="E1557" s="3"/>
      <c r="F1557" s="3"/>
      <c r="G1557" s="3"/>
      <c r="H1557" s="3"/>
      <c r="I1557" s="3"/>
      <c r="J1557" s="3"/>
    </row>
    <row r="1558" spans="3:10" ht="15" hidden="1" x14ac:dyDescent="0.25">
      <c r="C1558" s="3"/>
      <c r="D1558" s="3"/>
      <c r="E1558" s="3"/>
      <c r="F1558" s="3"/>
      <c r="G1558" s="3"/>
      <c r="H1558" s="3"/>
      <c r="I1558" s="3"/>
      <c r="J1558" s="3"/>
    </row>
    <row r="1559" spans="3:10" ht="15" hidden="1" x14ac:dyDescent="0.25">
      <c r="C1559" s="3"/>
      <c r="D1559" s="3"/>
      <c r="E1559" s="3"/>
      <c r="F1559" s="3"/>
      <c r="G1559" s="3"/>
      <c r="H1559" s="3"/>
      <c r="I1559" s="3"/>
      <c r="J1559" s="3"/>
    </row>
    <row r="1560" spans="3:10" ht="15" hidden="1" x14ac:dyDescent="0.25">
      <c r="C1560" s="3"/>
      <c r="D1560" s="3"/>
      <c r="E1560" s="3"/>
      <c r="F1560" s="3"/>
      <c r="G1560" s="3"/>
      <c r="H1560" s="3"/>
      <c r="I1560" s="3"/>
      <c r="J1560" s="3"/>
    </row>
    <row r="1561" spans="3:10" ht="15" hidden="1" x14ac:dyDescent="0.25">
      <c r="C1561" s="3"/>
      <c r="D1561" s="3"/>
      <c r="E1561" s="3"/>
      <c r="F1561" s="3"/>
      <c r="G1561" s="3"/>
      <c r="H1561" s="3"/>
      <c r="I1561" s="3"/>
      <c r="J1561" s="3"/>
    </row>
    <row r="1562" spans="3:10" ht="15" hidden="1" x14ac:dyDescent="0.25">
      <c r="C1562" s="3"/>
      <c r="D1562" s="3"/>
      <c r="E1562" s="3"/>
      <c r="F1562" s="3"/>
      <c r="G1562" s="3"/>
      <c r="H1562" s="3"/>
      <c r="I1562" s="3"/>
      <c r="J1562" s="3"/>
    </row>
    <row r="1563" spans="3:10" ht="15" hidden="1" x14ac:dyDescent="0.25">
      <c r="C1563" s="3"/>
      <c r="D1563" s="3"/>
      <c r="E1563" s="3"/>
      <c r="F1563" s="3"/>
      <c r="G1563" s="3"/>
      <c r="H1563" s="3"/>
      <c r="I1563" s="3"/>
      <c r="J1563" s="3"/>
    </row>
    <row r="1564" spans="3:10" ht="15" hidden="1" x14ac:dyDescent="0.25">
      <c r="C1564" s="3"/>
      <c r="D1564" s="3"/>
      <c r="E1564" s="3"/>
      <c r="F1564" s="3"/>
      <c r="G1564" s="3"/>
      <c r="H1564" s="3"/>
      <c r="I1564" s="3"/>
      <c r="J1564" s="3"/>
    </row>
    <row r="1565" spans="3:10" ht="15" hidden="1" x14ac:dyDescent="0.25">
      <c r="C1565" s="3"/>
      <c r="D1565" s="3"/>
      <c r="E1565" s="3"/>
      <c r="F1565" s="3"/>
      <c r="G1565" s="3"/>
      <c r="H1565" s="3"/>
      <c r="I1565" s="3"/>
      <c r="J1565" s="3"/>
    </row>
    <row r="1566" spans="3:10" ht="15" hidden="1" x14ac:dyDescent="0.25">
      <c r="C1566" s="3"/>
      <c r="D1566" s="3"/>
      <c r="E1566" s="3"/>
      <c r="F1566" s="3"/>
      <c r="G1566" s="3"/>
      <c r="H1566" s="3"/>
      <c r="I1566" s="3"/>
      <c r="J1566" s="3"/>
    </row>
    <row r="1567" spans="3:10" ht="15" hidden="1" x14ac:dyDescent="0.25">
      <c r="C1567" s="3"/>
      <c r="D1567" s="3"/>
      <c r="E1567" s="3"/>
      <c r="F1567" s="3"/>
      <c r="G1567" s="3"/>
      <c r="H1567" s="3"/>
      <c r="I1567" s="3"/>
      <c r="J1567" s="3"/>
    </row>
    <row r="1568" spans="3:10" ht="15" hidden="1" x14ac:dyDescent="0.25">
      <c r="C1568" s="3"/>
      <c r="D1568" s="3"/>
      <c r="E1568" s="3"/>
      <c r="F1568" s="3"/>
      <c r="G1568" s="3"/>
      <c r="H1568" s="3"/>
      <c r="I1568" s="3"/>
      <c r="J1568" s="3"/>
    </row>
    <row r="1569" spans="3:10" ht="15" hidden="1" x14ac:dyDescent="0.25">
      <c r="C1569" s="3"/>
      <c r="D1569" s="3"/>
      <c r="E1569" s="3"/>
      <c r="F1569" s="3"/>
      <c r="G1569" s="3"/>
      <c r="H1569" s="3"/>
      <c r="I1569" s="3"/>
      <c r="J1569" s="3"/>
    </row>
    <row r="1570" spans="3:10" ht="15" hidden="1" x14ac:dyDescent="0.25">
      <c r="C1570" s="3"/>
      <c r="D1570" s="3"/>
      <c r="E1570" s="3"/>
      <c r="F1570" s="3"/>
      <c r="G1570" s="3"/>
      <c r="H1570" s="3"/>
      <c r="I1570" s="3"/>
      <c r="J1570" s="3"/>
    </row>
    <row r="1571" spans="3:10" ht="15" hidden="1" x14ac:dyDescent="0.25">
      <c r="C1571" s="3"/>
      <c r="D1571" s="3"/>
      <c r="E1571" s="3"/>
      <c r="F1571" s="3"/>
      <c r="G1571" s="3"/>
      <c r="H1571" s="3"/>
      <c r="I1571" s="3"/>
      <c r="J1571" s="3"/>
    </row>
    <row r="1572" spans="3:10" ht="15" hidden="1" x14ac:dyDescent="0.25">
      <c r="C1572" s="3"/>
      <c r="D1572" s="3"/>
      <c r="E1572" s="3"/>
      <c r="F1572" s="3"/>
      <c r="G1572" s="3"/>
      <c r="H1572" s="3"/>
      <c r="I1572" s="3"/>
      <c r="J1572" s="3"/>
    </row>
    <row r="1573" spans="3:10" ht="15" hidden="1" x14ac:dyDescent="0.25">
      <c r="C1573" s="3"/>
      <c r="D1573" s="3"/>
      <c r="E1573" s="3"/>
      <c r="F1573" s="3"/>
      <c r="G1573" s="3"/>
      <c r="H1573" s="3"/>
      <c r="I1573" s="3"/>
      <c r="J1573" s="3"/>
    </row>
    <row r="1574" spans="3:10" ht="15" hidden="1" x14ac:dyDescent="0.25">
      <c r="C1574" s="3"/>
      <c r="D1574" s="3"/>
      <c r="E1574" s="3"/>
      <c r="F1574" s="3"/>
      <c r="G1574" s="3"/>
      <c r="H1574" s="3"/>
      <c r="I1574" s="3"/>
      <c r="J1574" s="3"/>
    </row>
    <row r="1575" spans="3:10" ht="15" hidden="1" x14ac:dyDescent="0.25">
      <c r="C1575" s="3"/>
      <c r="D1575" s="3"/>
      <c r="E1575" s="3"/>
      <c r="F1575" s="3"/>
      <c r="G1575" s="3"/>
      <c r="H1575" s="3"/>
      <c r="I1575" s="3"/>
      <c r="J1575" s="3"/>
    </row>
    <row r="1576" spans="3:10" ht="15" hidden="1" x14ac:dyDescent="0.25">
      <c r="C1576" s="3"/>
      <c r="D1576" s="3"/>
      <c r="E1576" s="3"/>
      <c r="F1576" s="3"/>
      <c r="G1576" s="3"/>
      <c r="H1576" s="3"/>
      <c r="I1576" s="3"/>
      <c r="J1576" s="3"/>
    </row>
    <row r="1577" spans="3:10" ht="15" hidden="1" x14ac:dyDescent="0.25">
      <c r="C1577" s="3"/>
      <c r="D1577" s="3"/>
      <c r="E1577" s="3"/>
      <c r="F1577" s="3"/>
      <c r="G1577" s="3"/>
      <c r="H1577" s="3"/>
      <c r="I1577" s="3"/>
      <c r="J1577" s="3"/>
    </row>
    <row r="1578" spans="3:10" ht="15" hidden="1" x14ac:dyDescent="0.25">
      <c r="C1578" s="3"/>
      <c r="D1578" s="3"/>
      <c r="E1578" s="3"/>
      <c r="F1578" s="3"/>
      <c r="G1578" s="3"/>
      <c r="H1578" s="3"/>
      <c r="I1578" s="3"/>
      <c r="J1578" s="3"/>
    </row>
    <row r="1579" spans="3:10" ht="15" hidden="1" x14ac:dyDescent="0.25">
      <c r="C1579" s="3"/>
      <c r="D1579" s="3"/>
      <c r="E1579" s="3"/>
      <c r="F1579" s="3"/>
      <c r="G1579" s="3"/>
      <c r="H1579" s="3"/>
      <c r="I1579" s="3"/>
      <c r="J1579" s="3"/>
    </row>
    <row r="1580" spans="3:10" ht="15" hidden="1" x14ac:dyDescent="0.25">
      <c r="C1580" s="3"/>
      <c r="D1580" s="3"/>
      <c r="E1580" s="3"/>
      <c r="F1580" s="3"/>
      <c r="G1580" s="3"/>
      <c r="H1580" s="3"/>
      <c r="I1580" s="3"/>
      <c r="J1580" s="3"/>
    </row>
    <row r="1581" spans="3:10" ht="15" hidden="1" x14ac:dyDescent="0.25">
      <c r="C1581" s="3"/>
      <c r="D1581" s="3"/>
      <c r="E1581" s="3"/>
      <c r="F1581" s="3"/>
      <c r="G1581" s="3"/>
      <c r="H1581" s="3"/>
      <c r="I1581" s="3"/>
      <c r="J1581" s="3"/>
    </row>
    <row r="1582" spans="3:10" ht="15" hidden="1" x14ac:dyDescent="0.25">
      <c r="C1582" s="3"/>
      <c r="D1582" s="3"/>
      <c r="E1582" s="3"/>
      <c r="F1582" s="3"/>
      <c r="G1582" s="3"/>
      <c r="H1582" s="3"/>
      <c r="I1582" s="3"/>
      <c r="J1582" s="3"/>
    </row>
    <row r="1583" spans="3:10" ht="15" hidden="1" x14ac:dyDescent="0.25">
      <c r="C1583" s="3"/>
      <c r="D1583" s="3"/>
      <c r="E1583" s="3"/>
      <c r="F1583" s="3"/>
      <c r="G1583" s="3"/>
      <c r="H1583" s="3"/>
      <c r="I1583" s="3"/>
      <c r="J1583" s="3"/>
    </row>
    <row r="1584" spans="3:10" ht="15" hidden="1" x14ac:dyDescent="0.25">
      <c r="C1584" s="3"/>
      <c r="D1584" s="3"/>
      <c r="E1584" s="3"/>
      <c r="F1584" s="3"/>
      <c r="G1584" s="3"/>
      <c r="H1584" s="3"/>
      <c r="I1584" s="3"/>
      <c r="J1584" s="3"/>
    </row>
    <row r="1585" spans="3:10" ht="15" hidden="1" x14ac:dyDescent="0.25">
      <c r="C1585" s="3"/>
      <c r="D1585" s="3"/>
      <c r="E1585" s="3"/>
      <c r="F1585" s="3"/>
      <c r="G1585" s="3"/>
      <c r="H1585" s="3"/>
      <c r="I1585" s="3"/>
      <c r="J1585" s="3"/>
    </row>
    <row r="1586" spans="3:10" ht="15" hidden="1" x14ac:dyDescent="0.25">
      <c r="C1586" s="3"/>
      <c r="D1586" s="3"/>
      <c r="E1586" s="3"/>
      <c r="F1586" s="3"/>
      <c r="G1586" s="3"/>
      <c r="H1586" s="3"/>
      <c r="I1586" s="3"/>
      <c r="J1586" s="3"/>
    </row>
    <row r="1587" spans="3:10" ht="15" hidden="1" x14ac:dyDescent="0.25">
      <c r="C1587" s="3"/>
      <c r="D1587" s="3"/>
      <c r="E1587" s="3"/>
      <c r="F1587" s="3"/>
      <c r="G1587" s="3"/>
      <c r="H1587" s="3"/>
      <c r="I1587" s="3"/>
      <c r="J1587" s="3"/>
    </row>
    <row r="1588" spans="3:10" ht="15" hidden="1" x14ac:dyDescent="0.25">
      <c r="C1588" s="3"/>
      <c r="D1588" s="3"/>
      <c r="E1588" s="3"/>
      <c r="F1588" s="3"/>
      <c r="G1588" s="3"/>
      <c r="H1588" s="3"/>
      <c r="I1588" s="3"/>
      <c r="J1588" s="3"/>
    </row>
    <row r="1589" spans="3:10" ht="15" hidden="1" x14ac:dyDescent="0.25">
      <c r="C1589" s="3"/>
      <c r="D1589" s="3"/>
      <c r="E1589" s="3"/>
      <c r="F1589" s="3"/>
      <c r="G1589" s="3"/>
      <c r="H1589" s="3"/>
      <c r="I1589" s="3"/>
      <c r="J1589" s="3"/>
    </row>
    <row r="1590" spans="3:10" ht="15" hidden="1" x14ac:dyDescent="0.25">
      <c r="C1590" s="3"/>
      <c r="D1590" s="3"/>
      <c r="E1590" s="3"/>
      <c r="F1590" s="3"/>
      <c r="G1590" s="3"/>
      <c r="H1590" s="3"/>
      <c r="I1590" s="3"/>
      <c r="J1590" s="3"/>
    </row>
    <row r="1591" spans="3:10" ht="15" hidden="1" x14ac:dyDescent="0.25">
      <c r="C1591" s="3"/>
      <c r="D1591" s="3"/>
      <c r="E1591" s="3"/>
      <c r="F1591" s="3"/>
      <c r="G1591" s="3"/>
      <c r="H1591" s="3"/>
      <c r="I1591" s="3"/>
      <c r="J1591" s="3"/>
    </row>
    <row r="1592" spans="3:10" ht="15" hidden="1" x14ac:dyDescent="0.25">
      <c r="C1592" s="3"/>
      <c r="D1592" s="3"/>
      <c r="E1592" s="3"/>
      <c r="F1592" s="3"/>
      <c r="G1592" s="3"/>
      <c r="H1592" s="3"/>
      <c r="I1592" s="3"/>
      <c r="J1592" s="3"/>
    </row>
    <row r="1593" spans="3:10" ht="15" hidden="1" x14ac:dyDescent="0.25">
      <c r="C1593" s="3"/>
      <c r="D1593" s="3"/>
      <c r="E1593" s="3"/>
      <c r="F1593" s="3"/>
      <c r="G1593" s="3"/>
      <c r="H1593" s="3"/>
      <c r="I1593" s="3"/>
      <c r="J1593" s="3"/>
    </row>
    <row r="1594" spans="3:10" ht="15" hidden="1" x14ac:dyDescent="0.25">
      <c r="C1594" s="3"/>
      <c r="D1594" s="3"/>
      <c r="E1594" s="3"/>
      <c r="F1594" s="3"/>
      <c r="G1594" s="3"/>
      <c r="H1594" s="3"/>
      <c r="I1594" s="3"/>
      <c r="J1594" s="3"/>
    </row>
    <row r="1595" spans="3:10" ht="15" hidden="1" x14ac:dyDescent="0.25">
      <c r="C1595" s="3"/>
      <c r="D1595" s="3"/>
      <c r="E1595" s="3"/>
      <c r="F1595" s="3"/>
      <c r="G1595" s="3"/>
      <c r="H1595" s="3"/>
      <c r="I1595" s="3"/>
      <c r="J1595" s="3"/>
    </row>
    <row r="1596" spans="3:10" ht="15" hidden="1" x14ac:dyDescent="0.25">
      <c r="C1596" s="3"/>
      <c r="D1596" s="3"/>
      <c r="E1596" s="3"/>
      <c r="F1596" s="3"/>
      <c r="G1596" s="3"/>
      <c r="H1596" s="3"/>
      <c r="I1596" s="3"/>
      <c r="J1596" s="3"/>
    </row>
    <row r="1597" spans="3:10" ht="15" hidden="1" x14ac:dyDescent="0.25">
      <c r="C1597" s="3"/>
      <c r="D1597" s="3"/>
      <c r="E1597" s="3"/>
      <c r="F1597" s="3"/>
      <c r="G1597" s="3"/>
      <c r="H1597" s="3"/>
      <c r="I1597" s="3"/>
      <c r="J1597" s="3"/>
    </row>
    <row r="1598" spans="3:10" ht="15" hidden="1" x14ac:dyDescent="0.25">
      <c r="C1598" s="3"/>
      <c r="D1598" s="3"/>
      <c r="E1598" s="3"/>
      <c r="F1598" s="3"/>
      <c r="G1598" s="3"/>
      <c r="H1598" s="3"/>
      <c r="I1598" s="3"/>
      <c r="J1598" s="3"/>
    </row>
    <row r="1599" spans="3:10" ht="15" hidden="1" x14ac:dyDescent="0.25">
      <c r="C1599" s="3"/>
      <c r="D1599" s="3"/>
      <c r="E1599" s="3"/>
      <c r="F1599" s="3"/>
      <c r="G1599" s="3"/>
      <c r="H1599" s="3"/>
      <c r="I1599" s="3"/>
      <c r="J1599" s="3"/>
    </row>
    <row r="1600" spans="3:10" ht="15" hidden="1" x14ac:dyDescent="0.25">
      <c r="C1600" s="3"/>
      <c r="D1600" s="3"/>
      <c r="E1600" s="3"/>
      <c r="F1600" s="3"/>
      <c r="G1600" s="3"/>
      <c r="H1600" s="3"/>
      <c r="I1600" s="3"/>
      <c r="J1600" s="3"/>
    </row>
    <row r="1601" spans="3:10" ht="15" hidden="1" x14ac:dyDescent="0.25">
      <c r="C1601" s="3"/>
      <c r="D1601" s="3"/>
      <c r="E1601" s="3"/>
      <c r="F1601" s="3"/>
      <c r="G1601" s="3"/>
      <c r="H1601" s="3"/>
      <c r="I1601" s="3"/>
      <c r="J1601" s="3"/>
    </row>
    <row r="1602" spans="3:10" ht="15" hidden="1" x14ac:dyDescent="0.25">
      <c r="C1602" s="3"/>
      <c r="D1602" s="3"/>
      <c r="E1602" s="3"/>
      <c r="F1602" s="3"/>
      <c r="G1602" s="3"/>
      <c r="H1602" s="3"/>
      <c r="I1602" s="3"/>
      <c r="J1602" s="3"/>
    </row>
    <row r="1603" spans="3:10" ht="15" hidden="1" x14ac:dyDescent="0.25">
      <c r="C1603" s="3"/>
      <c r="D1603" s="3"/>
      <c r="E1603" s="3"/>
      <c r="F1603" s="3"/>
      <c r="G1603" s="3"/>
      <c r="H1603" s="3"/>
      <c r="I1603" s="3"/>
      <c r="J1603" s="3"/>
    </row>
    <row r="1604" spans="3:10" ht="15" hidden="1" x14ac:dyDescent="0.25">
      <c r="C1604" s="3"/>
      <c r="D1604" s="3"/>
      <c r="E1604" s="3"/>
      <c r="F1604" s="3"/>
      <c r="G1604" s="3"/>
      <c r="H1604" s="3"/>
      <c r="I1604" s="3"/>
      <c r="J1604" s="3"/>
    </row>
    <row r="1605" spans="3:10" ht="15" hidden="1" x14ac:dyDescent="0.25">
      <c r="C1605" s="3"/>
      <c r="D1605" s="3"/>
      <c r="E1605" s="3"/>
      <c r="F1605" s="3"/>
      <c r="G1605" s="3"/>
      <c r="H1605" s="3"/>
      <c r="I1605" s="3"/>
      <c r="J1605" s="3"/>
    </row>
    <row r="1606" spans="3:10" ht="15" hidden="1" x14ac:dyDescent="0.25">
      <c r="C1606" s="3"/>
      <c r="D1606" s="3"/>
      <c r="E1606" s="3"/>
      <c r="F1606" s="3"/>
      <c r="G1606" s="3"/>
      <c r="H1606" s="3"/>
      <c r="I1606" s="3"/>
      <c r="J1606" s="3"/>
    </row>
    <row r="1607" spans="3:10" ht="15" hidden="1" x14ac:dyDescent="0.25">
      <c r="C1607" s="3"/>
      <c r="D1607" s="3"/>
      <c r="E1607" s="3"/>
      <c r="F1607" s="3"/>
      <c r="G1607" s="3"/>
      <c r="H1607" s="3"/>
      <c r="I1607" s="3"/>
      <c r="J1607" s="3"/>
    </row>
    <row r="1608" spans="3:10" ht="15" hidden="1" x14ac:dyDescent="0.25">
      <c r="C1608" s="3"/>
      <c r="D1608" s="3"/>
      <c r="E1608" s="3"/>
      <c r="F1608" s="3"/>
      <c r="G1608" s="3"/>
      <c r="H1608" s="3"/>
      <c r="I1608" s="3"/>
      <c r="J1608" s="3"/>
    </row>
    <row r="1609" spans="3:10" ht="15" hidden="1" x14ac:dyDescent="0.25">
      <c r="C1609" s="3"/>
      <c r="D1609" s="3"/>
      <c r="E1609" s="3"/>
      <c r="F1609" s="3"/>
      <c r="G1609" s="3"/>
      <c r="H1609" s="3"/>
      <c r="I1609" s="3"/>
      <c r="J1609" s="3"/>
    </row>
    <row r="1610" spans="3:10" ht="15" hidden="1" x14ac:dyDescent="0.25">
      <c r="C1610" s="3"/>
      <c r="D1610" s="3"/>
      <c r="E1610" s="3"/>
      <c r="F1610" s="3"/>
      <c r="G1610" s="3"/>
      <c r="H1610" s="3"/>
      <c r="I1610" s="3"/>
      <c r="J1610" s="3"/>
    </row>
    <row r="1611" spans="3:10" ht="15" hidden="1" x14ac:dyDescent="0.25">
      <c r="C1611" s="3"/>
      <c r="D1611" s="3"/>
      <c r="E1611" s="3"/>
      <c r="F1611" s="3"/>
      <c r="G1611" s="3"/>
      <c r="H1611" s="3"/>
      <c r="I1611" s="3"/>
      <c r="J1611" s="3"/>
    </row>
    <row r="1612" spans="3:10" ht="15" hidden="1" x14ac:dyDescent="0.25">
      <c r="C1612" s="3"/>
      <c r="D1612" s="3"/>
      <c r="E1612" s="3"/>
      <c r="F1612" s="3"/>
      <c r="G1612" s="3"/>
      <c r="H1612" s="3"/>
      <c r="I1612" s="3"/>
      <c r="J1612" s="3"/>
    </row>
    <row r="1613" spans="3:10" ht="15" hidden="1" x14ac:dyDescent="0.25">
      <c r="C1613" s="3"/>
      <c r="D1613" s="3"/>
      <c r="E1613" s="3"/>
      <c r="F1613" s="3"/>
      <c r="G1613" s="3"/>
      <c r="H1613" s="3"/>
      <c r="I1613" s="3"/>
      <c r="J1613" s="3"/>
    </row>
    <row r="1614" spans="3:10" ht="15" hidden="1" x14ac:dyDescent="0.25">
      <c r="C1614" s="3"/>
      <c r="D1614" s="3"/>
      <c r="E1614" s="3"/>
      <c r="F1614" s="3"/>
      <c r="G1614" s="3"/>
      <c r="H1614" s="3"/>
      <c r="I1614" s="3"/>
      <c r="J1614" s="3"/>
    </row>
    <row r="1615" spans="3:10" ht="15" hidden="1" x14ac:dyDescent="0.25">
      <c r="C1615" s="3"/>
      <c r="D1615" s="3"/>
      <c r="E1615" s="3"/>
      <c r="F1615" s="3"/>
      <c r="G1615" s="3"/>
      <c r="H1615" s="3"/>
      <c r="I1615" s="3"/>
      <c r="J1615" s="3"/>
    </row>
    <row r="1616" spans="3:10" ht="15" hidden="1" x14ac:dyDescent="0.25">
      <c r="C1616" s="3"/>
      <c r="D1616" s="3"/>
      <c r="E1616" s="3"/>
      <c r="F1616" s="3"/>
      <c r="G1616" s="3"/>
      <c r="H1616" s="3"/>
      <c r="I1616" s="3"/>
      <c r="J1616" s="3"/>
    </row>
    <row r="1617" spans="3:10" ht="15" hidden="1" x14ac:dyDescent="0.25">
      <c r="C1617" s="3"/>
      <c r="D1617" s="3"/>
      <c r="E1617" s="3"/>
      <c r="F1617" s="3"/>
      <c r="G1617" s="3"/>
      <c r="H1617" s="3"/>
      <c r="I1617" s="3"/>
      <c r="J1617" s="3"/>
    </row>
    <row r="1618" spans="3:10" ht="15" hidden="1" x14ac:dyDescent="0.25">
      <c r="C1618" s="3"/>
      <c r="D1618" s="3"/>
      <c r="E1618" s="3"/>
      <c r="F1618" s="3"/>
      <c r="G1618" s="3"/>
      <c r="H1618" s="3"/>
      <c r="I1618" s="3"/>
      <c r="J1618" s="3"/>
    </row>
    <row r="1619" spans="3:10" ht="15" hidden="1" x14ac:dyDescent="0.25">
      <c r="C1619" s="3"/>
      <c r="D1619" s="3"/>
      <c r="E1619" s="3"/>
      <c r="F1619" s="3"/>
      <c r="G1619" s="3"/>
      <c r="H1619" s="3"/>
      <c r="I1619" s="3"/>
      <c r="J1619" s="3"/>
    </row>
    <row r="1620" spans="3:10" ht="15" hidden="1" x14ac:dyDescent="0.25">
      <c r="C1620" s="3"/>
      <c r="D1620" s="3"/>
      <c r="E1620" s="3"/>
      <c r="F1620" s="3"/>
      <c r="G1620" s="3"/>
      <c r="H1620" s="3"/>
      <c r="I1620" s="3"/>
      <c r="J1620" s="3"/>
    </row>
    <row r="1621" spans="3:10" ht="15" hidden="1" x14ac:dyDescent="0.25">
      <c r="C1621" s="3"/>
      <c r="D1621" s="3"/>
      <c r="E1621" s="3"/>
      <c r="F1621" s="3"/>
      <c r="G1621" s="3"/>
      <c r="H1621" s="3"/>
      <c r="I1621" s="3"/>
      <c r="J1621" s="3"/>
    </row>
    <row r="1622" spans="3:10" ht="15" hidden="1" x14ac:dyDescent="0.25">
      <c r="C1622" s="3"/>
      <c r="D1622" s="3"/>
      <c r="E1622" s="3"/>
      <c r="F1622" s="3"/>
      <c r="G1622" s="3"/>
      <c r="H1622" s="3"/>
      <c r="I1622" s="3"/>
      <c r="J1622" s="3"/>
    </row>
    <row r="1623" spans="3:10" ht="15" hidden="1" x14ac:dyDescent="0.25">
      <c r="C1623" s="3"/>
      <c r="D1623" s="3"/>
      <c r="E1623" s="3"/>
      <c r="F1623" s="3"/>
      <c r="G1623" s="3"/>
      <c r="H1623" s="3"/>
      <c r="I1623" s="3"/>
      <c r="J1623" s="3"/>
    </row>
    <row r="1624" spans="3:10" ht="15" hidden="1" x14ac:dyDescent="0.25">
      <c r="C1624" s="3"/>
      <c r="D1624" s="3"/>
      <c r="E1624" s="3"/>
      <c r="F1624" s="3"/>
      <c r="G1624" s="3"/>
      <c r="H1624" s="3"/>
      <c r="I1624" s="3"/>
      <c r="J1624" s="3"/>
    </row>
    <row r="1625" spans="3:10" ht="15" hidden="1" x14ac:dyDescent="0.25">
      <c r="C1625" s="3"/>
      <c r="D1625" s="3"/>
      <c r="E1625" s="3"/>
      <c r="F1625" s="3"/>
      <c r="G1625" s="3"/>
      <c r="H1625" s="3"/>
      <c r="I1625" s="3"/>
      <c r="J1625" s="3"/>
    </row>
    <row r="1626" spans="3:10" ht="15" hidden="1" x14ac:dyDescent="0.25">
      <c r="C1626" s="3"/>
      <c r="D1626" s="3"/>
      <c r="E1626" s="3"/>
      <c r="F1626" s="3"/>
      <c r="G1626" s="3"/>
      <c r="H1626" s="3"/>
      <c r="I1626" s="3"/>
      <c r="J1626" s="3"/>
    </row>
    <row r="1627" spans="3:10" ht="15" hidden="1" x14ac:dyDescent="0.25">
      <c r="C1627" s="3"/>
      <c r="D1627" s="3"/>
      <c r="E1627" s="3"/>
      <c r="F1627" s="3"/>
      <c r="G1627" s="3"/>
      <c r="H1627" s="3"/>
      <c r="I1627" s="3"/>
      <c r="J1627" s="3"/>
    </row>
    <row r="1628" spans="3:10" ht="15" hidden="1" x14ac:dyDescent="0.25">
      <c r="C1628" s="3"/>
      <c r="D1628" s="3"/>
      <c r="E1628" s="3"/>
      <c r="F1628" s="3"/>
      <c r="G1628" s="3"/>
      <c r="H1628" s="3"/>
      <c r="I1628" s="3"/>
      <c r="J1628" s="3"/>
    </row>
    <row r="1629" spans="3:10" ht="15" hidden="1" x14ac:dyDescent="0.25">
      <c r="C1629" s="3"/>
      <c r="D1629" s="3"/>
      <c r="E1629" s="3"/>
      <c r="F1629" s="3"/>
      <c r="G1629" s="3"/>
      <c r="H1629" s="3"/>
      <c r="I1629" s="3"/>
      <c r="J1629" s="3"/>
    </row>
    <row r="1630" spans="3:10" ht="15" hidden="1" x14ac:dyDescent="0.25">
      <c r="C1630" s="3"/>
      <c r="D1630" s="3"/>
      <c r="E1630" s="3"/>
      <c r="F1630" s="3"/>
      <c r="G1630" s="3"/>
      <c r="H1630" s="3"/>
      <c r="I1630" s="3"/>
      <c r="J1630" s="3"/>
    </row>
    <row r="1631" spans="3:10" ht="15" hidden="1" x14ac:dyDescent="0.25">
      <c r="C1631" s="3"/>
      <c r="D1631" s="3"/>
      <c r="E1631" s="3"/>
      <c r="F1631" s="3"/>
      <c r="G1631" s="3"/>
      <c r="H1631" s="3"/>
      <c r="I1631" s="3"/>
      <c r="J1631" s="3"/>
    </row>
    <row r="1632" spans="3:10" ht="15" hidden="1" x14ac:dyDescent="0.25">
      <c r="C1632" s="3"/>
      <c r="D1632" s="3"/>
      <c r="E1632" s="3"/>
      <c r="F1632" s="3"/>
      <c r="G1632" s="3"/>
      <c r="H1632" s="3"/>
      <c r="I1632" s="3"/>
      <c r="J1632" s="3"/>
    </row>
    <row r="1633" spans="3:10" ht="15" hidden="1" x14ac:dyDescent="0.25">
      <c r="C1633" s="3"/>
      <c r="D1633" s="3"/>
      <c r="E1633" s="3"/>
      <c r="F1633" s="3"/>
      <c r="G1633" s="3"/>
      <c r="H1633" s="3"/>
      <c r="I1633" s="3"/>
      <c r="J1633" s="3"/>
    </row>
    <row r="1634" spans="3:10" ht="15" hidden="1" x14ac:dyDescent="0.25">
      <c r="C1634" s="3"/>
      <c r="D1634" s="3"/>
      <c r="E1634" s="3"/>
      <c r="F1634" s="3"/>
      <c r="G1634" s="3"/>
      <c r="H1634" s="3"/>
      <c r="I1634" s="3"/>
      <c r="J1634" s="3"/>
    </row>
    <row r="1635" spans="3:10" ht="15" hidden="1" x14ac:dyDescent="0.25">
      <c r="C1635" s="3"/>
      <c r="D1635" s="3"/>
      <c r="E1635" s="3"/>
      <c r="F1635" s="3"/>
      <c r="G1635" s="3"/>
      <c r="H1635" s="3"/>
      <c r="I1635" s="3"/>
      <c r="J1635" s="3"/>
    </row>
    <row r="1636" spans="3:10" ht="15" hidden="1" x14ac:dyDescent="0.25">
      <c r="C1636" s="3"/>
      <c r="D1636" s="3"/>
      <c r="E1636" s="3"/>
      <c r="F1636" s="3"/>
      <c r="G1636" s="3"/>
      <c r="H1636" s="3"/>
      <c r="I1636" s="3"/>
      <c r="J1636" s="3"/>
    </row>
    <row r="1637" spans="3:10" ht="15" hidden="1" x14ac:dyDescent="0.25">
      <c r="C1637" s="3"/>
      <c r="D1637" s="3"/>
      <c r="E1637" s="3"/>
      <c r="F1637" s="3"/>
      <c r="G1637" s="3"/>
      <c r="H1637" s="3"/>
      <c r="I1637" s="3"/>
      <c r="J1637" s="3"/>
    </row>
    <row r="1638" spans="3:10" ht="15" hidden="1" x14ac:dyDescent="0.25">
      <c r="C1638" s="3"/>
      <c r="D1638" s="3"/>
      <c r="E1638" s="3"/>
      <c r="F1638" s="3"/>
      <c r="G1638" s="3"/>
      <c r="H1638" s="3"/>
      <c r="I1638" s="3"/>
      <c r="J1638" s="3"/>
    </row>
    <row r="1639" spans="3:10" ht="15" hidden="1" x14ac:dyDescent="0.25">
      <c r="C1639" s="3"/>
      <c r="D1639" s="3"/>
      <c r="E1639" s="3"/>
      <c r="F1639" s="3"/>
      <c r="G1639" s="3"/>
      <c r="H1639" s="3"/>
      <c r="I1639" s="3"/>
      <c r="J1639" s="3"/>
    </row>
    <row r="1640" spans="3:10" ht="15" hidden="1" x14ac:dyDescent="0.25">
      <c r="C1640" s="3"/>
      <c r="D1640" s="3"/>
      <c r="E1640" s="3"/>
      <c r="F1640" s="3"/>
      <c r="G1640" s="3"/>
      <c r="H1640" s="3"/>
      <c r="I1640" s="3"/>
      <c r="J1640" s="3"/>
    </row>
    <row r="1641" spans="3:10" ht="15" hidden="1" x14ac:dyDescent="0.25">
      <c r="C1641" s="3"/>
      <c r="D1641" s="3"/>
      <c r="E1641" s="3"/>
      <c r="F1641" s="3"/>
      <c r="G1641" s="3"/>
      <c r="H1641" s="3"/>
      <c r="I1641" s="3"/>
      <c r="J1641" s="3"/>
    </row>
    <row r="1642" spans="3:10" ht="15" hidden="1" x14ac:dyDescent="0.25">
      <c r="C1642" s="3"/>
      <c r="D1642" s="3"/>
      <c r="E1642" s="3"/>
      <c r="F1642" s="3"/>
      <c r="G1642" s="3"/>
      <c r="H1642" s="3"/>
      <c r="I1642" s="3"/>
      <c r="J1642" s="3"/>
    </row>
    <row r="1643" spans="3:10" ht="15" hidden="1" x14ac:dyDescent="0.25">
      <c r="C1643" s="3"/>
      <c r="D1643" s="3"/>
      <c r="E1643" s="3"/>
      <c r="F1643" s="3"/>
      <c r="G1643" s="3"/>
      <c r="H1643" s="3"/>
      <c r="I1643" s="3"/>
      <c r="J1643" s="3"/>
    </row>
    <row r="1644" spans="3:10" ht="15" hidden="1" x14ac:dyDescent="0.25">
      <c r="C1644" s="3"/>
      <c r="D1644" s="3"/>
      <c r="E1644" s="3"/>
      <c r="F1644" s="3"/>
      <c r="G1644" s="3"/>
      <c r="H1644" s="3"/>
      <c r="I1644" s="3"/>
      <c r="J1644" s="3"/>
    </row>
    <row r="1645" spans="3:10" ht="15" hidden="1" x14ac:dyDescent="0.25">
      <c r="C1645" s="3"/>
      <c r="D1645" s="3"/>
      <c r="E1645" s="3"/>
      <c r="F1645" s="3"/>
      <c r="G1645" s="3"/>
      <c r="H1645" s="3"/>
      <c r="I1645" s="3"/>
      <c r="J1645" s="3"/>
    </row>
    <row r="1646" spans="3:10" ht="15" hidden="1" x14ac:dyDescent="0.25">
      <c r="C1646" s="3"/>
      <c r="D1646" s="3"/>
      <c r="E1646" s="3"/>
      <c r="F1646" s="3"/>
      <c r="G1646" s="3"/>
      <c r="H1646" s="3"/>
      <c r="I1646" s="3"/>
      <c r="J1646" s="3"/>
    </row>
    <row r="1647" spans="3:10" ht="15" hidden="1" x14ac:dyDescent="0.25">
      <c r="C1647" s="3"/>
      <c r="D1647" s="3"/>
      <c r="E1647" s="3"/>
      <c r="F1647" s="3"/>
      <c r="G1647" s="3"/>
      <c r="H1647" s="3"/>
      <c r="I1647" s="3"/>
      <c r="J1647" s="3"/>
    </row>
    <row r="1648" spans="3:10" ht="15" hidden="1" x14ac:dyDescent="0.25">
      <c r="C1648" s="3"/>
      <c r="D1648" s="3"/>
      <c r="E1648" s="3"/>
      <c r="F1648" s="3"/>
      <c r="G1648" s="3"/>
      <c r="H1648" s="3"/>
      <c r="I1648" s="3"/>
      <c r="J1648" s="3"/>
    </row>
    <row r="1649" spans="3:10" ht="15" hidden="1" x14ac:dyDescent="0.25">
      <c r="C1649" s="3"/>
      <c r="D1649" s="3"/>
      <c r="E1649" s="3"/>
      <c r="F1649" s="3"/>
      <c r="G1649" s="3"/>
      <c r="H1649" s="3"/>
      <c r="I1649" s="3"/>
      <c r="J1649" s="3"/>
    </row>
    <row r="1650" spans="3:10" ht="15" hidden="1" x14ac:dyDescent="0.25">
      <c r="C1650" s="3"/>
      <c r="D1650" s="3"/>
      <c r="E1650" s="3"/>
      <c r="F1650" s="3"/>
      <c r="G1650" s="3"/>
      <c r="H1650" s="3"/>
      <c r="I1650" s="3"/>
      <c r="J1650" s="3"/>
    </row>
    <row r="1651" spans="3:10" ht="15" hidden="1" x14ac:dyDescent="0.25">
      <c r="C1651" s="3"/>
      <c r="D1651" s="3"/>
      <c r="E1651" s="3"/>
      <c r="F1651" s="3"/>
      <c r="G1651" s="3"/>
      <c r="H1651" s="3"/>
      <c r="I1651" s="3"/>
      <c r="J1651" s="3"/>
    </row>
    <row r="1652" spans="3:10" ht="15" hidden="1" x14ac:dyDescent="0.25">
      <c r="C1652" s="3"/>
      <c r="D1652" s="3"/>
      <c r="E1652" s="3"/>
      <c r="F1652" s="3"/>
      <c r="G1652" s="3"/>
      <c r="H1652" s="3"/>
      <c r="I1652" s="3"/>
      <c r="J1652" s="3"/>
    </row>
    <row r="1653" spans="3:10" ht="15" hidden="1" x14ac:dyDescent="0.25">
      <c r="C1653" s="3"/>
      <c r="D1653" s="3"/>
      <c r="E1653" s="3"/>
      <c r="F1653" s="3"/>
      <c r="G1653" s="3"/>
      <c r="H1653" s="3"/>
      <c r="I1653" s="3"/>
      <c r="J1653" s="3"/>
    </row>
    <row r="1654" spans="3:10" ht="15" hidden="1" x14ac:dyDescent="0.25">
      <c r="C1654" s="3"/>
      <c r="D1654" s="3"/>
      <c r="E1654" s="3"/>
      <c r="F1654" s="3"/>
      <c r="G1654" s="3"/>
      <c r="H1654" s="3"/>
      <c r="I1654" s="3"/>
      <c r="J1654" s="3"/>
    </row>
    <row r="1655" spans="3:10" ht="15" hidden="1" x14ac:dyDescent="0.25">
      <c r="C1655" s="3"/>
      <c r="D1655" s="3"/>
      <c r="E1655" s="3"/>
      <c r="F1655" s="3"/>
      <c r="G1655" s="3"/>
      <c r="H1655" s="3"/>
      <c r="I1655" s="3"/>
      <c r="J1655" s="3"/>
    </row>
    <row r="1656" spans="3:10" ht="15" hidden="1" x14ac:dyDescent="0.25">
      <c r="C1656" s="3"/>
      <c r="D1656" s="3"/>
      <c r="E1656" s="3"/>
      <c r="F1656" s="3"/>
      <c r="G1656" s="3"/>
      <c r="H1656" s="3"/>
      <c r="I1656" s="3"/>
      <c r="J1656" s="3"/>
    </row>
    <row r="1657" spans="3:10" ht="15" hidden="1" x14ac:dyDescent="0.25">
      <c r="C1657" s="3"/>
      <c r="D1657" s="3"/>
      <c r="E1657" s="3"/>
      <c r="F1657" s="3"/>
      <c r="G1657" s="3"/>
      <c r="H1657" s="3"/>
      <c r="I1657" s="3"/>
      <c r="J1657" s="3"/>
    </row>
    <row r="1658" spans="3:10" ht="15" hidden="1" x14ac:dyDescent="0.25">
      <c r="C1658" s="3"/>
      <c r="D1658" s="3"/>
      <c r="E1658" s="3"/>
      <c r="F1658" s="3"/>
      <c r="G1658" s="3"/>
      <c r="H1658" s="3"/>
      <c r="I1658" s="3"/>
      <c r="J1658" s="3"/>
    </row>
    <row r="1659" spans="3:10" ht="15" hidden="1" x14ac:dyDescent="0.25">
      <c r="C1659" s="3"/>
      <c r="D1659" s="3"/>
      <c r="E1659" s="3"/>
      <c r="F1659" s="3"/>
      <c r="G1659" s="3"/>
      <c r="H1659" s="3"/>
      <c r="I1659" s="3"/>
      <c r="J1659" s="3"/>
    </row>
    <row r="1660" spans="3:10" ht="15" hidden="1" x14ac:dyDescent="0.25">
      <c r="C1660" s="3"/>
      <c r="D1660" s="3"/>
      <c r="E1660" s="3"/>
      <c r="F1660" s="3"/>
      <c r="G1660" s="3"/>
      <c r="H1660" s="3"/>
      <c r="I1660" s="3"/>
      <c r="J1660" s="3"/>
    </row>
    <row r="1661" spans="3:10" ht="15" hidden="1" x14ac:dyDescent="0.25">
      <c r="C1661" s="3"/>
      <c r="D1661" s="3"/>
      <c r="E1661" s="3"/>
      <c r="F1661" s="3"/>
      <c r="G1661" s="3"/>
      <c r="H1661" s="3"/>
      <c r="I1661" s="3"/>
      <c r="J1661" s="3"/>
    </row>
    <row r="1662" spans="3:10" ht="15" hidden="1" x14ac:dyDescent="0.25">
      <c r="C1662" s="3"/>
      <c r="D1662" s="3"/>
      <c r="E1662" s="3"/>
      <c r="F1662" s="3"/>
      <c r="G1662" s="3"/>
      <c r="H1662" s="3"/>
      <c r="I1662" s="3"/>
      <c r="J1662" s="3"/>
    </row>
    <row r="1663" spans="3:10" ht="15" hidden="1" x14ac:dyDescent="0.25">
      <c r="C1663" s="3"/>
      <c r="D1663" s="3"/>
      <c r="E1663" s="3"/>
      <c r="F1663" s="3"/>
      <c r="G1663" s="3"/>
      <c r="H1663" s="3"/>
      <c r="I1663" s="3"/>
      <c r="J1663" s="3"/>
    </row>
    <row r="1664" spans="3:10" ht="15" hidden="1" x14ac:dyDescent="0.25">
      <c r="C1664" s="3"/>
      <c r="D1664" s="3"/>
      <c r="E1664" s="3"/>
      <c r="F1664" s="3"/>
      <c r="G1664" s="3"/>
      <c r="H1664" s="3"/>
      <c r="I1664" s="3"/>
      <c r="J1664" s="3"/>
    </row>
    <row r="1665" spans="3:10" ht="15" hidden="1" x14ac:dyDescent="0.25">
      <c r="C1665" s="3"/>
      <c r="D1665" s="3"/>
      <c r="E1665" s="3"/>
      <c r="F1665" s="3"/>
      <c r="G1665" s="3"/>
      <c r="H1665" s="3"/>
      <c r="I1665" s="3"/>
      <c r="J1665" s="3"/>
    </row>
    <row r="1666" spans="3:10" ht="15" hidden="1" x14ac:dyDescent="0.25">
      <c r="C1666" s="3"/>
      <c r="D1666" s="3"/>
      <c r="E1666" s="3"/>
      <c r="F1666" s="3"/>
      <c r="G1666" s="3"/>
      <c r="H1666" s="3"/>
      <c r="I1666" s="3"/>
      <c r="J1666" s="3"/>
    </row>
    <row r="1667" spans="3:10" ht="15" hidden="1" x14ac:dyDescent="0.25">
      <c r="C1667" s="3"/>
      <c r="D1667" s="3"/>
      <c r="E1667" s="3"/>
      <c r="F1667" s="3"/>
      <c r="G1667" s="3"/>
      <c r="H1667" s="3"/>
      <c r="I1667" s="3"/>
      <c r="J1667" s="3"/>
    </row>
    <row r="1668" spans="3:10" ht="15" hidden="1" x14ac:dyDescent="0.25">
      <c r="C1668" s="3"/>
      <c r="D1668" s="3"/>
      <c r="E1668" s="3"/>
      <c r="F1668" s="3"/>
      <c r="G1668" s="3"/>
      <c r="H1668" s="3"/>
      <c r="I1668" s="3"/>
      <c r="J1668" s="3"/>
    </row>
    <row r="1669" spans="3:10" ht="15" hidden="1" x14ac:dyDescent="0.25">
      <c r="C1669" s="3"/>
      <c r="D1669" s="3"/>
      <c r="E1669" s="3"/>
      <c r="F1669" s="3"/>
      <c r="G1669" s="3"/>
      <c r="H1669" s="3"/>
      <c r="I1669" s="3"/>
      <c r="J1669" s="3"/>
    </row>
    <row r="1670" spans="3:10" ht="15" hidden="1" x14ac:dyDescent="0.25">
      <c r="C1670" s="3"/>
      <c r="D1670" s="3"/>
      <c r="E1670" s="3"/>
      <c r="F1670" s="3"/>
      <c r="G1670" s="3"/>
      <c r="H1670" s="3"/>
      <c r="I1670" s="3"/>
      <c r="J1670" s="3"/>
    </row>
    <row r="1671" spans="3:10" ht="15" hidden="1" x14ac:dyDescent="0.25">
      <c r="C1671" s="3"/>
      <c r="D1671" s="3"/>
      <c r="E1671" s="3"/>
      <c r="F1671" s="3"/>
      <c r="G1671" s="3"/>
      <c r="H1671" s="3"/>
      <c r="I1671" s="3"/>
      <c r="J1671" s="3"/>
    </row>
    <row r="1672" spans="3:10" ht="15" hidden="1" x14ac:dyDescent="0.25">
      <c r="C1672" s="3"/>
      <c r="D1672" s="3"/>
      <c r="E1672" s="3"/>
      <c r="F1672" s="3"/>
      <c r="G1672" s="3"/>
      <c r="H1672" s="3"/>
      <c r="I1672" s="3"/>
      <c r="J1672" s="3"/>
    </row>
    <row r="1673" spans="3:10" ht="15" hidden="1" x14ac:dyDescent="0.25">
      <c r="C1673" s="3"/>
      <c r="D1673" s="3"/>
      <c r="E1673" s="3"/>
      <c r="F1673" s="3"/>
      <c r="G1673" s="3"/>
      <c r="H1673" s="3"/>
      <c r="I1673" s="3"/>
      <c r="J1673" s="3"/>
    </row>
    <row r="1674" spans="3:10" ht="15" hidden="1" x14ac:dyDescent="0.25">
      <c r="C1674" s="3"/>
      <c r="D1674" s="3"/>
      <c r="E1674" s="3"/>
      <c r="F1674" s="3"/>
      <c r="G1674" s="3"/>
      <c r="H1674" s="3"/>
      <c r="I1674" s="3"/>
      <c r="J1674" s="3"/>
    </row>
    <row r="1675" spans="3:10" ht="15" hidden="1" x14ac:dyDescent="0.25">
      <c r="C1675" s="3"/>
      <c r="D1675" s="3"/>
      <c r="E1675" s="3"/>
      <c r="F1675" s="3"/>
      <c r="G1675" s="3"/>
      <c r="H1675" s="3"/>
      <c r="I1675" s="3"/>
      <c r="J1675" s="3"/>
    </row>
    <row r="1676" spans="3:10" ht="15" hidden="1" x14ac:dyDescent="0.25">
      <c r="C1676" s="3"/>
      <c r="D1676" s="3"/>
      <c r="E1676" s="3"/>
      <c r="F1676" s="3"/>
      <c r="G1676" s="3"/>
      <c r="H1676" s="3"/>
      <c r="I1676" s="3"/>
      <c r="J1676" s="3"/>
    </row>
    <row r="1677" spans="3:10" ht="15" hidden="1" x14ac:dyDescent="0.25">
      <c r="C1677" s="3"/>
      <c r="D1677" s="3"/>
      <c r="E1677" s="3"/>
      <c r="F1677" s="3"/>
      <c r="G1677" s="3"/>
      <c r="H1677" s="3"/>
      <c r="I1677" s="3"/>
      <c r="J1677" s="3"/>
    </row>
    <row r="1678" spans="3:10" ht="15" hidden="1" x14ac:dyDescent="0.25">
      <c r="C1678" s="3"/>
      <c r="D1678" s="3"/>
      <c r="E1678" s="3"/>
      <c r="F1678" s="3"/>
      <c r="G1678" s="3"/>
      <c r="H1678" s="3"/>
      <c r="I1678" s="3"/>
      <c r="J1678" s="3"/>
    </row>
    <row r="1679" spans="3:10" ht="15" hidden="1" x14ac:dyDescent="0.25">
      <c r="C1679" s="3"/>
      <c r="D1679" s="3"/>
      <c r="E1679" s="3"/>
      <c r="F1679" s="3"/>
      <c r="G1679" s="3"/>
      <c r="H1679" s="3"/>
      <c r="I1679" s="3"/>
      <c r="J1679" s="3"/>
    </row>
    <row r="1680" spans="3:10" ht="15" hidden="1" x14ac:dyDescent="0.25">
      <c r="C1680" s="3"/>
      <c r="D1680" s="3"/>
      <c r="E1680" s="3"/>
      <c r="F1680" s="3"/>
      <c r="G1680" s="3"/>
      <c r="H1680" s="3"/>
      <c r="I1680" s="3"/>
      <c r="J1680" s="3"/>
    </row>
    <row r="1681" spans="3:10" ht="15" hidden="1" x14ac:dyDescent="0.25">
      <c r="C1681" s="3"/>
      <c r="D1681" s="3"/>
      <c r="E1681" s="3"/>
      <c r="F1681" s="3"/>
      <c r="G1681" s="3"/>
      <c r="H1681" s="3"/>
      <c r="I1681" s="3"/>
      <c r="J1681" s="3"/>
    </row>
    <row r="1682" spans="3:10" ht="15" hidden="1" x14ac:dyDescent="0.25">
      <c r="C1682" s="3"/>
      <c r="D1682" s="3"/>
      <c r="E1682" s="3"/>
      <c r="F1682" s="3"/>
      <c r="G1682" s="3"/>
      <c r="H1682" s="3"/>
      <c r="I1682" s="3"/>
      <c r="J1682" s="3"/>
    </row>
    <row r="1683" spans="3:10" ht="15" hidden="1" x14ac:dyDescent="0.25">
      <c r="C1683" s="3"/>
      <c r="D1683" s="3"/>
      <c r="E1683" s="3"/>
      <c r="F1683" s="3"/>
      <c r="G1683" s="3"/>
      <c r="H1683" s="3"/>
      <c r="I1683" s="3"/>
      <c r="J1683" s="3"/>
    </row>
    <row r="1684" spans="3:10" ht="15" hidden="1" x14ac:dyDescent="0.25">
      <c r="C1684" s="3"/>
      <c r="D1684" s="3"/>
      <c r="E1684" s="3"/>
      <c r="F1684" s="3"/>
      <c r="G1684" s="3"/>
      <c r="H1684" s="3"/>
      <c r="I1684" s="3"/>
      <c r="J1684" s="3"/>
    </row>
    <row r="1685" spans="3:10" ht="15" hidden="1" x14ac:dyDescent="0.25">
      <c r="C1685" s="3"/>
      <c r="D1685" s="3"/>
      <c r="E1685" s="3"/>
      <c r="F1685" s="3"/>
      <c r="G1685" s="3"/>
      <c r="H1685" s="3"/>
      <c r="I1685" s="3"/>
      <c r="J1685" s="3"/>
    </row>
    <row r="1686" spans="3:10" ht="15" hidden="1" x14ac:dyDescent="0.25">
      <c r="C1686" s="3"/>
      <c r="D1686" s="3"/>
      <c r="E1686" s="3"/>
      <c r="F1686" s="3"/>
      <c r="G1686" s="3"/>
      <c r="H1686" s="3"/>
      <c r="I1686" s="3"/>
      <c r="J1686" s="3"/>
    </row>
    <row r="1687" spans="3:10" ht="15" hidden="1" x14ac:dyDescent="0.25">
      <c r="C1687" s="3"/>
      <c r="D1687" s="3"/>
      <c r="E1687" s="3"/>
      <c r="F1687" s="3"/>
      <c r="G1687" s="3"/>
      <c r="H1687" s="3"/>
      <c r="I1687" s="3"/>
      <c r="J1687" s="3"/>
    </row>
    <row r="1688" spans="3:10" ht="15" hidden="1" x14ac:dyDescent="0.25">
      <c r="C1688" s="3"/>
      <c r="D1688" s="3"/>
      <c r="E1688" s="3"/>
      <c r="F1688" s="3"/>
      <c r="G1688" s="3"/>
      <c r="H1688" s="3"/>
      <c r="I1688" s="3"/>
      <c r="J1688" s="3"/>
    </row>
    <row r="1689" spans="3:10" ht="15" hidden="1" x14ac:dyDescent="0.25">
      <c r="C1689" s="3"/>
      <c r="D1689" s="3"/>
      <c r="E1689" s="3"/>
      <c r="F1689" s="3"/>
      <c r="G1689" s="3"/>
      <c r="H1689" s="3"/>
      <c r="I1689" s="3"/>
      <c r="J1689" s="3"/>
    </row>
    <row r="1690" spans="3:10" ht="15" hidden="1" x14ac:dyDescent="0.25">
      <c r="C1690" s="3"/>
      <c r="D1690" s="3"/>
      <c r="E1690" s="3"/>
      <c r="F1690" s="3"/>
      <c r="G1690" s="3"/>
      <c r="H1690" s="3"/>
      <c r="I1690" s="3"/>
      <c r="J1690" s="3"/>
    </row>
    <row r="1691" spans="3:10" ht="15" hidden="1" x14ac:dyDescent="0.25">
      <c r="C1691" s="3"/>
      <c r="D1691" s="3"/>
      <c r="E1691" s="3"/>
      <c r="F1691" s="3"/>
      <c r="G1691" s="3"/>
      <c r="H1691" s="3"/>
      <c r="I1691" s="3"/>
      <c r="J1691" s="3"/>
    </row>
    <row r="1692" spans="3:10" ht="15" hidden="1" x14ac:dyDescent="0.25">
      <c r="C1692" s="3"/>
      <c r="D1692" s="3"/>
      <c r="E1692" s="3"/>
      <c r="F1692" s="3"/>
      <c r="G1692" s="3"/>
      <c r="H1692" s="3"/>
      <c r="I1692" s="3"/>
      <c r="J1692" s="3"/>
    </row>
    <row r="1693" spans="3:10" ht="15" hidden="1" x14ac:dyDescent="0.25">
      <c r="C1693" s="3"/>
      <c r="D1693" s="3"/>
      <c r="E1693" s="3"/>
      <c r="F1693" s="3"/>
      <c r="G1693" s="3"/>
      <c r="H1693" s="3"/>
      <c r="I1693" s="3"/>
      <c r="J1693" s="3"/>
    </row>
    <row r="1694" spans="3:10" ht="15" hidden="1" x14ac:dyDescent="0.25">
      <c r="C1694" s="3"/>
      <c r="D1694" s="3"/>
      <c r="E1694" s="3"/>
      <c r="F1694" s="3"/>
      <c r="G1694" s="3"/>
      <c r="H1694" s="3"/>
      <c r="I1694" s="3"/>
      <c r="J1694" s="3"/>
    </row>
    <row r="1695" spans="3:10" ht="15" hidden="1" x14ac:dyDescent="0.25">
      <c r="C1695" s="3"/>
      <c r="D1695" s="3"/>
      <c r="E1695" s="3"/>
      <c r="F1695" s="3"/>
      <c r="G1695" s="3"/>
      <c r="H1695" s="3"/>
      <c r="I1695" s="3"/>
      <c r="J1695" s="3"/>
    </row>
    <row r="1696" spans="3:10" ht="15" hidden="1" x14ac:dyDescent="0.25">
      <c r="C1696" s="3"/>
      <c r="D1696" s="3"/>
      <c r="E1696" s="3"/>
      <c r="F1696" s="3"/>
      <c r="G1696" s="3"/>
      <c r="H1696" s="3"/>
      <c r="I1696" s="3"/>
      <c r="J1696" s="3"/>
    </row>
    <row r="1697" spans="3:10" ht="15" hidden="1" x14ac:dyDescent="0.25">
      <c r="C1697" s="3"/>
      <c r="D1697" s="3"/>
      <c r="E1697" s="3"/>
      <c r="F1697" s="3"/>
      <c r="G1697" s="3"/>
      <c r="H1697" s="3"/>
      <c r="I1697" s="3"/>
      <c r="J1697" s="3"/>
    </row>
    <row r="1698" spans="3:10" ht="15" hidden="1" x14ac:dyDescent="0.25">
      <c r="C1698" s="3"/>
      <c r="D1698" s="3"/>
      <c r="E1698" s="3"/>
      <c r="F1698" s="3"/>
      <c r="G1698" s="3"/>
      <c r="H1698" s="3"/>
      <c r="I1698" s="3"/>
      <c r="J1698" s="3"/>
    </row>
    <row r="1699" spans="3:10" ht="15" hidden="1" x14ac:dyDescent="0.25">
      <c r="C1699" s="3"/>
      <c r="D1699" s="3"/>
      <c r="E1699" s="3"/>
      <c r="F1699" s="3"/>
      <c r="G1699" s="3"/>
      <c r="H1699" s="3"/>
      <c r="I1699" s="3"/>
      <c r="J1699" s="3"/>
    </row>
    <row r="1700" spans="3:10" ht="15" hidden="1" x14ac:dyDescent="0.25">
      <c r="C1700" s="3"/>
      <c r="D1700" s="3"/>
      <c r="E1700" s="3"/>
      <c r="F1700" s="3"/>
      <c r="G1700" s="3"/>
      <c r="H1700" s="3"/>
      <c r="I1700" s="3"/>
      <c r="J1700" s="3"/>
    </row>
    <row r="1701" spans="3:10" ht="15" hidden="1" x14ac:dyDescent="0.25"/>
    <row r="1702" spans="3:10" ht="15" hidden="1" x14ac:dyDescent="0.25"/>
    <row r="1703" spans="3:10" ht="15" hidden="1" x14ac:dyDescent="0.25"/>
    <row r="1704" spans="3:10" ht="15" hidden="1" x14ac:dyDescent="0.25"/>
    <row r="1705" spans="3:10" ht="15" hidden="1" x14ac:dyDescent="0.25"/>
    <row r="1706" spans="3:10" ht="15" hidden="1" x14ac:dyDescent="0.25"/>
    <row r="1707" spans="3:10" ht="15" hidden="1" x14ac:dyDescent="0.25"/>
    <row r="1708" spans="3:10" ht="15" hidden="1" x14ac:dyDescent="0.25"/>
    <row r="1709" spans="3:10" ht="15" hidden="1" x14ac:dyDescent="0.25"/>
    <row r="1710" spans="3:10" ht="15" hidden="1" x14ac:dyDescent="0.25"/>
    <row r="1711" spans="3:10" ht="15" hidden="1" x14ac:dyDescent="0.25"/>
    <row r="1712" spans="3:10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</sheetData>
  <conditionalFormatting sqref="C8:J10">
    <cfRule type="expression" dxfId="23" priority="1">
      <formula>MOD(ROW(),2)=0</formula>
    </cfRule>
  </conditionalFormatting>
  <pageMargins left="0.22" right="0.2" top="0.23" bottom="0.24" header="0.15748031496062992" footer="0.17"/>
  <pageSetup paperSize="9" scale="57" fitToWidth="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7:D49"/>
  <sheetViews>
    <sheetView topLeftCell="A22" workbookViewId="0">
      <selection activeCell="C8" sqref="C8:D49"/>
    </sheetView>
  </sheetViews>
  <sheetFormatPr defaultRowHeight="15" x14ac:dyDescent="0.25"/>
  <cols>
    <col min="4" max="4" width="15.42578125" bestFit="1" customWidth="1"/>
  </cols>
  <sheetData>
    <row r="7" spans="2:4" x14ac:dyDescent="0.25">
      <c r="B7" t="s">
        <v>846</v>
      </c>
      <c r="C7" t="s">
        <v>847</v>
      </c>
      <c r="D7" t="s">
        <v>848</v>
      </c>
    </row>
    <row r="8" spans="2:4" x14ac:dyDescent="0.25">
      <c r="C8" s="3" t="s">
        <v>887</v>
      </c>
      <c r="D8" s="192" t="s">
        <v>849</v>
      </c>
    </row>
    <row r="9" spans="2:4" x14ac:dyDescent="0.25">
      <c r="C9" s="3" t="s">
        <v>888</v>
      </c>
      <c r="D9" s="192" t="s">
        <v>850</v>
      </c>
    </row>
    <row r="10" spans="2:4" x14ac:dyDescent="0.25">
      <c r="C10" s="3" t="s">
        <v>889</v>
      </c>
      <c r="D10" s="192" t="s">
        <v>851</v>
      </c>
    </row>
    <row r="11" spans="2:4" x14ac:dyDescent="0.25">
      <c r="C11" s="3" t="s">
        <v>890</v>
      </c>
      <c r="D11" s="192" t="s">
        <v>852</v>
      </c>
    </row>
    <row r="12" spans="2:4" x14ac:dyDescent="0.25">
      <c r="C12" s="3" t="s">
        <v>891</v>
      </c>
      <c r="D12" s="192" t="s">
        <v>853</v>
      </c>
    </row>
    <row r="13" spans="2:4" x14ac:dyDescent="0.25">
      <c r="C13" s="3" t="s">
        <v>914</v>
      </c>
      <c r="D13" s="192" t="s">
        <v>699</v>
      </c>
    </row>
    <row r="14" spans="2:4" x14ac:dyDescent="0.25">
      <c r="C14" s="3" t="s">
        <v>892</v>
      </c>
      <c r="D14" s="192" t="s">
        <v>854</v>
      </c>
    </row>
    <row r="15" spans="2:4" x14ac:dyDescent="0.25">
      <c r="C15" s="3" t="s">
        <v>70</v>
      </c>
      <c r="D15" s="192" t="s">
        <v>855</v>
      </c>
    </row>
    <row r="16" spans="2:4" x14ac:dyDescent="0.25">
      <c r="C16" s="3" t="s">
        <v>913</v>
      </c>
      <c r="D16" s="192" t="s">
        <v>856</v>
      </c>
    </row>
    <row r="17" spans="3:4" x14ac:dyDescent="0.25">
      <c r="C17" s="3" t="s">
        <v>893</v>
      </c>
      <c r="D17" s="192" t="s">
        <v>857</v>
      </c>
    </row>
    <row r="18" spans="3:4" x14ac:dyDescent="0.25">
      <c r="C18" s="3" t="s">
        <v>894</v>
      </c>
      <c r="D18" s="192" t="s">
        <v>858</v>
      </c>
    </row>
    <row r="19" spans="3:4" x14ac:dyDescent="0.25">
      <c r="C19" s="3" t="s">
        <v>895</v>
      </c>
      <c r="D19" s="192" t="s">
        <v>859</v>
      </c>
    </row>
    <row r="20" spans="3:4" x14ac:dyDescent="0.25">
      <c r="C20" s="3" t="s">
        <v>896</v>
      </c>
      <c r="D20" s="192" t="s">
        <v>860</v>
      </c>
    </row>
    <row r="21" spans="3:4" x14ac:dyDescent="0.25">
      <c r="C21" s="3" t="s">
        <v>897</v>
      </c>
      <c r="D21" s="192" t="s">
        <v>861</v>
      </c>
    </row>
    <row r="22" spans="3:4" x14ac:dyDescent="0.25">
      <c r="C22" s="3" t="s">
        <v>915</v>
      </c>
      <c r="D22" s="192" t="s">
        <v>640</v>
      </c>
    </row>
    <row r="23" spans="3:4" x14ac:dyDescent="0.25">
      <c r="C23" s="3" t="s">
        <v>898</v>
      </c>
      <c r="D23" s="192" t="s">
        <v>862</v>
      </c>
    </row>
    <row r="24" spans="3:4" x14ac:dyDescent="0.25">
      <c r="C24" s="3" t="s">
        <v>899</v>
      </c>
      <c r="D24" s="192" t="s">
        <v>863</v>
      </c>
    </row>
    <row r="25" spans="3:4" x14ac:dyDescent="0.25">
      <c r="C25" s="3" t="s">
        <v>900</v>
      </c>
      <c r="D25" s="192" t="s">
        <v>864</v>
      </c>
    </row>
    <row r="26" spans="3:4" x14ac:dyDescent="0.25">
      <c r="C26" s="3" t="s">
        <v>134</v>
      </c>
      <c r="D26" s="192" t="s">
        <v>865</v>
      </c>
    </row>
    <row r="27" spans="3:4" x14ac:dyDescent="0.25">
      <c r="C27" s="3" t="s">
        <v>901</v>
      </c>
      <c r="D27" s="192" t="s">
        <v>866</v>
      </c>
    </row>
    <row r="28" spans="3:4" x14ac:dyDescent="0.25">
      <c r="C28" s="3" t="s">
        <v>51</v>
      </c>
      <c r="D28" s="192" t="s">
        <v>867</v>
      </c>
    </row>
    <row r="29" spans="3:4" x14ac:dyDescent="0.25">
      <c r="C29" s="3" t="s">
        <v>217</v>
      </c>
      <c r="D29" s="192" t="s">
        <v>868</v>
      </c>
    </row>
    <row r="30" spans="3:4" x14ac:dyDescent="0.25">
      <c r="C30" s="3" t="s">
        <v>902</v>
      </c>
      <c r="D30" s="192" t="s">
        <v>869</v>
      </c>
    </row>
    <row r="31" spans="3:4" x14ac:dyDescent="0.25">
      <c r="C31" s="3" t="s">
        <v>64</v>
      </c>
      <c r="D31" s="192" t="s">
        <v>870</v>
      </c>
    </row>
    <row r="32" spans="3:4" x14ac:dyDescent="0.25">
      <c r="C32" s="3" t="s">
        <v>63</v>
      </c>
      <c r="D32" s="192" t="s">
        <v>871</v>
      </c>
    </row>
    <row r="33" spans="3:4" x14ac:dyDescent="0.25">
      <c r="C33" s="3" t="s">
        <v>224</v>
      </c>
      <c r="D33" s="192" t="s">
        <v>872</v>
      </c>
    </row>
    <row r="34" spans="3:4" x14ac:dyDescent="0.25">
      <c r="C34" s="3" t="s">
        <v>903</v>
      </c>
      <c r="D34" s="192" t="s">
        <v>873</v>
      </c>
    </row>
    <row r="35" spans="3:4" x14ac:dyDescent="0.25">
      <c r="C35" s="3" t="s">
        <v>904</v>
      </c>
      <c r="D35" s="192" t="s">
        <v>874</v>
      </c>
    </row>
    <row r="36" spans="3:4" x14ac:dyDescent="0.25">
      <c r="C36" s="3" t="s">
        <v>905</v>
      </c>
      <c r="D36" s="192" t="s">
        <v>875</v>
      </c>
    </row>
    <row r="37" spans="3:4" x14ac:dyDescent="0.25">
      <c r="C37" s="3" t="s">
        <v>68</v>
      </c>
      <c r="D37" s="192" t="s">
        <v>876</v>
      </c>
    </row>
    <row r="38" spans="3:4" x14ac:dyDescent="0.25">
      <c r="C38" s="3" t="s">
        <v>906</v>
      </c>
      <c r="D38" s="192" t="s">
        <v>877</v>
      </c>
    </row>
    <row r="39" spans="3:4" x14ac:dyDescent="0.25">
      <c r="C39" s="3" t="s">
        <v>907</v>
      </c>
      <c r="D39" s="192" t="s">
        <v>878</v>
      </c>
    </row>
    <row r="40" spans="3:4" x14ac:dyDescent="0.25">
      <c r="C40" s="3" t="s">
        <v>102</v>
      </c>
      <c r="D40" s="192" t="s">
        <v>879</v>
      </c>
    </row>
    <row r="41" spans="3:4" x14ac:dyDescent="0.25">
      <c r="C41" s="3" t="s">
        <v>908</v>
      </c>
      <c r="D41" s="192" t="s">
        <v>880</v>
      </c>
    </row>
    <row r="42" spans="3:4" x14ac:dyDescent="0.25">
      <c r="C42" s="3" t="s">
        <v>74</v>
      </c>
      <c r="D42" s="192" t="s">
        <v>881</v>
      </c>
    </row>
    <row r="43" spans="3:4" x14ac:dyDescent="0.25">
      <c r="C43" s="3"/>
      <c r="D43" s="192" t="s">
        <v>882</v>
      </c>
    </row>
    <row r="44" spans="3:4" x14ac:dyDescent="0.25">
      <c r="C44" s="3" t="s">
        <v>909</v>
      </c>
      <c r="D44" s="192" t="s">
        <v>883</v>
      </c>
    </row>
    <row r="45" spans="3:4" x14ac:dyDescent="0.25">
      <c r="C45" s="3" t="s">
        <v>910</v>
      </c>
      <c r="D45" s="192" t="s">
        <v>884</v>
      </c>
    </row>
    <row r="46" spans="3:4" x14ac:dyDescent="0.25">
      <c r="C46" s="3" t="s">
        <v>911</v>
      </c>
      <c r="D46" s="192" t="s">
        <v>709</v>
      </c>
    </row>
    <row r="47" spans="3:4" x14ac:dyDescent="0.25">
      <c r="C47" s="3" t="s">
        <v>250</v>
      </c>
      <c r="D47" s="192" t="s">
        <v>885</v>
      </c>
    </row>
    <row r="48" spans="3:4" x14ac:dyDescent="0.25">
      <c r="C48" s="3" t="s">
        <v>112</v>
      </c>
      <c r="D48" s="192" t="s">
        <v>886</v>
      </c>
    </row>
    <row r="49" spans="3:4" x14ac:dyDescent="0.25">
      <c r="C49" s="3" t="s">
        <v>912</v>
      </c>
      <c r="D49" s="192" t="s">
        <v>162</v>
      </c>
    </row>
  </sheetData>
  <pageMargins left="0.511811024" right="0.511811024" top="0.78740157499999996" bottom="0.78740157499999996" header="0.31496062000000002" footer="0.31496062000000002"/>
  <pageSetup paperSize="11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38"/>
  <sheetViews>
    <sheetView workbookViewId="0">
      <pane xSplit="1" ySplit="1" topLeftCell="C313" activePane="bottomRight" state="frozen"/>
      <selection pane="topRight" activeCell="B1" sqref="B1"/>
      <selection pane="bottomLeft" activeCell="A2" sqref="A2"/>
      <selection pane="bottomRight" activeCell="C318" sqref="C318"/>
    </sheetView>
  </sheetViews>
  <sheetFormatPr defaultRowHeight="15" x14ac:dyDescent="0.25"/>
  <cols>
    <col min="1" max="1" width="3.85546875" style="67" customWidth="1"/>
    <col min="2" max="2" width="46.7109375" style="67" hidden="1" customWidth="1"/>
    <col min="3" max="3" width="61.42578125" style="67" customWidth="1"/>
    <col min="4" max="4" width="17.28515625" style="67" hidden="1" customWidth="1"/>
    <col min="5" max="5" width="52.28515625" style="67" hidden="1" customWidth="1"/>
    <col min="6" max="6" width="23.7109375" style="67" hidden="1" customWidth="1"/>
    <col min="7" max="7" width="15.42578125" style="67" hidden="1" customWidth="1"/>
    <col min="8" max="8" width="20.28515625" style="67" hidden="1" customWidth="1"/>
    <col min="9" max="9" width="12.7109375" style="67" hidden="1" customWidth="1"/>
    <col min="10" max="10" width="21.42578125" style="67" hidden="1" customWidth="1"/>
    <col min="11" max="11" width="16.85546875" style="67" bestFit="1" customWidth="1"/>
    <col min="12" max="12" width="18.140625" style="67" bestFit="1" customWidth="1"/>
    <col min="13" max="13" width="17.28515625" style="67" bestFit="1" customWidth="1"/>
    <col min="14" max="14" width="16" style="67" bestFit="1" customWidth="1"/>
    <col min="15" max="15" width="17.42578125" style="67" bestFit="1" customWidth="1"/>
    <col min="16" max="16384" width="9.140625" style="67"/>
  </cols>
  <sheetData>
    <row r="1" spans="2:18" s="203" customFormat="1" x14ac:dyDescent="0.25">
      <c r="B1" s="203" t="s">
        <v>594</v>
      </c>
      <c r="C1" s="203" t="s">
        <v>1074</v>
      </c>
      <c r="D1" s="203" t="s">
        <v>1025</v>
      </c>
      <c r="E1" s="203" t="s">
        <v>23</v>
      </c>
      <c r="F1" s="203" t="s">
        <v>156</v>
      </c>
      <c r="G1" s="203" t="s">
        <v>1123</v>
      </c>
      <c r="H1" s="203" t="s">
        <v>1085</v>
      </c>
      <c r="I1" s="203" t="s">
        <v>1078</v>
      </c>
      <c r="J1" s="203" t="s">
        <v>25</v>
      </c>
      <c r="K1" s="208" t="s">
        <v>1028</v>
      </c>
      <c r="L1" s="207" t="s">
        <v>158</v>
      </c>
      <c r="M1" s="207" t="s">
        <v>1030</v>
      </c>
      <c r="N1" s="203" t="s">
        <v>1063</v>
      </c>
      <c r="O1" s="203" t="s">
        <v>1064</v>
      </c>
      <c r="P1" s="203" t="s">
        <v>1060</v>
      </c>
      <c r="Q1" s="203" t="s">
        <v>1054</v>
      </c>
      <c r="R1" s="203" t="s">
        <v>1061</v>
      </c>
    </row>
    <row r="2" spans="2:18" x14ac:dyDescent="0.25">
      <c r="B2" s="204" t="s">
        <v>259</v>
      </c>
      <c r="C2" s="205" t="str">
        <f t="shared" ref="C2:C65" si="0">E2 &amp; " "  &amp; F2 &amp;   " " &amp; G2 &amp; " "  &amp; " - " &amp; H2 &amp; " " &amp; I2 &amp; " " &amp; "(" &amp; J2 &amp; ")"</f>
        <v>Ácido fosfórico    -   ()</v>
      </c>
      <c r="D2" s="205"/>
      <c r="E2" s="205" t="s">
        <v>761</v>
      </c>
      <c r="F2" s="205"/>
      <c r="G2" s="205"/>
      <c r="H2" s="205"/>
      <c r="I2" s="205"/>
      <c r="J2" s="205"/>
      <c r="K2" s="205" t="s">
        <v>1029</v>
      </c>
      <c r="L2" s="205" t="s">
        <v>1201</v>
      </c>
      <c r="M2" s="205" t="s">
        <v>1022</v>
      </c>
      <c r="N2" s="205"/>
      <c r="O2" s="205"/>
      <c r="P2" s="205" t="s">
        <v>134</v>
      </c>
      <c r="Q2" s="205"/>
      <c r="R2" s="206" t="s">
        <v>111</v>
      </c>
    </row>
    <row r="3" spans="2:18" x14ac:dyDescent="0.25">
      <c r="B3" s="204" t="s">
        <v>260</v>
      </c>
      <c r="C3" s="205" t="str">
        <f t="shared" si="0"/>
        <v>Água destilada    -   ()</v>
      </c>
      <c r="D3" s="205"/>
      <c r="E3" s="205" t="s">
        <v>762</v>
      </c>
      <c r="F3" s="205"/>
      <c r="G3" s="205"/>
      <c r="H3" s="205"/>
      <c r="I3" s="205"/>
      <c r="J3" s="205"/>
      <c r="K3" s="205" t="s">
        <v>1222</v>
      </c>
      <c r="L3" s="205" t="s">
        <v>1201</v>
      </c>
      <c r="M3" s="205" t="s">
        <v>1031</v>
      </c>
      <c r="N3" s="205"/>
      <c r="O3" s="205"/>
      <c r="P3" s="205" t="s">
        <v>51</v>
      </c>
      <c r="Q3" s="205"/>
      <c r="R3" s="206" t="s">
        <v>111</v>
      </c>
    </row>
    <row r="4" spans="2:18" x14ac:dyDescent="0.25">
      <c r="B4" s="204" t="s">
        <v>261</v>
      </c>
      <c r="C4" s="205" t="str">
        <f t="shared" si="0"/>
        <v>Álcool de limpeza 92,8º  -   ()</v>
      </c>
      <c r="D4" s="205"/>
      <c r="E4" s="205" t="s">
        <v>1075</v>
      </c>
      <c r="F4" s="205" t="s">
        <v>1202</v>
      </c>
      <c r="G4" s="205" t="s">
        <v>1076</v>
      </c>
      <c r="H4" s="205"/>
      <c r="I4" s="205"/>
      <c r="J4" s="205"/>
      <c r="K4" s="205" t="s">
        <v>1223</v>
      </c>
      <c r="L4" s="205" t="s">
        <v>1201</v>
      </c>
      <c r="M4" s="205" t="s">
        <v>1203</v>
      </c>
      <c r="N4" s="205"/>
      <c r="O4" s="205"/>
      <c r="P4" s="205" t="s">
        <v>51</v>
      </c>
      <c r="Q4" s="205"/>
      <c r="R4" s="206" t="s">
        <v>111</v>
      </c>
    </row>
    <row r="5" spans="2:18" x14ac:dyDescent="0.25">
      <c r="B5" s="204" t="s">
        <v>262</v>
      </c>
      <c r="C5" s="205" t="str">
        <f t="shared" si="0"/>
        <v>Álcool Isopropílico   -   ()</v>
      </c>
      <c r="D5" s="205"/>
      <c r="E5" s="205" t="s">
        <v>1075</v>
      </c>
      <c r="F5" s="205" t="s">
        <v>1077</v>
      </c>
      <c r="G5" s="205"/>
      <c r="H5" s="205"/>
      <c r="I5" s="205"/>
      <c r="J5" s="205"/>
      <c r="K5" s="205" t="s">
        <v>1029</v>
      </c>
      <c r="L5" s="205" t="s">
        <v>1201</v>
      </c>
      <c r="M5" s="205" t="s">
        <v>1022</v>
      </c>
      <c r="N5" s="205"/>
      <c r="O5" s="205"/>
      <c r="P5" s="205" t="s">
        <v>51</v>
      </c>
      <c r="Q5" s="205"/>
      <c r="R5" s="206" t="s">
        <v>111</v>
      </c>
    </row>
    <row r="6" spans="2:18" x14ac:dyDescent="0.25">
      <c r="B6" s="204" t="s">
        <v>592</v>
      </c>
      <c r="C6" s="205" t="str">
        <f t="shared" si="0"/>
        <v>Almofada para carimbo    -  Gde (100 x 170mm) ()</v>
      </c>
      <c r="D6" s="205"/>
      <c r="E6" s="205" t="s">
        <v>764</v>
      </c>
      <c r="F6" s="205"/>
      <c r="G6" s="205"/>
      <c r="H6" s="205"/>
      <c r="I6" s="205" t="s">
        <v>729</v>
      </c>
      <c r="J6" s="205"/>
      <c r="K6" s="205" t="s">
        <v>1224</v>
      </c>
      <c r="L6" s="205" t="s">
        <v>1204</v>
      </c>
      <c r="M6" s="205"/>
      <c r="N6" s="205"/>
      <c r="O6" s="205"/>
      <c r="P6" s="205" t="s">
        <v>921</v>
      </c>
      <c r="Q6" s="205"/>
      <c r="R6" s="206" t="s">
        <v>1065</v>
      </c>
    </row>
    <row r="7" spans="2:18" x14ac:dyDescent="0.25">
      <c r="B7" s="204" t="s">
        <v>593</v>
      </c>
      <c r="C7" s="205" t="str">
        <f t="shared" si="0"/>
        <v>Almofada para carimbo    -  Peq (80 x 120mm) ()</v>
      </c>
      <c r="D7" s="205"/>
      <c r="E7" s="205" t="s">
        <v>764</v>
      </c>
      <c r="F7" s="205"/>
      <c r="G7" s="205"/>
      <c r="H7" s="205"/>
      <c r="I7" s="205" t="s">
        <v>730</v>
      </c>
      <c r="J7" s="205"/>
      <c r="K7" s="205" t="s">
        <v>1224</v>
      </c>
      <c r="L7" s="205" t="s">
        <v>1204</v>
      </c>
      <c r="M7" s="205"/>
      <c r="N7" s="205"/>
      <c r="O7" s="205"/>
      <c r="P7" s="205" t="s">
        <v>921</v>
      </c>
      <c r="Q7" s="205"/>
      <c r="R7" s="206" t="s">
        <v>1065</v>
      </c>
    </row>
    <row r="8" spans="2:18" x14ac:dyDescent="0.25">
      <c r="B8" s="204" t="s">
        <v>263</v>
      </c>
      <c r="C8" s="205" t="str">
        <f t="shared" si="0"/>
        <v>Anti-Corrosivo (WD) Spray  -   ()</v>
      </c>
      <c r="D8" s="205"/>
      <c r="E8" s="205" t="s">
        <v>1205</v>
      </c>
      <c r="F8" s="205" t="s">
        <v>1206</v>
      </c>
      <c r="G8" s="205" t="s">
        <v>137</v>
      </c>
      <c r="H8" s="205"/>
      <c r="I8" s="205"/>
      <c r="J8" s="205"/>
      <c r="K8" s="205" t="s">
        <v>1226</v>
      </c>
      <c r="L8" s="205" t="s">
        <v>1207</v>
      </c>
      <c r="M8" s="205" t="s">
        <v>1217</v>
      </c>
      <c r="N8" s="205"/>
      <c r="O8" s="205"/>
      <c r="P8" s="205" t="s">
        <v>64</v>
      </c>
      <c r="Q8" s="205"/>
      <c r="R8" s="206" t="s">
        <v>111</v>
      </c>
    </row>
    <row r="9" spans="2:18" x14ac:dyDescent="0.25">
      <c r="B9" s="204" t="s">
        <v>264</v>
      </c>
      <c r="C9" s="205" t="str">
        <f t="shared" si="0"/>
        <v>Anti-Secativo  Spray  -   ()</v>
      </c>
      <c r="D9" s="205"/>
      <c r="E9" s="205" t="s">
        <v>264</v>
      </c>
      <c r="F9" s="205"/>
      <c r="G9" s="205" t="s">
        <v>137</v>
      </c>
      <c r="H9" s="205"/>
      <c r="I9" s="205"/>
      <c r="J9" s="205"/>
      <c r="K9" s="205" t="s">
        <v>1029</v>
      </c>
      <c r="L9" s="205" t="s">
        <v>1207</v>
      </c>
      <c r="M9" s="205" t="s">
        <v>1022</v>
      </c>
      <c r="N9" s="205"/>
      <c r="O9" s="205"/>
      <c r="P9" s="205" t="s">
        <v>64</v>
      </c>
      <c r="Q9" s="205"/>
      <c r="R9" s="206" t="s">
        <v>111</v>
      </c>
    </row>
    <row r="10" spans="2:18" x14ac:dyDescent="0.25">
      <c r="B10" s="204" t="s">
        <v>265</v>
      </c>
      <c r="C10" s="205" t="str">
        <f t="shared" si="0"/>
        <v>Apagador para quadro branco    -   ()</v>
      </c>
      <c r="D10" s="205"/>
      <c r="E10" s="205" t="s">
        <v>765</v>
      </c>
      <c r="F10" s="205"/>
      <c r="G10" s="205"/>
      <c r="H10" s="205"/>
      <c r="I10" s="205"/>
      <c r="J10" s="205"/>
      <c r="K10" s="205" t="s">
        <v>1224</v>
      </c>
      <c r="L10" s="205" t="s">
        <v>1204</v>
      </c>
      <c r="M10" s="205"/>
      <c r="N10" s="205"/>
      <c r="O10" s="205"/>
      <c r="P10" s="205" t="s">
        <v>921</v>
      </c>
      <c r="Q10" s="205"/>
      <c r="R10" s="206" t="s">
        <v>1065</v>
      </c>
    </row>
    <row r="11" spans="2:18" x14ac:dyDescent="0.25">
      <c r="B11" s="204" t="s">
        <v>266</v>
      </c>
      <c r="C11" s="205" t="str">
        <f t="shared" si="0"/>
        <v>Mouse pad    -   ()</v>
      </c>
      <c r="D11" s="205"/>
      <c r="E11" s="205" t="s">
        <v>916</v>
      </c>
      <c r="F11" s="205"/>
      <c r="G11" s="205"/>
      <c r="H11" s="205"/>
      <c r="I11" s="205"/>
      <c r="J11" s="205"/>
      <c r="K11" s="205" t="s">
        <v>1224</v>
      </c>
      <c r="L11" s="205" t="s">
        <v>1020</v>
      </c>
      <c r="M11" s="205"/>
      <c r="N11" s="205"/>
      <c r="O11" s="205"/>
      <c r="P11" s="205" t="s">
        <v>921</v>
      </c>
      <c r="Q11" s="205"/>
      <c r="R11" s="206" t="s">
        <v>1065</v>
      </c>
    </row>
    <row r="12" spans="2:18" x14ac:dyDescent="0.25">
      <c r="B12" s="204" t="s">
        <v>267</v>
      </c>
      <c r="C12" s="205" t="str">
        <f t="shared" si="0"/>
        <v>Apontador de lápis    -   ()</v>
      </c>
      <c r="D12" s="205"/>
      <c r="E12" s="205" t="s">
        <v>267</v>
      </c>
      <c r="F12" s="205"/>
      <c r="G12" s="205"/>
      <c r="H12" s="205"/>
      <c r="I12" s="205"/>
      <c r="J12" s="205"/>
      <c r="K12" s="205" t="s">
        <v>1224</v>
      </c>
      <c r="L12" s="205" t="s">
        <v>1204</v>
      </c>
      <c r="M12" s="205"/>
      <c r="N12" s="205"/>
      <c r="O12" s="205"/>
      <c r="P12" s="205" t="s">
        <v>921</v>
      </c>
      <c r="Q12" s="205"/>
      <c r="R12" s="206" t="s">
        <v>1065</v>
      </c>
    </row>
    <row r="13" spans="2:18" x14ac:dyDescent="0.25">
      <c r="B13" s="204" t="s">
        <v>268</v>
      </c>
      <c r="C13" s="205" t="str">
        <f t="shared" si="0"/>
        <v>Arame para grampeador elétrico    -  n. 18 ()</v>
      </c>
      <c r="D13" s="205"/>
      <c r="E13" s="205" t="s">
        <v>766</v>
      </c>
      <c r="F13" s="205"/>
      <c r="G13" s="205"/>
      <c r="H13" s="205"/>
      <c r="I13" s="205" t="s">
        <v>598</v>
      </c>
      <c r="J13" s="205"/>
      <c r="K13" s="205" t="s">
        <v>1036</v>
      </c>
      <c r="L13" s="205" t="s">
        <v>1208</v>
      </c>
      <c r="M13" s="205"/>
      <c r="N13" s="205"/>
      <c r="O13" s="205"/>
      <c r="P13" s="205" t="s">
        <v>74</v>
      </c>
      <c r="Q13" s="205"/>
      <c r="R13" s="206" t="s">
        <v>86</v>
      </c>
    </row>
    <row r="14" spans="2:18" x14ac:dyDescent="0.25">
      <c r="B14" s="204" t="s">
        <v>269</v>
      </c>
      <c r="C14" s="205" t="str">
        <f t="shared" si="0"/>
        <v>Arame para grampeador elétrico    -  n. 20 ()</v>
      </c>
      <c r="D14" s="205"/>
      <c r="E14" s="205" t="s">
        <v>766</v>
      </c>
      <c r="F14" s="205"/>
      <c r="G14" s="205"/>
      <c r="H14" s="205"/>
      <c r="I14" s="205" t="s">
        <v>597</v>
      </c>
      <c r="J14" s="205"/>
      <c r="K14" s="205" t="s">
        <v>1036</v>
      </c>
      <c r="L14" s="205" t="s">
        <v>1208</v>
      </c>
      <c r="M14" s="205"/>
      <c r="N14" s="205"/>
      <c r="O14" s="205"/>
      <c r="P14" s="205" t="s">
        <v>74</v>
      </c>
      <c r="Q14" s="205"/>
      <c r="R14" s="206" t="s">
        <v>86</v>
      </c>
    </row>
    <row r="15" spans="2:18" x14ac:dyDescent="0.25">
      <c r="B15" s="204" t="s">
        <v>270</v>
      </c>
      <c r="C15" s="205" t="str">
        <f t="shared" si="0"/>
        <v>Arame para grampeador elétrico    -  n. 24 ()</v>
      </c>
      <c r="D15" s="205"/>
      <c r="E15" s="205" t="s">
        <v>766</v>
      </c>
      <c r="F15" s="205"/>
      <c r="G15" s="205"/>
      <c r="H15" s="205"/>
      <c r="I15" s="205" t="s">
        <v>595</v>
      </c>
      <c r="J15" s="205"/>
      <c r="K15" s="205" t="s">
        <v>1036</v>
      </c>
      <c r="L15" s="205" t="s">
        <v>1208</v>
      </c>
      <c r="M15" s="205"/>
      <c r="N15" s="205"/>
      <c r="O15" s="205"/>
      <c r="P15" s="205" t="s">
        <v>74</v>
      </c>
      <c r="Q15" s="205"/>
      <c r="R15" s="206" t="s">
        <v>86</v>
      </c>
    </row>
    <row r="16" spans="2:18" x14ac:dyDescent="0.25">
      <c r="B16" s="204" t="s">
        <v>271</v>
      </c>
      <c r="C16" s="205" t="str">
        <f t="shared" si="0"/>
        <v>Arame para grampeador elétrico    -  n. 26 ()</v>
      </c>
      <c r="D16" s="205"/>
      <c r="E16" s="205" t="s">
        <v>766</v>
      </c>
      <c r="F16" s="205"/>
      <c r="G16" s="205"/>
      <c r="H16" s="205"/>
      <c r="I16" s="205" t="s">
        <v>596</v>
      </c>
      <c r="J16" s="205"/>
      <c r="K16" s="205" t="s">
        <v>1036</v>
      </c>
      <c r="L16" s="205" t="s">
        <v>1208</v>
      </c>
      <c r="M16" s="205"/>
      <c r="N16" s="205"/>
      <c r="O16" s="205"/>
      <c r="P16" s="205" t="s">
        <v>74</v>
      </c>
      <c r="Q16" s="205"/>
      <c r="R16" s="206" t="s">
        <v>86</v>
      </c>
    </row>
    <row r="17" spans="2:18" x14ac:dyDescent="0.25">
      <c r="B17" s="204" t="s">
        <v>272</v>
      </c>
      <c r="C17" s="205" t="str">
        <f t="shared" si="0"/>
        <v>Bandeja para papeis de expediente    -   ()</v>
      </c>
      <c r="D17" s="205"/>
      <c r="E17" s="205" t="s">
        <v>767</v>
      </c>
      <c r="F17" s="205"/>
      <c r="G17" s="205"/>
      <c r="H17" s="205"/>
      <c r="I17" s="205"/>
      <c r="J17" s="205"/>
      <c r="K17" s="205" t="s">
        <v>1224</v>
      </c>
      <c r="L17" s="205" t="s">
        <v>1204</v>
      </c>
      <c r="M17" s="205"/>
      <c r="N17" s="205"/>
      <c r="O17" s="205"/>
      <c r="P17" s="205" t="s">
        <v>921</v>
      </c>
      <c r="Q17" s="205"/>
      <c r="R17" s="206" t="s">
        <v>1065</v>
      </c>
    </row>
    <row r="18" spans="2:18" x14ac:dyDescent="0.25">
      <c r="B18" s="204" t="s">
        <v>273</v>
      </c>
      <c r="C18" s="205" t="str">
        <f t="shared" si="0"/>
        <v>Barbante fio de algodão    -   ()</v>
      </c>
      <c r="D18" s="205"/>
      <c r="E18" s="205" t="s">
        <v>768</v>
      </c>
      <c r="F18" s="205"/>
      <c r="G18" s="205"/>
      <c r="H18" s="205"/>
      <c r="I18" s="205"/>
      <c r="J18" s="205"/>
      <c r="K18" s="205" t="s">
        <v>1224</v>
      </c>
      <c r="L18" s="205" t="s">
        <v>1204</v>
      </c>
      <c r="M18" s="205"/>
      <c r="N18" s="205"/>
      <c r="O18" s="205"/>
      <c r="P18" s="205" t="s">
        <v>74</v>
      </c>
      <c r="Q18" s="205"/>
      <c r="R18" s="206" t="s">
        <v>86</v>
      </c>
    </row>
    <row r="19" spans="2:18" x14ac:dyDescent="0.25">
      <c r="B19" s="204" t="s">
        <v>274</v>
      </c>
      <c r="C19" s="205" t="str">
        <f t="shared" si="0"/>
        <v>Benzina    -   ()</v>
      </c>
      <c r="D19" s="205"/>
      <c r="E19" s="205" t="s">
        <v>274</v>
      </c>
      <c r="F19" s="205"/>
      <c r="G19" s="205"/>
      <c r="H19" s="205"/>
      <c r="I19" s="205"/>
      <c r="J19" s="205"/>
      <c r="K19" s="205" t="s">
        <v>1226</v>
      </c>
      <c r="L19" s="205" t="s">
        <v>1201</v>
      </c>
      <c r="M19" s="205" t="s">
        <v>1217</v>
      </c>
      <c r="N19" s="205"/>
      <c r="O19" s="205"/>
      <c r="P19" s="205" t="s">
        <v>51</v>
      </c>
      <c r="Q19" s="205"/>
      <c r="R19" s="206" t="s">
        <v>111</v>
      </c>
    </row>
    <row r="20" spans="2:18" x14ac:dyDescent="0.25">
      <c r="B20" s="204" t="s">
        <v>275</v>
      </c>
      <c r="C20" s="205" t="str">
        <f t="shared" si="0"/>
        <v>Blanqueta Catu 4 Lonas   -  ?? medida ()</v>
      </c>
      <c r="D20" s="205"/>
      <c r="E20" s="205" t="s">
        <v>599</v>
      </c>
      <c r="F20" s="205" t="s">
        <v>600</v>
      </c>
      <c r="G20" s="205"/>
      <c r="H20" s="205"/>
      <c r="I20" s="205" t="s">
        <v>1079</v>
      </c>
      <c r="J20" s="205"/>
      <c r="K20" s="205" t="s">
        <v>1029</v>
      </c>
      <c r="L20" s="205" t="s">
        <v>1208</v>
      </c>
      <c r="M20" s="205" t="s">
        <v>1022</v>
      </c>
      <c r="N20" s="205"/>
      <c r="O20" s="205"/>
      <c r="P20" s="205" t="s">
        <v>921</v>
      </c>
      <c r="Q20" s="205"/>
      <c r="R20" s="206" t="s">
        <v>1065</v>
      </c>
    </row>
    <row r="21" spans="2:18" x14ac:dyDescent="0.25">
      <c r="B21" s="204" t="s">
        <v>276</v>
      </c>
      <c r="C21" s="205" t="str">
        <f t="shared" si="0"/>
        <v>Blanqueta Komori   -  670 x 770mm ()</v>
      </c>
      <c r="D21" s="205"/>
      <c r="E21" s="205" t="s">
        <v>599</v>
      </c>
      <c r="F21" s="205" t="s">
        <v>970</v>
      </c>
      <c r="G21" s="205"/>
      <c r="H21" s="205"/>
      <c r="I21" s="205" t="s">
        <v>1080</v>
      </c>
      <c r="J21" s="205"/>
      <c r="K21" s="205" t="s">
        <v>1029</v>
      </c>
      <c r="L21" s="205" t="s">
        <v>1208</v>
      </c>
      <c r="M21" s="205" t="s">
        <v>1022</v>
      </c>
      <c r="N21" s="205"/>
      <c r="O21" s="205"/>
      <c r="P21" s="205" t="s">
        <v>921</v>
      </c>
      <c r="Q21" s="205"/>
      <c r="R21" s="206" t="s">
        <v>1065</v>
      </c>
    </row>
    <row r="22" spans="2:18" x14ac:dyDescent="0.25">
      <c r="B22" s="204" t="s">
        <v>277</v>
      </c>
      <c r="C22" s="205" t="str">
        <f t="shared" si="0"/>
        <v>Blanqueta PM52   -  460 x 535 ()</v>
      </c>
      <c r="D22" s="205"/>
      <c r="E22" s="205" t="s">
        <v>599</v>
      </c>
      <c r="F22" s="205" t="s">
        <v>1081</v>
      </c>
      <c r="G22" s="205"/>
      <c r="H22" s="205"/>
      <c r="I22" s="205" t="s">
        <v>1082</v>
      </c>
      <c r="J22" s="205"/>
      <c r="K22" s="205" t="s">
        <v>1029</v>
      </c>
      <c r="L22" s="205" t="s">
        <v>1208</v>
      </c>
      <c r="M22" s="205" t="s">
        <v>1022</v>
      </c>
      <c r="N22" s="205"/>
      <c r="O22" s="205"/>
      <c r="P22" s="205" t="s">
        <v>921</v>
      </c>
      <c r="Q22" s="205"/>
      <c r="R22" s="206" t="s">
        <v>1065</v>
      </c>
    </row>
    <row r="23" spans="2:18" x14ac:dyDescent="0.25">
      <c r="B23" s="204" t="s">
        <v>278</v>
      </c>
      <c r="C23" s="205" t="str">
        <f t="shared" si="0"/>
        <v>Blanqueta SM74   -  627 x 722 ()</v>
      </c>
      <c r="D23" s="205"/>
      <c r="E23" s="205" t="s">
        <v>599</v>
      </c>
      <c r="F23" s="205" t="s">
        <v>1083</v>
      </c>
      <c r="G23" s="205"/>
      <c r="H23" s="205"/>
      <c r="I23" s="205" t="s">
        <v>1084</v>
      </c>
      <c r="J23" s="205"/>
      <c r="K23" s="205" t="s">
        <v>1029</v>
      </c>
      <c r="L23" s="205" t="s">
        <v>1208</v>
      </c>
      <c r="M23" s="205" t="s">
        <v>1022</v>
      </c>
      <c r="N23" s="205"/>
      <c r="O23" s="205"/>
      <c r="P23" s="205" t="s">
        <v>921</v>
      </c>
      <c r="Q23" s="205"/>
      <c r="R23" s="206" t="s">
        <v>1065</v>
      </c>
    </row>
    <row r="24" spans="2:18" x14ac:dyDescent="0.25">
      <c r="B24" s="204" t="s">
        <v>279</v>
      </c>
      <c r="C24" s="205" t="str">
        <f t="shared" si="0"/>
        <v>BOPP Brilho   -  300mm ()</v>
      </c>
      <c r="D24" s="205"/>
      <c r="E24" s="205" t="s">
        <v>1010</v>
      </c>
      <c r="F24" s="205" t="s">
        <v>731</v>
      </c>
      <c r="G24" s="205"/>
      <c r="H24" s="205"/>
      <c r="I24" s="205" t="s">
        <v>602</v>
      </c>
      <c r="J24" s="205"/>
      <c r="K24" s="205" t="s">
        <v>1036</v>
      </c>
      <c r="L24" s="205" t="s">
        <v>1208</v>
      </c>
      <c r="M24" s="205" t="s">
        <v>1038</v>
      </c>
      <c r="N24" s="205"/>
      <c r="O24" s="205"/>
      <c r="P24" s="205" t="s">
        <v>74</v>
      </c>
      <c r="Q24" s="205"/>
      <c r="R24" s="206" t="s">
        <v>86</v>
      </c>
    </row>
    <row r="25" spans="2:18" x14ac:dyDescent="0.25">
      <c r="B25" s="204" t="s">
        <v>280</v>
      </c>
      <c r="C25" s="205" t="str">
        <f t="shared" si="0"/>
        <v>BOPP Brilho   -  450mm ()</v>
      </c>
      <c r="D25" s="205"/>
      <c r="E25" s="205" t="s">
        <v>1010</v>
      </c>
      <c r="F25" s="205" t="s">
        <v>731</v>
      </c>
      <c r="G25" s="205"/>
      <c r="H25" s="205"/>
      <c r="I25" s="205" t="s">
        <v>601</v>
      </c>
      <c r="J25" s="205"/>
      <c r="K25" s="205" t="s">
        <v>1036</v>
      </c>
      <c r="L25" s="205" t="s">
        <v>1208</v>
      </c>
      <c r="M25" s="205" t="s">
        <v>1038</v>
      </c>
      <c r="N25" s="205"/>
      <c r="O25" s="205"/>
      <c r="P25" s="205" t="s">
        <v>74</v>
      </c>
      <c r="Q25" s="205"/>
      <c r="R25" s="206" t="s">
        <v>86</v>
      </c>
    </row>
    <row r="26" spans="2:18" x14ac:dyDescent="0.25">
      <c r="B26" s="204" t="s">
        <v>281</v>
      </c>
      <c r="C26" s="205" t="str">
        <f t="shared" si="0"/>
        <v>BOPP Brilho   -  470mm ()</v>
      </c>
      <c r="D26" s="205"/>
      <c r="E26" s="205" t="s">
        <v>1010</v>
      </c>
      <c r="F26" s="205" t="s">
        <v>731</v>
      </c>
      <c r="G26" s="205"/>
      <c r="H26" s="205"/>
      <c r="I26" s="205" t="s">
        <v>603</v>
      </c>
      <c r="J26" s="205"/>
      <c r="K26" s="205" t="s">
        <v>1036</v>
      </c>
      <c r="L26" s="205" t="s">
        <v>1208</v>
      </c>
      <c r="M26" s="205" t="s">
        <v>1038</v>
      </c>
      <c r="N26" s="205"/>
      <c r="O26" s="205"/>
      <c r="P26" s="205" t="s">
        <v>74</v>
      </c>
      <c r="Q26" s="205"/>
      <c r="R26" s="206" t="s">
        <v>86</v>
      </c>
    </row>
    <row r="27" spans="2:18" x14ac:dyDescent="0.25">
      <c r="B27" s="204" t="s">
        <v>282</v>
      </c>
      <c r="C27" s="205" t="str">
        <f t="shared" si="0"/>
        <v>BOPP Brilho   -  520mm ()</v>
      </c>
      <c r="D27" s="205"/>
      <c r="E27" s="205" t="s">
        <v>1010</v>
      </c>
      <c r="F27" s="205" t="s">
        <v>731</v>
      </c>
      <c r="G27" s="205"/>
      <c r="H27" s="205"/>
      <c r="I27" s="205" t="s">
        <v>604</v>
      </c>
      <c r="J27" s="205"/>
      <c r="K27" s="205" t="s">
        <v>1036</v>
      </c>
      <c r="L27" s="205" t="s">
        <v>1208</v>
      </c>
      <c r="M27" s="205" t="s">
        <v>1038</v>
      </c>
      <c r="N27" s="205"/>
      <c r="O27" s="205"/>
      <c r="P27" s="205" t="s">
        <v>74</v>
      </c>
      <c r="Q27" s="205"/>
      <c r="R27" s="206" t="s">
        <v>86</v>
      </c>
    </row>
    <row r="28" spans="2:18" x14ac:dyDescent="0.25">
      <c r="B28" s="204" t="s">
        <v>283</v>
      </c>
      <c r="C28" s="205" t="str">
        <f t="shared" si="0"/>
        <v>BOPP Brilho   -  550mm ()</v>
      </c>
      <c r="D28" s="205"/>
      <c r="E28" s="205" t="s">
        <v>1010</v>
      </c>
      <c r="F28" s="205" t="s">
        <v>731</v>
      </c>
      <c r="G28" s="205"/>
      <c r="H28" s="205"/>
      <c r="I28" s="205" t="s">
        <v>605</v>
      </c>
      <c r="J28" s="205"/>
      <c r="K28" s="205" t="s">
        <v>1036</v>
      </c>
      <c r="L28" s="205" t="s">
        <v>1208</v>
      </c>
      <c r="M28" s="205" t="s">
        <v>1038</v>
      </c>
      <c r="N28" s="205"/>
      <c r="O28" s="205"/>
      <c r="P28" s="205" t="s">
        <v>74</v>
      </c>
      <c r="Q28" s="205"/>
      <c r="R28" s="206" t="s">
        <v>86</v>
      </c>
    </row>
    <row r="29" spans="2:18" x14ac:dyDescent="0.25">
      <c r="B29" s="204" t="s">
        <v>284</v>
      </c>
      <c r="C29" s="205" t="str">
        <f t="shared" si="0"/>
        <v>BOPP Brilho   -  650mm ()</v>
      </c>
      <c r="D29" s="205"/>
      <c r="E29" s="205" t="s">
        <v>1010</v>
      </c>
      <c r="F29" s="205" t="s">
        <v>731</v>
      </c>
      <c r="G29" s="205"/>
      <c r="H29" s="205"/>
      <c r="I29" s="205" t="s">
        <v>606</v>
      </c>
      <c r="J29" s="205"/>
      <c r="K29" s="205" t="s">
        <v>1036</v>
      </c>
      <c r="L29" s="205" t="s">
        <v>1208</v>
      </c>
      <c r="M29" s="205" t="s">
        <v>1038</v>
      </c>
      <c r="N29" s="205"/>
      <c r="O29" s="205"/>
      <c r="P29" s="205" t="s">
        <v>74</v>
      </c>
      <c r="Q29" s="205"/>
      <c r="R29" s="206" t="s">
        <v>86</v>
      </c>
    </row>
    <row r="30" spans="2:18" x14ac:dyDescent="0.25">
      <c r="B30" s="204" t="s">
        <v>285</v>
      </c>
      <c r="C30" s="205" t="str">
        <f t="shared" si="0"/>
        <v>BOPP Brilho   -  750mm ()</v>
      </c>
      <c r="D30" s="205"/>
      <c r="E30" s="205" t="s">
        <v>1010</v>
      </c>
      <c r="F30" s="205" t="s">
        <v>731</v>
      </c>
      <c r="G30" s="205"/>
      <c r="H30" s="205"/>
      <c r="I30" s="205" t="s">
        <v>607</v>
      </c>
      <c r="J30" s="205"/>
      <c r="K30" s="205" t="s">
        <v>1036</v>
      </c>
      <c r="L30" s="205" t="s">
        <v>1208</v>
      </c>
      <c r="M30" s="205" t="s">
        <v>1038</v>
      </c>
      <c r="N30" s="205"/>
      <c r="O30" s="205"/>
      <c r="P30" s="205" t="s">
        <v>74</v>
      </c>
      <c r="Q30" s="205"/>
      <c r="R30" s="206" t="s">
        <v>86</v>
      </c>
    </row>
    <row r="31" spans="2:18" x14ac:dyDescent="0.25">
      <c r="B31" s="204" t="s">
        <v>286</v>
      </c>
      <c r="C31" s="205" t="str">
        <f t="shared" si="0"/>
        <v>BOPP Fosco   -  300mm ()</v>
      </c>
      <c r="D31" s="205"/>
      <c r="E31" s="205" t="s">
        <v>1010</v>
      </c>
      <c r="F31" s="205" t="s">
        <v>732</v>
      </c>
      <c r="G31" s="205"/>
      <c r="H31" s="205"/>
      <c r="I31" s="205" t="s">
        <v>602</v>
      </c>
      <c r="J31" s="205"/>
      <c r="K31" s="205" t="s">
        <v>1036</v>
      </c>
      <c r="L31" s="205" t="s">
        <v>1208</v>
      </c>
      <c r="M31" s="205" t="s">
        <v>1038</v>
      </c>
      <c r="N31" s="205"/>
      <c r="O31" s="205"/>
      <c r="P31" s="205" t="s">
        <v>74</v>
      </c>
      <c r="Q31" s="205"/>
      <c r="R31" s="206" t="s">
        <v>86</v>
      </c>
    </row>
    <row r="32" spans="2:18" x14ac:dyDescent="0.25">
      <c r="B32" s="204" t="s">
        <v>287</v>
      </c>
      <c r="C32" s="205" t="str">
        <f t="shared" si="0"/>
        <v>BOPP Fosco   -  450mm ()</v>
      </c>
      <c r="D32" s="205"/>
      <c r="E32" s="205" t="s">
        <v>1010</v>
      </c>
      <c r="F32" s="205" t="s">
        <v>732</v>
      </c>
      <c r="G32" s="205"/>
      <c r="H32" s="205"/>
      <c r="I32" s="205" t="s">
        <v>601</v>
      </c>
      <c r="J32" s="205"/>
      <c r="K32" s="205" t="s">
        <v>1036</v>
      </c>
      <c r="L32" s="205" t="s">
        <v>1208</v>
      </c>
      <c r="M32" s="205" t="s">
        <v>1038</v>
      </c>
      <c r="N32" s="205"/>
      <c r="O32" s="205"/>
      <c r="P32" s="205" t="s">
        <v>74</v>
      </c>
      <c r="Q32" s="205"/>
      <c r="R32" s="206" t="s">
        <v>86</v>
      </c>
    </row>
    <row r="33" spans="2:18" x14ac:dyDescent="0.25">
      <c r="B33" s="204" t="s">
        <v>288</v>
      </c>
      <c r="C33" s="205" t="str">
        <f t="shared" si="0"/>
        <v>BOPP Fosco   -  470mm ()</v>
      </c>
      <c r="D33" s="205"/>
      <c r="E33" s="205" t="s">
        <v>1010</v>
      </c>
      <c r="F33" s="205" t="s">
        <v>732</v>
      </c>
      <c r="G33" s="205"/>
      <c r="H33" s="205"/>
      <c r="I33" s="205" t="s">
        <v>603</v>
      </c>
      <c r="J33" s="205"/>
      <c r="K33" s="205" t="s">
        <v>1036</v>
      </c>
      <c r="L33" s="205" t="s">
        <v>1208</v>
      </c>
      <c r="M33" s="205" t="s">
        <v>1038</v>
      </c>
      <c r="N33" s="205"/>
      <c r="O33" s="205"/>
      <c r="P33" s="205" t="s">
        <v>74</v>
      </c>
      <c r="Q33" s="205"/>
      <c r="R33" s="206" t="s">
        <v>86</v>
      </c>
    </row>
    <row r="34" spans="2:18" x14ac:dyDescent="0.25">
      <c r="B34" s="204" t="s">
        <v>289</v>
      </c>
      <c r="C34" s="205" t="str">
        <f t="shared" si="0"/>
        <v>BOPP Fosco   -  520mm ()</v>
      </c>
      <c r="D34" s="205"/>
      <c r="E34" s="205" t="s">
        <v>1010</v>
      </c>
      <c r="F34" s="205" t="s">
        <v>732</v>
      </c>
      <c r="G34" s="205"/>
      <c r="H34" s="205"/>
      <c r="I34" s="205" t="s">
        <v>604</v>
      </c>
      <c r="J34" s="205"/>
      <c r="K34" s="205" t="s">
        <v>1036</v>
      </c>
      <c r="L34" s="205" t="s">
        <v>1208</v>
      </c>
      <c r="M34" s="205" t="s">
        <v>1038</v>
      </c>
      <c r="N34" s="205"/>
      <c r="O34" s="205"/>
      <c r="P34" s="205" t="s">
        <v>74</v>
      </c>
      <c r="Q34" s="205"/>
      <c r="R34" s="206" t="s">
        <v>86</v>
      </c>
    </row>
    <row r="35" spans="2:18" x14ac:dyDescent="0.25">
      <c r="B35" s="204" t="s">
        <v>290</v>
      </c>
      <c r="C35" s="205" t="str">
        <f t="shared" si="0"/>
        <v>BOPP Fosco   -  550mm ()</v>
      </c>
      <c r="D35" s="205"/>
      <c r="E35" s="205" t="s">
        <v>1010</v>
      </c>
      <c r="F35" s="205" t="s">
        <v>732</v>
      </c>
      <c r="G35" s="205"/>
      <c r="H35" s="205"/>
      <c r="I35" s="205" t="s">
        <v>605</v>
      </c>
      <c r="J35" s="205"/>
      <c r="K35" s="205" t="s">
        <v>1036</v>
      </c>
      <c r="L35" s="205" t="s">
        <v>1208</v>
      </c>
      <c r="M35" s="205" t="s">
        <v>1038</v>
      </c>
      <c r="N35" s="205"/>
      <c r="O35" s="205"/>
      <c r="P35" s="205" t="s">
        <v>74</v>
      </c>
      <c r="Q35" s="205"/>
      <c r="R35" s="206" t="s">
        <v>86</v>
      </c>
    </row>
    <row r="36" spans="2:18" x14ac:dyDescent="0.25">
      <c r="B36" s="204" t="s">
        <v>291</v>
      </c>
      <c r="C36" s="205" t="str">
        <f t="shared" si="0"/>
        <v>BOPP Fosco   -  650mm ()</v>
      </c>
      <c r="D36" s="205"/>
      <c r="E36" s="205" t="s">
        <v>1010</v>
      </c>
      <c r="F36" s="205" t="s">
        <v>732</v>
      </c>
      <c r="G36" s="205"/>
      <c r="H36" s="205"/>
      <c r="I36" s="205" t="s">
        <v>606</v>
      </c>
      <c r="J36" s="205"/>
      <c r="K36" s="205" t="s">
        <v>1036</v>
      </c>
      <c r="L36" s="205" t="s">
        <v>1208</v>
      </c>
      <c r="M36" s="205" t="s">
        <v>1038</v>
      </c>
      <c r="N36" s="205"/>
      <c r="O36" s="205"/>
      <c r="P36" s="205" t="s">
        <v>74</v>
      </c>
      <c r="Q36" s="205"/>
      <c r="R36" s="206" t="s">
        <v>86</v>
      </c>
    </row>
    <row r="37" spans="2:18" x14ac:dyDescent="0.25">
      <c r="B37" s="204" t="s">
        <v>292</v>
      </c>
      <c r="C37" s="205" t="str">
        <f t="shared" si="0"/>
        <v>BOPP Fosco   -  750mm ()</v>
      </c>
      <c r="D37" s="205"/>
      <c r="E37" s="205" t="s">
        <v>1010</v>
      </c>
      <c r="F37" s="205" t="s">
        <v>732</v>
      </c>
      <c r="G37" s="205"/>
      <c r="H37" s="205"/>
      <c r="I37" s="205" t="s">
        <v>607</v>
      </c>
      <c r="J37" s="205"/>
      <c r="K37" s="205" t="s">
        <v>1036</v>
      </c>
      <c r="L37" s="205" t="s">
        <v>1208</v>
      </c>
      <c r="M37" s="205" t="s">
        <v>1038</v>
      </c>
      <c r="N37" s="205"/>
      <c r="O37" s="205"/>
      <c r="P37" s="205" t="s">
        <v>74</v>
      </c>
      <c r="Q37" s="205"/>
      <c r="R37" s="206" t="s">
        <v>86</v>
      </c>
    </row>
    <row r="38" spans="2:18" x14ac:dyDescent="0.25">
      <c r="B38" s="204" t="s">
        <v>293</v>
      </c>
      <c r="C38" s="205" t="str">
        <f t="shared" si="0"/>
        <v>Borracha para lápis    -   ()</v>
      </c>
      <c r="D38" s="205"/>
      <c r="E38" s="205" t="s">
        <v>769</v>
      </c>
      <c r="F38" s="205"/>
      <c r="G38" s="205"/>
      <c r="H38" s="205"/>
      <c r="I38" s="205"/>
      <c r="J38" s="205"/>
      <c r="K38" s="205" t="s">
        <v>1224</v>
      </c>
      <c r="L38" s="205" t="s">
        <v>1204</v>
      </c>
      <c r="M38" s="205"/>
      <c r="N38" s="205"/>
      <c r="O38" s="205"/>
      <c r="P38" s="205" t="s">
        <v>921</v>
      </c>
      <c r="Q38" s="205"/>
      <c r="R38" s="206" t="s">
        <v>1065</v>
      </c>
    </row>
    <row r="39" spans="2:18" x14ac:dyDescent="0.25">
      <c r="B39" s="204" t="s">
        <v>294</v>
      </c>
      <c r="C39" s="205" t="str">
        <f t="shared" si="0"/>
        <v>Borracha para tinta    -   ()</v>
      </c>
      <c r="D39" s="205"/>
      <c r="E39" s="205" t="s">
        <v>770</v>
      </c>
      <c r="F39" s="205"/>
      <c r="G39" s="205"/>
      <c r="H39" s="205"/>
      <c r="I39" s="205"/>
      <c r="J39" s="205"/>
      <c r="K39" s="205" t="s">
        <v>1224</v>
      </c>
      <c r="L39" s="205" t="s">
        <v>1204</v>
      </c>
      <c r="M39" s="205"/>
      <c r="N39" s="205"/>
      <c r="O39" s="205"/>
      <c r="P39" s="205" t="s">
        <v>921</v>
      </c>
      <c r="Q39" s="205"/>
      <c r="R39" s="206" t="s">
        <v>1065</v>
      </c>
    </row>
    <row r="40" spans="2:18" x14ac:dyDescent="0.25">
      <c r="B40" s="204" t="s">
        <v>295</v>
      </c>
      <c r="C40" s="205" t="str">
        <f t="shared" si="0"/>
        <v>Cabeceado    - Preto  ()</v>
      </c>
      <c r="D40" s="205"/>
      <c r="E40" s="205" t="s">
        <v>748</v>
      </c>
      <c r="F40" s="205"/>
      <c r="G40" s="205"/>
      <c r="H40" s="205" t="s">
        <v>614</v>
      </c>
      <c r="I40" s="205"/>
      <c r="J40" s="205"/>
      <c r="K40" s="205" t="s">
        <v>1036</v>
      </c>
      <c r="L40" s="205" t="s">
        <v>1208</v>
      </c>
      <c r="M40" s="205" t="s">
        <v>1040</v>
      </c>
      <c r="N40" s="205"/>
      <c r="O40" s="205"/>
      <c r="P40" s="205" t="s">
        <v>74</v>
      </c>
      <c r="Q40" s="205"/>
      <c r="R40" s="206" t="s">
        <v>86</v>
      </c>
    </row>
    <row r="41" spans="2:18" x14ac:dyDescent="0.25">
      <c r="B41" s="204" t="s">
        <v>296</v>
      </c>
      <c r="C41" s="205" t="str">
        <f t="shared" si="0"/>
        <v>Cabeçote para Plotter DesignJet 5500   - Amarelo  ()</v>
      </c>
      <c r="D41" s="205"/>
      <c r="E41" s="205" t="s">
        <v>1086</v>
      </c>
      <c r="F41" s="205" t="s">
        <v>1087</v>
      </c>
      <c r="G41" s="205"/>
      <c r="H41" s="205" t="s">
        <v>609</v>
      </c>
      <c r="I41" s="205"/>
      <c r="J41" s="205"/>
      <c r="K41" s="205" t="s">
        <v>1225</v>
      </c>
      <c r="L41" s="205" t="s">
        <v>1210</v>
      </c>
      <c r="M41" s="205"/>
      <c r="N41" s="205"/>
      <c r="O41" s="205"/>
      <c r="P41" s="205" t="s">
        <v>921</v>
      </c>
      <c r="Q41" s="205"/>
      <c r="R41" s="206" t="s">
        <v>111</v>
      </c>
    </row>
    <row r="42" spans="2:18" x14ac:dyDescent="0.25">
      <c r="B42" s="204" t="s">
        <v>297</v>
      </c>
      <c r="C42" s="205" t="str">
        <f t="shared" si="0"/>
        <v>Cabeçote para Plotter DesignJet 5500   - Ciano  ()</v>
      </c>
      <c r="D42" s="205"/>
      <c r="E42" s="205" t="s">
        <v>1086</v>
      </c>
      <c r="F42" s="205" t="s">
        <v>1087</v>
      </c>
      <c r="G42" s="205"/>
      <c r="H42" s="205" t="s">
        <v>610</v>
      </c>
      <c r="I42" s="205"/>
      <c r="J42" s="205"/>
      <c r="K42" s="205" t="s">
        <v>1225</v>
      </c>
      <c r="L42" s="205" t="s">
        <v>1210</v>
      </c>
      <c r="M42" s="205"/>
      <c r="N42" s="205"/>
      <c r="O42" s="205"/>
      <c r="P42" s="205" t="s">
        <v>921</v>
      </c>
      <c r="Q42" s="205"/>
      <c r="R42" s="206" t="s">
        <v>111</v>
      </c>
    </row>
    <row r="43" spans="2:18" x14ac:dyDescent="0.25">
      <c r="B43" s="204" t="s">
        <v>298</v>
      </c>
      <c r="C43" s="205" t="str">
        <f t="shared" si="0"/>
        <v>Cabeçote para Plotter DesignJet 5500   - Ciano Claro  ()</v>
      </c>
      <c r="D43" s="205"/>
      <c r="E43" s="205" t="s">
        <v>1086</v>
      </c>
      <c r="F43" s="205" t="s">
        <v>1087</v>
      </c>
      <c r="G43" s="205"/>
      <c r="H43" s="205" t="s">
        <v>611</v>
      </c>
      <c r="I43" s="205"/>
      <c r="J43" s="205"/>
      <c r="K43" s="205" t="s">
        <v>1225</v>
      </c>
      <c r="L43" s="205" t="s">
        <v>1210</v>
      </c>
      <c r="M43" s="205"/>
      <c r="N43" s="205"/>
      <c r="O43" s="205"/>
      <c r="P43" s="205" t="s">
        <v>921</v>
      </c>
      <c r="Q43" s="205"/>
      <c r="R43" s="206" t="s">
        <v>111</v>
      </c>
    </row>
    <row r="44" spans="2:18" x14ac:dyDescent="0.25">
      <c r="B44" s="204" t="s">
        <v>299</v>
      </c>
      <c r="C44" s="205" t="str">
        <f t="shared" si="0"/>
        <v>Cabeçote para Plotter DesignJet 5500   - Magenta  ()</v>
      </c>
      <c r="D44" s="205"/>
      <c r="E44" s="205" t="s">
        <v>1086</v>
      </c>
      <c r="F44" s="205" t="s">
        <v>1087</v>
      </c>
      <c r="G44" s="205"/>
      <c r="H44" s="205" t="s">
        <v>612</v>
      </c>
      <c r="I44" s="205"/>
      <c r="J44" s="205"/>
      <c r="K44" s="205" t="s">
        <v>1225</v>
      </c>
      <c r="L44" s="205" t="s">
        <v>1210</v>
      </c>
      <c r="M44" s="205"/>
      <c r="N44" s="205"/>
      <c r="O44" s="205"/>
      <c r="P44" s="205" t="s">
        <v>921</v>
      </c>
      <c r="Q44" s="205"/>
      <c r="R44" s="206" t="s">
        <v>111</v>
      </c>
    </row>
    <row r="45" spans="2:18" x14ac:dyDescent="0.25">
      <c r="B45" s="204" t="s">
        <v>300</v>
      </c>
      <c r="C45" s="205" t="str">
        <f t="shared" si="0"/>
        <v>Cabeçote para Plotter DesignJet 5500   - Magenta Claro  ()</v>
      </c>
      <c r="D45" s="205"/>
      <c r="E45" s="205" t="s">
        <v>1086</v>
      </c>
      <c r="F45" s="205" t="s">
        <v>1087</v>
      </c>
      <c r="G45" s="205"/>
      <c r="H45" s="205" t="s">
        <v>613</v>
      </c>
      <c r="I45" s="205"/>
      <c r="J45" s="205"/>
      <c r="K45" s="205" t="s">
        <v>1225</v>
      </c>
      <c r="L45" s="205" t="s">
        <v>1210</v>
      </c>
      <c r="M45" s="205"/>
      <c r="N45" s="205"/>
      <c r="O45" s="205"/>
      <c r="P45" s="205" t="s">
        <v>921</v>
      </c>
      <c r="Q45" s="205"/>
      <c r="R45" s="206" t="s">
        <v>111</v>
      </c>
    </row>
    <row r="46" spans="2:18" x14ac:dyDescent="0.25">
      <c r="B46" s="204" t="s">
        <v>301</v>
      </c>
      <c r="C46" s="205" t="str">
        <f t="shared" si="0"/>
        <v>Cabeçote para Plotter DesignJet 5500   - Preto  ()</v>
      </c>
      <c r="D46" s="205"/>
      <c r="E46" s="205" t="s">
        <v>1086</v>
      </c>
      <c r="F46" s="205" t="s">
        <v>1087</v>
      </c>
      <c r="G46" s="205"/>
      <c r="H46" s="205" t="s">
        <v>614</v>
      </c>
      <c r="I46" s="205"/>
      <c r="J46" s="205"/>
      <c r="K46" s="205" t="s">
        <v>1225</v>
      </c>
      <c r="L46" s="205" t="s">
        <v>1210</v>
      </c>
      <c r="M46" s="205"/>
      <c r="N46" s="205"/>
      <c r="O46" s="205"/>
      <c r="P46" s="205" t="s">
        <v>921</v>
      </c>
      <c r="Q46" s="205"/>
      <c r="R46" s="206" t="s">
        <v>111</v>
      </c>
    </row>
    <row r="47" spans="2:18" x14ac:dyDescent="0.25">
      <c r="B47" s="204" t="s">
        <v>302</v>
      </c>
      <c r="C47" s="205" t="str">
        <f t="shared" si="0"/>
        <v>Cabo de madeira    -  5/8 1,05m ()</v>
      </c>
      <c r="D47" s="205"/>
      <c r="E47" s="205" t="s">
        <v>771</v>
      </c>
      <c r="F47" s="205"/>
      <c r="G47" s="205"/>
      <c r="H47" s="205"/>
      <c r="I47" s="205" t="s">
        <v>615</v>
      </c>
      <c r="J47" s="205"/>
      <c r="K47" s="205" t="s">
        <v>1036</v>
      </c>
      <c r="L47" s="205" t="s">
        <v>1208</v>
      </c>
      <c r="M47" s="205" t="s">
        <v>1209</v>
      </c>
      <c r="N47" s="205"/>
      <c r="O47" s="205"/>
      <c r="P47" s="205" t="s">
        <v>921</v>
      </c>
      <c r="Q47" s="205"/>
      <c r="R47" s="206" t="s">
        <v>1065</v>
      </c>
    </row>
    <row r="48" spans="2:18" x14ac:dyDescent="0.25">
      <c r="B48" s="204" t="s">
        <v>303</v>
      </c>
      <c r="C48" s="205" t="str">
        <f t="shared" si="0"/>
        <v>Cabo de madeira    -  7/8 2,00m ()</v>
      </c>
      <c r="D48" s="205"/>
      <c r="E48" s="205" t="s">
        <v>771</v>
      </c>
      <c r="F48" s="205"/>
      <c r="G48" s="205"/>
      <c r="H48" s="205"/>
      <c r="I48" s="205" t="s">
        <v>616</v>
      </c>
      <c r="J48" s="205"/>
      <c r="K48" s="205" t="s">
        <v>1036</v>
      </c>
      <c r="L48" s="205" t="s">
        <v>1208</v>
      </c>
      <c r="M48" s="205" t="s">
        <v>1209</v>
      </c>
      <c r="N48" s="205"/>
      <c r="O48" s="205"/>
      <c r="P48" s="205" t="s">
        <v>921</v>
      </c>
      <c r="Q48" s="205"/>
      <c r="R48" s="206" t="s">
        <v>1065</v>
      </c>
    </row>
    <row r="49" spans="2:18" x14ac:dyDescent="0.25">
      <c r="B49" s="204" t="s">
        <v>304</v>
      </c>
      <c r="C49" s="205" t="str">
        <f t="shared" si="0"/>
        <v>Caixa arquivo    -  110 x 280 x 382mm ()</v>
      </c>
      <c r="D49" s="205"/>
      <c r="E49" s="205" t="s">
        <v>772</v>
      </c>
      <c r="F49" s="205"/>
      <c r="G49" s="205"/>
      <c r="H49" s="205"/>
      <c r="I49" s="205" t="s">
        <v>618</v>
      </c>
      <c r="J49" s="205"/>
      <c r="K49" s="205" t="s">
        <v>1224</v>
      </c>
      <c r="L49" s="205" t="s">
        <v>1204</v>
      </c>
      <c r="M49" s="205"/>
      <c r="N49" s="205"/>
      <c r="O49" s="205"/>
      <c r="P49" s="205" t="s">
        <v>921</v>
      </c>
      <c r="Q49" s="205"/>
      <c r="R49" s="206" t="s">
        <v>1065</v>
      </c>
    </row>
    <row r="50" spans="2:18" x14ac:dyDescent="0.25">
      <c r="B50" s="204" t="s">
        <v>305</v>
      </c>
      <c r="C50" s="205" t="str">
        <f t="shared" si="0"/>
        <v>Caixa papelão corte diagonal (revisteiro)   -   ()</v>
      </c>
      <c r="D50" s="205"/>
      <c r="E50" s="205" t="s">
        <v>1089</v>
      </c>
      <c r="F50" s="205" t="s">
        <v>1088</v>
      </c>
      <c r="G50" s="205"/>
      <c r="H50" s="205"/>
      <c r="I50" s="205"/>
      <c r="J50" s="205"/>
      <c r="K50" s="205" t="s">
        <v>1224</v>
      </c>
      <c r="L50" s="205" t="s">
        <v>1204</v>
      </c>
      <c r="M50" s="205"/>
      <c r="N50" s="205"/>
      <c r="O50" s="205"/>
      <c r="P50" s="205" t="s">
        <v>921</v>
      </c>
      <c r="Q50" s="205"/>
      <c r="R50" s="206" t="s">
        <v>1065</v>
      </c>
    </row>
    <row r="51" spans="2:18" x14ac:dyDescent="0.25">
      <c r="B51" s="204" t="s">
        <v>306</v>
      </c>
      <c r="C51" s="205" t="str">
        <f t="shared" si="0"/>
        <v>Câmara de ar    -  3,25-8 ()</v>
      </c>
      <c r="D51" s="205" t="s">
        <v>20</v>
      </c>
      <c r="E51" s="205" t="s">
        <v>773</v>
      </c>
      <c r="F51" s="205"/>
      <c r="G51" s="205"/>
      <c r="H51" s="205"/>
      <c r="I51" s="205" t="s">
        <v>619</v>
      </c>
      <c r="J51" s="205"/>
      <c r="K51" s="205" t="s">
        <v>1222</v>
      </c>
      <c r="L51" s="205" t="s">
        <v>1210</v>
      </c>
      <c r="M51" s="205" t="s">
        <v>1042</v>
      </c>
      <c r="N51" s="205"/>
      <c r="O51" s="205"/>
      <c r="P51" s="205" t="s">
        <v>921</v>
      </c>
      <c r="Q51" s="205"/>
      <c r="R51" s="206" t="s">
        <v>1065</v>
      </c>
    </row>
    <row r="52" spans="2:18" x14ac:dyDescent="0.25">
      <c r="B52" s="204" t="s">
        <v>307</v>
      </c>
      <c r="C52" s="205" t="str">
        <f t="shared" si="0"/>
        <v>Câmara de ar    -  3,5-8 ()</v>
      </c>
      <c r="D52" s="205" t="s">
        <v>20</v>
      </c>
      <c r="E52" s="205" t="s">
        <v>773</v>
      </c>
      <c r="F52" s="205"/>
      <c r="G52" s="205"/>
      <c r="H52" s="205"/>
      <c r="I52" s="205" t="s">
        <v>620</v>
      </c>
      <c r="J52" s="205"/>
      <c r="K52" s="205" t="s">
        <v>1222</v>
      </c>
      <c r="L52" s="205" t="s">
        <v>1210</v>
      </c>
      <c r="M52" s="205" t="s">
        <v>1042</v>
      </c>
      <c r="N52" s="205"/>
      <c r="O52" s="205"/>
      <c r="P52" s="205" t="s">
        <v>921</v>
      </c>
      <c r="Q52" s="205"/>
      <c r="R52" s="206" t="s">
        <v>1065</v>
      </c>
    </row>
    <row r="53" spans="2:18" x14ac:dyDescent="0.25">
      <c r="B53" s="204" t="s">
        <v>308</v>
      </c>
      <c r="C53" s="205" t="str">
        <f t="shared" si="0"/>
        <v>Camisa de moleton    -  85mm ()</v>
      </c>
      <c r="D53" s="205"/>
      <c r="E53" s="205" t="s">
        <v>774</v>
      </c>
      <c r="F53" s="205"/>
      <c r="G53" s="205"/>
      <c r="H53" s="205"/>
      <c r="I53" s="205" t="s">
        <v>621</v>
      </c>
      <c r="J53" s="205"/>
      <c r="K53" s="205" t="s">
        <v>1029</v>
      </c>
      <c r="L53" s="205" t="s">
        <v>1208</v>
      </c>
      <c r="M53" s="205" t="s">
        <v>1022</v>
      </c>
      <c r="N53" s="205"/>
      <c r="O53" s="205"/>
      <c r="P53" s="205" t="s">
        <v>74</v>
      </c>
      <c r="Q53" s="205"/>
      <c r="R53" s="206" t="s">
        <v>86</v>
      </c>
    </row>
    <row r="54" spans="2:18" x14ac:dyDescent="0.25">
      <c r="B54" s="204" t="s">
        <v>309</v>
      </c>
      <c r="C54" s="205" t="str">
        <f t="shared" si="0"/>
        <v>Canaleta para corte e vinco    -   ()</v>
      </c>
      <c r="D54" s="205"/>
      <c r="E54" s="205" t="s">
        <v>775</v>
      </c>
      <c r="F54" s="205"/>
      <c r="G54" s="205"/>
      <c r="H54" s="205"/>
      <c r="I54" s="205"/>
      <c r="J54" s="205"/>
      <c r="K54" s="205" t="s">
        <v>1036</v>
      </c>
      <c r="L54" s="205" t="s">
        <v>1208</v>
      </c>
      <c r="M54" s="205" t="s">
        <v>1209</v>
      </c>
      <c r="N54" s="205"/>
      <c r="O54" s="205"/>
      <c r="P54" s="205" t="s">
        <v>921</v>
      </c>
      <c r="Q54" s="205"/>
      <c r="R54" s="206" t="s">
        <v>86</v>
      </c>
    </row>
    <row r="55" spans="2:18" x14ac:dyDescent="0.25">
      <c r="B55" s="204" t="s">
        <v>310</v>
      </c>
      <c r="C55" s="205" t="str">
        <f t="shared" si="0"/>
        <v>Caneta corretora para chapa Offset positiva   -  Ponta Extra-Fina ()</v>
      </c>
      <c r="D55" s="205"/>
      <c r="E55" s="205" t="s">
        <v>776</v>
      </c>
      <c r="F55" s="205" t="s">
        <v>1211</v>
      </c>
      <c r="G55" s="205"/>
      <c r="H55" s="205"/>
      <c r="I55" s="205" t="s">
        <v>622</v>
      </c>
      <c r="J55" s="205"/>
      <c r="K55" s="205" t="s">
        <v>1036</v>
      </c>
      <c r="L55" s="205" t="s">
        <v>1208</v>
      </c>
      <c r="M55" s="205" t="s">
        <v>1212</v>
      </c>
      <c r="N55" s="205"/>
      <c r="O55" s="205"/>
      <c r="P55" s="205" t="s">
        <v>921</v>
      </c>
      <c r="Q55" s="205"/>
      <c r="R55" s="206" t="s">
        <v>1065</v>
      </c>
    </row>
    <row r="56" spans="2:18" x14ac:dyDescent="0.25">
      <c r="B56" s="204" t="s">
        <v>311</v>
      </c>
      <c r="C56" s="205" t="str">
        <f t="shared" si="0"/>
        <v>Caneta corretora para chapa Offset positiva   -  Ponta Média ()</v>
      </c>
      <c r="D56" s="205"/>
      <c r="E56" s="205" t="s">
        <v>776</v>
      </c>
      <c r="F56" s="205" t="s">
        <v>1211</v>
      </c>
      <c r="G56" s="205"/>
      <c r="H56" s="205"/>
      <c r="I56" s="205" t="s">
        <v>623</v>
      </c>
      <c r="J56" s="205"/>
      <c r="K56" s="205" t="s">
        <v>1225</v>
      </c>
      <c r="L56" s="205" t="s">
        <v>1208</v>
      </c>
      <c r="M56" s="205" t="s">
        <v>1212</v>
      </c>
      <c r="N56" s="205"/>
      <c r="O56" s="205"/>
      <c r="P56" s="205" t="s">
        <v>921</v>
      </c>
      <c r="Q56" s="205"/>
      <c r="R56" s="206" t="s">
        <v>1065</v>
      </c>
    </row>
    <row r="57" spans="2:18" x14ac:dyDescent="0.25">
      <c r="B57" s="204" t="s">
        <v>312</v>
      </c>
      <c r="C57" s="205" t="str">
        <f t="shared" si="0"/>
        <v>Caneta esferográfica    - Azul  ()</v>
      </c>
      <c r="D57" s="205"/>
      <c r="E57" s="205" t="s">
        <v>1090</v>
      </c>
      <c r="F57" s="205"/>
      <c r="G57" s="205"/>
      <c r="H57" s="205" t="s">
        <v>167</v>
      </c>
      <c r="I57" s="205"/>
      <c r="J57" s="205"/>
      <c r="K57" s="205" t="s">
        <v>1224</v>
      </c>
      <c r="L57" s="205" t="s">
        <v>1204</v>
      </c>
      <c r="M57" s="205"/>
      <c r="N57" s="205"/>
      <c r="O57" s="205"/>
      <c r="P57" s="205" t="s">
        <v>921</v>
      </c>
      <c r="Q57" s="205"/>
      <c r="R57" s="206" t="s">
        <v>1065</v>
      </c>
    </row>
    <row r="58" spans="2:18" x14ac:dyDescent="0.25">
      <c r="B58" s="204" t="s">
        <v>313</v>
      </c>
      <c r="C58" s="205" t="str">
        <f t="shared" si="0"/>
        <v>Caneta marcadora permanente para identificação de CDs    -   ()</v>
      </c>
      <c r="D58" s="205"/>
      <c r="E58" s="205" t="s">
        <v>777</v>
      </c>
      <c r="F58" s="205"/>
      <c r="G58" s="205"/>
      <c r="H58" s="205"/>
      <c r="I58" s="205"/>
      <c r="J58" s="205"/>
      <c r="K58" s="205" t="s">
        <v>1224</v>
      </c>
      <c r="L58" s="205" t="s">
        <v>1204</v>
      </c>
      <c r="M58" s="205"/>
      <c r="N58" s="205"/>
      <c r="O58" s="205"/>
      <c r="P58" s="205" t="s">
        <v>921</v>
      </c>
      <c r="Q58" s="205"/>
      <c r="R58" s="206" t="s">
        <v>1065</v>
      </c>
    </row>
    <row r="59" spans="2:18" x14ac:dyDescent="0.25">
      <c r="B59" s="204" t="s">
        <v>314</v>
      </c>
      <c r="C59" s="205" t="str">
        <f t="shared" si="0"/>
        <v>Capa para Avulso    -   ()</v>
      </c>
      <c r="D59" s="205"/>
      <c r="E59" s="205" t="s">
        <v>314</v>
      </c>
      <c r="F59" s="205"/>
      <c r="G59" s="205"/>
      <c r="H59" s="205"/>
      <c r="I59" s="205"/>
      <c r="J59" s="205"/>
      <c r="K59" s="205" t="s">
        <v>1224</v>
      </c>
      <c r="L59" s="205" t="s">
        <v>1204</v>
      </c>
      <c r="M59" s="205"/>
      <c r="N59" s="205"/>
      <c r="O59" s="205"/>
      <c r="P59" s="205" t="s">
        <v>921</v>
      </c>
      <c r="Q59" s="205"/>
      <c r="R59" s="206" t="s">
        <v>1065</v>
      </c>
    </row>
    <row r="60" spans="2:18" x14ac:dyDescent="0.25">
      <c r="B60" s="204" t="s">
        <v>315</v>
      </c>
      <c r="C60" s="205" t="str">
        <f t="shared" si="0"/>
        <v>Capa para Processo    -   ()</v>
      </c>
      <c r="D60" s="205"/>
      <c r="E60" s="205" t="s">
        <v>315</v>
      </c>
      <c r="F60" s="205"/>
      <c r="G60" s="205"/>
      <c r="H60" s="205"/>
      <c r="I60" s="205"/>
      <c r="J60" s="205"/>
      <c r="K60" s="205" t="s">
        <v>1224</v>
      </c>
      <c r="L60" s="205" t="s">
        <v>1204</v>
      </c>
      <c r="M60" s="205"/>
      <c r="N60" s="205"/>
      <c r="O60" s="205"/>
      <c r="P60" s="205" t="s">
        <v>921</v>
      </c>
      <c r="Q60" s="205"/>
      <c r="R60" s="206" t="s">
        <v>1065</v>
      </c>
    </row>
    <row r="61" spans="2:18" x14ac:dyDescent="0.25">
      <c r="B61" s="204" t="s">
        <v>316</v>
      </c>
      <c r="C61" s="205" t="str">
        <f t="shared" si="0"/>
        <v>Capa PVC para encadernaçao    -  Colorida ()</v>
      </c>
      <c r="D61" s="205"/>
      <c r="E61" s="205" t="s">
        <v>778</v>
      </c>
      <c r="F61" s="205"/>
      <c r="G61" s="205"/>
      <c r="H61" s="205"/>
      <c r="I61" s="205" t="s">
        <v>624</v>
      </c>
      <c r="J61" s="205"/>
      <c r="K61" s="205" t="s">
        <v>1036</v>
      </c>
      <c r="L61" s="205" t="s">
        <v>1208</v>
      </c>
      <c r="M61" s="205" t="s">
        <v>1209</v>
      </c>
      <c r="N61" s="205"/>
      <c r="O61" s="205"/>
      <c r="P61" s="205" t="s">
        <v>921</v>
      </c>
      <c r="Q61" s="205"/>
      <c r="R61" s="206" t="s">
        <v>1065</v>
      </c>
    </row>
    <row r="62" spans="2:18" x14ac:dyDescent="0.25">
      <c r="B62" s="204" t="s">
        <v>317</v>
      </c>
      <c r="C62" s="205" t="str">
        <f t="shared" si="0"/>
        <v>Capa PVC para encardenação    -  Transparente ()</v>
      </c>
      <c r="D62" s="205"/>
      <c r="E62" s="205" t="s">
        <v>779</v>
      </c>
      <c r="F62" s="205"/>
      <c r="G62" s="205"/>
      <c r="H62" s="205"/>
      <c r="I62" s="205" t="s">
        <v>22</v>
      </c>
      <c r="J62" s="205"/>
      <c r="K62" s="205" t="s">
        <v>1036</v>
      </c>
      <c r="L62" s="205" t="s">
        <v>1208</v>
      </c>
      <c r="M62" s="205" t="s">
        <v>1209</v>
      </c>
      <c r="N62" s="205"/>
      <c r="O62" s="205"/>
      <c r="P62" s="205" t="s">
        <v>921</v>
      </c>
      <c r="Q62" s="205"/>
      <c r="R62" s="206" t="s">
        <v>1065</v>
      </c>
    </row>
    <row r="63" spans="2:18" x14ac:dyDescent="0.25">
      <c r="B63" s="204" t="s">
        <v>318</v>
      </c>
      <c r="C63" s="205" t="str">
        <f t="shared" si="0"/>
        <v>CD-R Gravável    -   ()</v>
      </c>
      <c r="D63" s="205"/>
      <c r="E63" s="205" t="s">
        <v>625</v>
      </c>
      <c r="F63" s="205"/>
      <c r="G63" s="205"/>
      <c r="H63" s="205"/>
      <c r="I63" s="205"/>
      <c r="J63" s="205"/>
      <c r="K63" s="205" t="s">
        <v>1224</v>
      </c>
      <c r="L63" s="205" t="s">
        <v>1020</v>
      </c>
      <c r="M63" s="205"/>
      <c r="N63" s="205"/>
      <c r="O63" s="205"/>
      <c r="P63" s="205" t="s">
        <v>921</v>
      </c>
      <c r="Q63" s="205"/>
      <c r="R63" s="206" t="s">
        <v>1065</v>
      </c>
    </row>
    <row r="64" spans="2:18" x14ac:dyDescent="0.25">
      <c r="B64" s="204" t="s">
        <v>319</v>
      </c>
      <c r="C64" s="205" t="str">
        <f t="shared" si="0"/>
        <v>CD-RW Regravável    -   ()</v>
      </c>
      <c r="D64" s="205"/>
      <c r="E64" s="205" t="s">
        <v>780</v>
      </c>
      <c r="F64" s="205"/>
      <c r="G64" s="205"/>
      <c r="H64" s="205"/>
      <c r="I64" s="205"/>
      <c r="J64" s="205"/>
      <c r="K64" s="205" t="s">
        <v>1224</v>
      </c>
      <c r="L64" s="205" t="s">
        <v>1020</v>
      </c>
      <c r="M64" s="205"/>
      <c r="N64" s="205"/>
      <c r="O64" s="205"/>
      <c r="P64" s="205" t="s">
        <v>921</v>
      </c>
      <c r="Q64" s="205"/>
      <c r="R64" s="206" t="s">
        <v>1065</v>
      </c>
    </row>
    <row r="65" spans="2:18" x14ac:dyDescent="0.25">
      <c r="B65" s="204" t="s">
        <v>320</v>
      </c>
      <c r="C65" s="205" t="str">
        <f t="shared" si="0"/>
        <v>Cera limpadora    -   ()</v>
      </c>
      <c r="D65" s="205"/>
      <c r="E65" s="205" t="s">
        <v>781</v>
      </c>
      <c r="F65" s="205"/>
      <c r="G65" s="205"/>
      <c r="H65" s="205"/>
      <c r="I65" s="205"/>
      <c r="J65" s="205"/>
      <c r="K65" s="205" t="s">
        <v>1029</v>
      </c>
      <c r="L65" s="205" t="s">
        <v>1201</v>
      </c>
      <c r="M65" s="205" t="s">
        <v>1217</v>
      </c>
      <c r="N65" s="205"/>
      <c r="O65" s="205"/>
      <c r="P65" s="205" t="s">
        <v>64</v>
      </c>
      <c r="Q65" s="205"/>
      <c r="R65" s="206" t="s">
        <v>111</v>
      </c>
    </row>
    <row r="66" spans="2:18" x14ac:dyDescent="0.25">
      <c r="B66" s="204" t="s">
        <v>321</v>
      </c>
      <c r="C66" s="205" t="str">
        <f t="shared" ref="C66:C129" si="1">E66 &amp; " "  &amp; F66 &amp;   " " &amp; G66 &amp; " "  &amp; " - " &amp; H66 &amp; " " &amp; I66 &amp; " " &amp; "(" &amp; J66 &amp; ")"</f>
        <v>Chapa PM52 (459 x 525mm) 0,15 mm  -  UV (IBF)</v>
      </c>
      <c r="D66" s="205"/>
      <c r="E66" s="205" t="s">
        <v>689</v>
      </c>
      <c r="F66" s="205" t="s">
        <v>923</v>
      </c>
      <c r="G66" s="205" t="s">
        <v>690</v>
      </c>
      <c r="H66" s="205"/>
      <c r="I66" s="205" t="s">
        <v>782</v>
      </c>
      <c r="J66" s="205" t="s">
        <v>691</v>
      </c>
      <c r="K66" s="205" t="s">
        <v>1225</v>
      </c>
      <c r="L66" s="205" t="s">
        <v>1208</v>
      </c>
      <c r="M66" s="205" t="s">
        <v>1212</v>
      </c>
      <c r="N66" s="205" t="s">
        <v>70</v>
      </c>
      <c r="O66" s="205">
        <v>100</v>
      </c>
      <c r="P66" s="205" t="s">
        <v>1051</v>
      </c>
      <c r="Q66" s="205"/>
      <c r="R66" s="206" t="s">
        <v>1065</v>
      </c>
    </row>
    <row r="67" spans="2:18" x14ac:dyDescent="0.25">
      <c r="B67" s="204" t="s">
        <v>322</v>
      </c>
      <c r="C67" s="205" t="str">
        <f t="shared" si="1"/>
        <v>Chapa Catu (660 x 605mm)   -   ()</v>
      </c>
      <c r="D67" s="205"/>
      <c r="E67" s="205" t="s">
        <v>689</v>
      </c>
      <c r="F67" s="205" t="s">
        <v>922</v>
      </c>
      <c r="G67" s="205"/>
      <c r="H67" s="205"/>
      <c r="I67" s="205"/>
      <c r="J67" s="205"/>
      <c r="K67" s="205" t="s">
        <v>1225</v>
      </c>
      <c r="L67" s="205" t="s">
        <v>1208</v>
      </c>
      <c r="M67" s="205" t="s">
        <v>1212</v>
      </c>
      <c r="N67" s="205"/>
      <c r="O67" s="205"/>
      <c r="P67" s="205" t="s">
        <v>1051</v>
      </c>
      <c r="Q67" s="205"/>
      <c r="R67" s="206" t="s">
        <v>1065</v>
      </c>
    </row>
    <row r="68" spans="2:18" x14ac:dyDescent="0.25">
      <c r="B68" s="204" t="s">
        <v>323</v>
      </c>
      <c r="C68" s="205" t="str">
        <f t="shared" si="1"/>
        <v>Chapa Komori (760 x 605mm)   -   ()</v>
      </c>
      <c r="D68" s="205"/>
      <c r="E68" s="205" t="s">
        <v>689</v>
      </c>
      <c r="F68" s="205" t="s">
        <v>920</v>
      </c>
      <c r="G68" s="205"/>
      <c r="H68" s="205"/>
      <c r="I68" s="205"/>
      <c r="J68" s="205"/>
      <c r="K68" s="205" t="s">
        <v>1225</v>
      </c>
      <c r="L68" s="205" t="s">
        <v>1208</v>
      </c>
      <c r="M68" s="205" t="s">
        <v>1212</v>
      </c>
      <c r="N68" s="205"/>
      <c r="O68" s="205">
        <v>50</v>
      </c>
      <c r="P68" s="205" t="s">
        <v>1051</v>
      </c>
      <c r="Q68" s="205"/>
      <c r="R68" s="206" t="s">
        <v>1065</v>
      </c>
    </row>
    <row r="69" spans="2:18" x14ac:dyDescent="0.25">
      <c r="B69" s="204" t="s">
        <v>324</v>
      </c>
      <c r="C69" s="205" t="str">
        <f t="shared" si="1"/>
        <v>Chapa Speed (745 x 605mm)   -   ()</v>
      </c>
      <c r="D69" s="205"/>
      <c r="E69" s="205" t="s">
        <v>689</v>
      </c>
      <c r="F69" s="205" t="s">
        <v>1023</v>
      </c>
      <c r="G69" s="205"/>
      <c r="H69" s="205"/>
      <c r="I69" s="205"/>
      <c r="J69" s="205"/>
      <c r="K69" s="205" t="s">
        <v>1225</v>
      </c>
      <c r="L69" s="205" t="s">
        <v>1208</v>
      </c>
      <c r="M69" s="205" t="s">
        <v>1212</v>
      </c>
      <c r="N69" s="205"/>
      <c r="O69" s="205"/>
      <c r="P69" s="205" t="s">
        <v>1051</v>
      </c>
      <c r="Q69" s="205"/>
      <c r="R69" s="206" t="s">
        <v>1065</v>
      </c>
    </row>
    <row r="70" spans="2:18" x14ac:dyDescent="0.25">
      <c r="B70" s="204" t="s">
        <v>325</v>
      </c>
      <c r="C70" s="205" t="str">
        <f t="shared" si="1"/>
        <v>Clipe de papel Niquelado   -  n. 0 ()</v>
      </c>
      <c r="D70" s="205"/>
      <c r="E70" s="205" t="s">
        <v>783</v>
      </c>
      <c r="F70" s="205" t="s">
        <v>692</v>
      </c>
      <c r="G70" s="205"/>
      <c r="H70" s="205"/>
      <c r="I70" s="205" t="s">
        <v>626</v>
      </c>
      <c r="J70" s="205"/>
      <c r="K70" s="205" t="s">
        <v>1224</v>
      </c>
      <c r="L70" s="205" t="s">
        <v>1204</v>
      </c>
      <c r="M70" s="205"/>
      <c r="N70" s="205"/>
      <c r="O70" s="205"/>
      <c r="P70" s="205" t="s">
        <v>70</v>
      </c>
      <c r="Q70" s="205"/>
      <c r="R70" s="206" t="s">
        <v>912</v>
      </c>
    </row>
    <row r="71" spans="2:18" x14ac:dyDescent="0.25">
      <c r="B71" s="204" t="s">
        <v>326</v>
      </c>
      <c r="C71" s="205" t="str">
        <f t="shared" si="1"/>
        <v>Clipe de papel Niquelado   -  n. 1 ()</v>
      </c>
      <c r="D71" s="205"/>
      <c r="E71" s="205" t="s">
        <v>783</v>
      </c>
      <c r="F71" s="205" t="s">
        <v>692</v>
      </c>
      <c r="G71" s="205"/>
      <c r="H71" s="205"/>
      <c r="I71" s="205" t="s">
        <v>627</v>
      </c>
      <c r="J71" s="205"/>
      <c r="K71" s="205" t="s">
        <v>1224</v>
      </c>
      <c r="L71" s="205" t="s">
        <v>1204</v>
      </c>
      <c r="M71" s="205"/>
      <c r="N71" s="205"/>
      <c r="O71" s="205"/>
      <c r="P71" s="205" t="s">
        <v>70</v>
      </c>
      <c r="Q71" s="205"/>
      <c r="R71" s="206" t="s">
        <v>912</v>
      </c>
    </row>
    <row r="72" spans="2:18" x14ac:dyDescent="0.25">
      <c r="B72" s="204" t="s">
        <v>327</v>
      </c>
      <c r="C72" s="205" t="str">
        <f t="shared" si="1"/>
        <v>Clipe de papel Niquelado   -   n. 2 ()</v>
      </c>
      <c r="D72" s="205"/>
      <c r="E72" s="205" t="s">
        <v>783</v>
      </c>
      <c r="F72" s="205" t="s">
        <v>692</v>
      </c>
      <c r="G72" s="205"/>
      <c r="H72" s="205"/>
      <c r="I72" s="205" t="s">
        <v>628</v>
      </c>
      <c r="J72" s="205"/>
      <c r="K72" s="205" t="s">
        <v>1224</v>
      </c>
      <c r="L72" s="205" t="s">
        <v>1204</v>
      </c>
      <c r="M72" s="205"/>
      <c r="N72" s="205"/>
      <c r="O72" s="205"/>
      <c r="P72" s="205" t="s">
        <v>70</v>
      </c>
      <c r="Q72" s="205"/>
      <c r="R72" s="206" t="s">
        <v>912</v>
      </c>
    </row>
    <row r="73" spans="2:18" x14ac:dyDescent="0.25">
      <c r="B73" s="204" t="s">
        <v>328</v>
      </c>
      <c r="C73" s="205" t="str">
        <f t="shared" si="1"/>
        <v>Clipe de papel Niquelado   -  n. 3/0 ()</v>
      </c>
      <c r="D73" s="205"/>
      <c r="E73" s="205" t="s">
        <v>783</v>
      </c>
      <c r="F73" s="205" t="s">
        <v>692</v>
      </c>
      <c r="G73" s="205"/>
      <c r="H73" s="205"/>
      <c r="I73" s="205" t="s">
        <v>629</v>
      </c>
      <c r="J73" s="205"/>
      <c r="K73" s="205" t="s">
        <v>1224</v>
      </c>
      <c r="L73" s="205" t="s">
        <v>1204</v>
      </c>
      <c r="M73" s="205"/>
      <c r="N73" s="205"/>
      <c r="O73" s="205"/>
      <c r="P73" s="205" t="s">
        <v>70</v>
      </c>
      <c r="Q73" s="205"/>
      <c r="R73" s="206" t="s">
        <v>912</v>
      </c>
    </row>
    <row r="74" spans="2:18" x14ac:dyDescent="0.25">
      <c r="B74" s="204" t="s">
        <v>329</v>
      </c>
      <c r="C74" s="205" t="str">
        <f t="shared" si="1"/>
        <v>Clipe de papel Niquelado   -  n. 4/0 ()</v>
      </c>
      <c r="D74" s="205"/>
      <c r="E74" s="205" t="s">
        <v>783</v>
      </c>
      <c r="F74" s="205" t="s">
        <v>692</v>
      </c>
      <c r="G74" s="205"/>
      <c r="H74" s="205"/>
      <c r="I74" s="205" t="s">
        <v>630</v>
      </c>
      <c r="J74" s="205"/>
      <c r="K74" s="205" t="s">
        <v>1224</v>
      </c>
      <c r="L74" s="205" t="s">
        <v>1204</v>
      </c>
      <c r="M74" s="205"/>
      <c r="N74" s="205"/>
      <c r="O74" s="205"/>
      <c r="P74" s="205" t="s">
        <v>70</v>
      </c>
      <c r="Q74" s="205"/>
      <c r="R74" s="206" t="s">
        <v>912</v>
      </c>
    </row>
    <row r="75" spans="2:18" x14ac:dyDescent="0.25">
      <c r="B75" s="204" t="s">
        <v>330</v>
      </c>
      <c r="C75" s="205" t="str">
        <f t="shared" si="1"/>
        <v>Clipe de papel Niquelado   -  n. 6/0 ()</v>
      </c>
      <c r="D75" s="205"/>
      <c r="E75" s="205" t="s">
        <v>783</v>
      </c>
      <c r="F75" s="205" t="s">
        <v>692</v>
      </c>
      <c r="G75" s="205"/>
      <c r="H75" s="205"/>
      <c r="I75" s="205" t="s">
        <v>631</v>
      </c>
      <c r="J75" s="205"/>
      <c r="K75" s="205" t="s">
        <v>1224</v>
      </c>
      <c r="L75" s="205" t="s">
        <v>1204</v>
      </c>
      <c r="M75" s="205"/>
      <c r="N75" s="205"/>
      <c r="O75" s="205"/>
      <c r="P75" s="205" t="s">
        <v>70</v>
      </c>
      <c r="Q75" s="205"/>
      <c r="R75" s="206" t="s">
        <v>912</v>
      </c>
    </row>
    <row r="76" spans="2:18" x14ac:dyDescent="0.25">
      <c r="B76" s="204" t="s">
        <v>331</v>
      </c>
      <c r="C76" s="205" t="str">
        <f t="shared" si="1"/>
        <v>Clipe de papel Niquelado   -  n. 8/0 ()</v>
      </c>
      <c r="D76" s="205"/>
      <c r="E76" s="205" t="s">
        <v>783</v>
      </c>
      <c r="F76" s="205" t="s">
        <v>692</v>
      </c>
      <c r="G76" s="205"/>
      <c r="H76" s="205"/>
      <c r="I76" s="205" t="s">
        <v>632</v>
      </c>
      <c r="J76" s="205"/>
      <c r="K76" s="205" t="s">
        <v>1224</v>
      </c>
      <c r="L76" s="205" t="s">
        <v>1204</v>
      </c>
      <c r="M76" s="205"/>
      <c r="N76" s="205"/>
      <c r="O76" s="205"/>
      <c r="P76" s="205" t="s">
        <v>70</v>
      </c>
      <c r="Q76" s="205"/>
      <c r="R76" s="206" t="s">
        <v>912</v>
      </c>
    </row>
    <row r="77" spans="2:18" x14ac:dyDescent="0.25">
      <c r="B77" s="204" t="s">
        <v>332</v>
      </c>
      <c r="C77" s="205" t="str">
        <f t="shared" si="1"/>
        <v>Cola bigode   -   ()</v>
      </c>
      <c r="D77" s="205"/>
      <c r="E77" s="205" t="s">
        <v>1095</v>
      </c>
      <c r="F77" s="205" t="s">
        <v>1099</v>
      </c>
      <c r="G77" s="205"/>
      <c r="H77" s="205"/>
      <c r="I77" s="205"/>
      <c r="J77" s="205"/>
      <c r="K77" s="205" t="s">
        <v>1036</v>
      </c>
      <c r="L77" s="205" t="s">
        <v>1208</v>
      </c>
      <c r="M77" s="205" t="s">
        <v>1209</v>
      </c>
      <c r="N77" s="205"/>
      <c r="O77" s="205"/>
      <c r="P77" s="205" t="s">
        <v>134</v>
      </c>
      <c r="Q77" s="205"/>
      <c r="R77" s="206" t="s">
        <v>111</v>
      </c>
    </row>
    <row r="78" spans="2:18" x14ac:dyDescent="0.25">
      <c r="B78" s="204" t="s">
        <v>333</v>
      </c>
      <c r="C78" s="205" t="str">
        <f t="shared" si="1"/>
        <v>Cola em bastão   -   ()</v>
      </c>
      <c r="D78" s="205"/>
      <c r="E78" s="205" t="s">
        <v>1095</v>
      </c>
      <c r="F78" s="205" t="s">
        <v>1096</v>
      </c>
      <c r="G78" s="205"/>
      <c r="H78" s="205"/>
      <c r="I78" s="205"/>
      <c r="J78" s="205"/>
      <c r="K78" s="205" t="s">
        <v>1224</v>
      </c>
      <c r="L78" s="205" t="s">
        <v>1204</v>
      </c>
      <c r="M78" s="205"/>
      <c r="N78" s="205"/>
      <c r="O78" s="205"/>
      <c r="P78" s="205" t="s">
        <v>112</v>
      </c>
      <c r="Q78" s="205"/>
      <c r="R78" s="206" t="s">
        <v>111</v>
      </c>
    </row>
    <row r="79" spans="2:18" x14ac:dyDescent="0.25">
      <c r="B79" s="204" t="s">
        <v>334</v>
      </c>
      <c r="C79" s="205" t="str">
        <f t="shared" si="1"/>
        <v>Cola granulada Hot-Melt   -   ()</v>
      </c>
      <c r="D79" s="205"/>
      <c r="E79" s="205" t="s">
        <v>1095</v>
      </c>
      <c r="F79" s="205" t="s">
        <v>1091</v>
      </c>
      <c r="G79" s="205"/>
      <c r="H79" s="205"/>
      <c r="I79" s="205"/>
      <c r="J79" s="205"/>
      <c r="K79" s="205" t="s">
        <v>1036</v>
      </c>
      <c r="L79" s="205" t="s">
        <v>1208</v>
      </c>
      <c r="M79" s="205" t="s">
        <v>1209</v>
      </c>
      <c r="N79" s="205"/>
      <c r="O79" s="205"/>
      <c r="P79" s="205" t="s">
        <v>909</v>
      </c>
      <c r="Q79" s="205"/>
      <c r="R79" s="206" t="s">
        <v>102</v>
      </c>
    </row>
    <row r="80" spans="2:18" x14ac:dyDescent="0.25">
      <c r="B80" s="204" t="s">
        <v>335</v>
      </c>
      <c r="C80" s="205" t="str">
        <f t="shared" si="1"/>
        <v>Cola para blocagem e encadernaçao   -   ()</v>
      </c>
      <c r="D80" s="205"/>
      <c r="E80" s="205" t="s">
        <v>1095</v>
      </c>
      <c r="F80" s="205" t="s">
        <v>1092</v>
      </c>
      <c r="G80" s="205"/>
      <c r="H80" s="205"/>
      <c r="I80" s="205"/>
      <c r="J80" s="205"/>
      <c r="K80" s="205" t="s">
        <v>1036</v>
      </c>
      <c r="L80" s="205" t="s">
        <v>1208</v>
      </c>
      <c r="M80" s="205" t="s">
        <v>1209</v>
      </c>
      <c r="N80" s="205"/>
      <c r="O80" s="205"/>
      <c r="P80" s="205" t="s">
        <v>909</v>
      </c>
      <c r="Q80" s="205"/>
      <c r="R80" s="206" t="s">
        <v>102</v>
      </c>
    </row>
    <row r="81" spans="2:18" x14ac:dyDescent="0.25">
      <c r="B81" s="204" t="s">
        <v>336</v>
      </c>
      <c r="C81" s="205" t="str">
        <f t="shared" si="1"/>
        <v>Cola para envelopadora   -   ()</v>
      </c>
      <c r="D81" s="205"/>
      <c r="E81" s="205" t="s">
        <v>1095</v>
      </c>
      <c r="F81" s="205" t="s">
        <v>1093</v>
      </c>
      <c r="G81" s="205"/>
      <c r="H81" s="205"/>
      <c r="I81" s="205"/>
      <c r="J81" s="205"/>
      <c r="K81" s="205" t="s">
        <v>1036</v>
      </c>
      <c r="L81" s="205" t="s">
        <v>1208</v>
      </c>
      <c r="M81" s="205" t="s">
        <v>1209</v>
      </c>
      <c r="N81" s="205"/>
      <c r="O81" s="205"/>
      <c r="P81" s="205" t="s">
        <v>909</v>
      </c>
      <c r="Q81" s="205"/>
      <c r="R81" s="206" t="s">
        <v>102</v>
      </c>
    </row>
    <row r="82" spans="2:18" x14ac:dyDescent="0.25">
      <c r="B82" s="204" t="s">
        <v>337</v>
      </c>
      <c r="C82" s="205" t="str">
        <f t="shared" si="1"/>
        <v>Cola plástica   -   ()</v>
      </c>
      <c r="D82" s="205"/>
      <c r="E82" s="205" t="s">
        <v>1095</v>
      </c>
      <c r="F82" s="205" t="s">
        <v>1094</v>
      </c>
      <c r="G82" s="205"/>
      <c r="H82" s="205"/>
      <c r="I82" s="205"/>
      <c r="J82" s="205"/>
      <c r="K82" s="205" t="s">
        <v>1224</v>
      </c>
      <c r="L82" s="205" t="s">
        <v>1204</v>
      </c>
      <c r="M82" s="205"/>
      <c r="N82" s="205"/>
      <c r="O82" s="205"/>
      <c r="P82" s="205" t="s">
        <v>909</v>
      </c>
      <c r="Q82" s="205"/>
      <c r="R82" s="206" t="s">
        <v>102</v>
      </c>
    </row>
    <row r="83" spans="2:18" x14ac:dyDescent="0.25">
      <c r="B83" s="204" t="s">
        <v>338</v>
      </c>
      <c r="C83" s="205" t="str">
        <f t="shared" si="1"/>
        <v>Cola vinil   -  75gr ()</v>
      </c>
      <c r="D83" s="205"/>
      <c r="E83" s="205" t="s">
        <v>1095</v>
      </c>
      <c r="F83" s="205" t="s">
        <v>1097</v>
      </c>
      <c r="G83" s="205"/>
      <c r="H83" s="205"/>
      <c r="I83" s="205" t="s">
        <v>1098</v>
      </c>
      <c r="J83" s="205"/>
      <c r="K83" s="205" t="s">
        <v>1036</v>
      </c>
      <c r="L83" s="205" t="s">
        <v>1208</v>
      </c>
      <c r="M83" s="205" t="s">
        <v>1209</v>
      </c>
      <c r="N83" s="205"/>
      <c r="O83" s="205"/>
      <c r="P83" s="205" t="s">
        <v>134</v>
      </c>
      <c r="Q83" s="205"/>
      <c r="R83" s="206" t="s">
        <v>102</v>
      </c>
    </row>
    <row r="84" spans="2:18" x14ac:dyDescent="0.25">
      <c r="B84" s="204" t="s">
        <v>339</v>
      </c>
      <c r="C84" s="205" t="str">
        <f t="shared" si="1"/>
        <v>Colchete latonado    -  n. 15 ()</v>
      </c>
      <c r="D84" s="205"/>
      <c r="E84" s="205" t="s">
        <v>791</v>
      </c>
      <c r="F84" s="205"/>
      <c r="G84" s="205"/>
      <c r="H84" s="205"/>
      <c r="I84" s="205" t="s">
        <v>633</v>
      </c>
      <c r="J84" s="205"/>
      <c r="K84" s="205" t="s">
        <v>1224</v>
      </c>
      <c r="L84" s="205" t="s">
        <v>1204</v>
      </c>
      <c r="M84" s="205"/>
      <c r="N84" s="205"/>
      <c r="O84" s="205"/>
      <c r="P84" s="205" t="s">
        <v>70</v>
      </c>
      <c r="Q84" s="205"/>
      <c r="R84" s="206" t="s">
        <v>912</v>
      </c>
    </row>
    <row r="85" spans="2:18" x14ac:dyDescent="0.25">
      <c r="B85" s="204" t="s">
        <v>340</v>
      </c>
      <c r="C85" s="205" t="str">
        <f t="shared" si="1"/>
        <v>Colchete latonado    -  n. 5 ()</v>
      </c>
      <c r="D85" s="205"/>
      <c r="E85" s="205" t="s">
        <v>791</v>
      </c>
      <c r="F85" s="205"/>
      <c r="G85" s="205"/>
      <c r="H85" s="205"/>
      <c r="I85" s="205" t="s">
        <v>634</v>
      </c>
      <c r="J85" s="205"/>
      <c r="K85" s="205" t="s">
        <v>1224</v>
      </c>
      <c r="L85" s="205" t="s">
        <v>1204</v>
      </c>
      <c r="M85" s="205"/>
      <c r="N85" s="205"/>
      <c r="O85" s="205"/>
      <c r="P85" s="205" t="s">
        <v>70</v>
      </c>
      <c r="Q85" s="205"/>
      <c r="R85" s="206" t="s">
        <v>912</v>
      </c>
    </row>
    <row r="86" spans="2:18" x14ac:dyDescent="0.25">
      <c r="B86" s="204" t="s">
        <v>341</v>
      </c>
      <c r="C86" s="205" t="str">
        <f t="shared" si="1"/>
        <v>Colchete latonado    -  n. 6 ()</v>
      </c>
      <c r="D86" s="205"/>
      <c r="E86" s="205" t="s">
        <v>791</v>
      </c>
      <c r="F86" s="205"/>
      <c r="G86" s="205"/>
      <c r="H86" s="205"/>
      <c r="I86" s="205" t="s">
        <v>635</v>
      </c>
      <c r="J86" s="205"/>
      <c r="K86" s="205" t="s">
        <v>1224</v>
      </c>
      <c r="L86" s="205" t="s">
        <v>1204</v>
      </c>
      <c r="M86" s="205"/>
      <c r="N86" s="205"/>
      <c r="O86" s="205"/>
      <c r="P86" s="205" t="s">
        <v>70</v>
      </c>
      <c r="Q86" s="205"/>
      <c r="R86" s="206" t="s">
        <v>912</v>
      </c>
    </row>
    <row r="87" spans="2:18" x14ac:dyDescent="0.25">
      <c r="B87" s="204" t="s">
        <v>342</v>
      </c>
      <c r="C87" s="205" t="str">
        <f t="shared" si="1"/>
        <v>Colchete latonado    -  n. 7 ()</v>
      </c>
      <c r="D87" s="205"/>
      <c r="E87" s="205" t="s">
        <v>791</v>
      </c>
      <c r="F87" s="205"/>
      <c r="G87" s="205"/>
      <c r="H87" s="205"/>
      <c r="I87" s="205" t="s">
        <v>636</v>
      </c>
      <c r="J87" s="205"/>
      <c r="K87" s="205" t="s">
        <v>1224</v>
      </c>
      <c r="L87" s="205" t="s">
        <v>1204</v>
      </c>
      <c r="M87" s="205"/>
      <c r="N87" s="205"/>
      <c r="O87" s="205"/>
      <c r="P87" s="205" t="s">
        <v>70</v>
      </c>
      <c r="Q87" s="205"/>
      <c r="R87" s="206" t="s">
        <v>912</v>
      </c>
    </row>
    <row r="88" spans="2:18" x14ac:dyDescent="0.25">
      <c r="B88" s="204" t="s">
        <v>343</v>
      </c>
      <c r="C88" s="205" t="str">
        <f t="shared" si="1"/>
        <v>Colchete latonado    -  n. 8 ()</v>
      </c>
      <c r="D88" s="205"/>
      <c r="E88" s="205" t="s">
        <v>791</v>
      </c>
      <c r="F88" s="205"/>
      <c r="G88" s="205"/>
      <c r="H88" s="205"/>
      <c r="I88" s="205" t="s">
        <v>637</v>
      </c>
      <c r="J88" s="205"/>
      <c r="K88" s="205" t="s">
        <v>1224</v>
      </c>
      <c r="L88" s="205" t="s">
        <v>1204</v>
      </c>
      <c r="M88" s="205"/>
      <c r="N88" s="205"/>
      <c r="O88" s="205"/>
      <c r="P88" s="205" t="s">
        <v>70</v>
      </c>
      <c r="Q88" s="205"/>
      <c r="R88" s="206" t="s">
        <v>912</v>
      </c>
    </row>
    <row r="89" spans="2:18" x14ac:dyDescent="0.25">
      <c r="B89" s="204" t="s">
        <v>344</v>
      </c>
      <c r="C89" s="205" t="str">
        <f t="shared" si="1"/>
        <v>Composto para limp. do sist. de água    -   (Hydroclean)</v>
      </c>
      <c r="D89" s="205"/>
      <c r="E89" s="205" t="s">
        <v>1100</v>
      </c>
      <c r="F89" s="205"/>
      <c r="G89" s="205"/>
      <c r="H89" s="205"/>
      <c r="I89" s="205"/>
      <c r="J89" s="205" t="s">
        <v>1101</v>
      </c>
      <c r="K89" s="205" t="s">
        <v>1029</v>
      </c>
      <c r="L89" s="205" t="s">
        <v>1201</v>
      </c>
      <c r="M89" s="205" t="s">
        <v>1022</v>
      </c>
      <c r="N89" s="205"/>
      <c r="O89" s="205"/>
      <c r="P89" s="205" t="s">
        <v>134</v>
      </c>
      <c r="Q89" s="205"/>
      <c r="R89" s="206" t="s">
        <v>111</v>
      </c>
    </row>
    <row r="90" spans="2:18" x14ac:dyDescent="0.25">
      <c r="B90" s="204" t="s">
        <v>345</v>
      </c>
      <c r="C90" s="205" t="str">
        <f t="shared" si="1"/>
        <v>Cordão polipropileno para Banner 2,50mm  - branco  ()</v>
      </c>
      <c r="D90" s="205"/>
      <c r="E90" s="205" t="s">
        <v>795</v>
      </c>
      <c r="F90" s="205" t="s">
        <v>1213</v>
      </c>
      <c r="G90" s="205" t="s">
        <v>793</v>
      </c>
      <c r="H90" s="205" t="s">
        <v>794</v>
      </c>
      <c r="I90" s="205"/>
      <c r="J90" s="205"/>
      <c r="K90" s="205" t="s">
        <v>1036</v>
      </c>
      <c r="L90" s="205" t="s">
        <v>1208</v>
      </c>
      <c r="M90" s="205" t="s">
        <v>1209</v>
      </c>
      <c r="N90" s="205"/>
      <c r="O90" s="205"/>
      <c r="P90" s="205" t="s">
        <v>74</v>
      </c>
      <c r="Q90" s="205"/>
      <c r="R90" s="206" t="s">
        <v>86</v>
      </c>
    </row>
    <row r="91" spans="2:18" x14ac:dyDescent="0.25">
      <c r="B91" s="204" t="s">
        <v>346</v>
      </c>
      <c r="C91" s="205" t="str">
        <f t="shared" si="1"/>
        <v>Corretivo em fita    -   ()</v>
      </c>
      <c r="D91" s="205"/>
      <c r="E91" s="205" t="s">
        <v>796</v>
      </c>
      <c r="F91" s="205"/>
      <c r="G91" s="205"/>
      <c r="H91" s="205"/>
      <c r="I91" s="205"/>
      <c r="J91" s="205"/>
      <c r="K91" s="205" t="s">
        <v>1224</v>
      </c>
      <c r="L91" s="205" t="s">
        <v>1204</v>
      </c>
      <c r="M91" s="205"/>
      <c r="N91" s="205"/>
      <c r="O91" s="205"/>
      <c r="P91" s="205" t="s">
        <v>74</v>
      </c>
      <c r="Q91" s="205"/>
      <c r="R91" s="206" t="s">
        <v>86</v>
      </c>
    </row>
    <row r="92" spans="2:18" x14ac:dyDescent="0.25">
      <c r="B92" s="204" t="s">
        <v>347</v>
      </c>
      <c r="C92" s="205" t="str">
        <f t="shared" si="1"/>
        <v>Corretivo líquido para datilografia    -   ()</v>
      </c>
      <c r="D92" s="205"/>
      <c r="E92" s="205" t="s">
        <v>797</v>
      </c>
      <c r="F92" s="205"/>
      <c r="G92" s="205"/>
      <c r="H92" s="205"/>
      <c r="I92" s="205"/>
      <c r="J92" s="205"/>
      <c r="K92" s="205" t="s">
        <v>1224</v>
      </c>
      <c r="L92" s="205" t="s">
        <v>1204</v>
      </c>
      <c r="M92" s="205"/>
      <c r="N92" s="205"/>
      <c r="O92" s="205"/>
      <c r="P92" s="205" t="s">
        <v>134</v>
      </c>
      <c r="Q92" s="205"/>
      <c r="R92" s="206" t="s">
        <v>111</v>
      </c>
    </row>
    <row r="93" spans="2:18" x14ac:dyDescent="0.25">
      <c r="B93" s="204" t="s">
        <v>348</v>
      </c>
      <c r="C93" s="205" t="str">
        <f t="shared" si="1"/>
        <v>Corretor de chapa positiva   -   ()</v>
      </c>
      <c r="D93" s="205"/>
      <c r="E93" s="205" t="s">
        <v>1102</v>
      </c>
      <c r="F93" s="205" t="s">
        <v>1103</v>
      </c>
      <c r="G93" s="205"/>
      <c r="H93" s="205"/>
      <c r="I93" s="205"/>
      <c r="J93" s="205"/>
      <c r="K93" s="205" t="s">
        <v>1225</v>
      </c>
      <c r="L93" s="205" t="s">
        <v>1208</v>
      </c>
      <c r="M93" s="205" t="s">
        <v>1212</v>
      </c>
      <c r="N93" s="205"/>
      <c r="O93" s="205"/>
      <c r="P93" s="205" t="s">
        <v>134</v>
      </c>
      <c r="Q93" s="205"/>
      <c r="R93" s="206" t="s">
        <v>111</v>
      </c>
    </row>
    <row r="94" spans="2:18" x14ac:dyDescent="0.25">
      <c r="B94" s="204" t="s">
        <v>349</v>
      </c>
      <c r="C94" s="205" t="str">
        <f t="shared" si="1"/>
        <v>Couro de porco    -  Azul ()</v>
      </c>
      <c r="D94" s="205"/>
      <c r="E94" s="205" t="s">
        <v>799</v>
      </c>
      <c r="F94" s="205"/>
      <c r="G94" s="205"/>
      <c r="H94" s="205"/>
      <c r="I94" s="205" t="s">
        <v>167</v>
      </c>
      <c r="J94" s="205"/>
      <c r="K94" s="205" t="s">
        <v>1036</v>
      </c>
      <c r="L94" s="205" t="s">
        <v>1208</v>
      </c>
      <c r="M94" s="205" t="s">
        <v>1209</v>
      </c>
      <c r="N94" s="205"/>
      <c r="O94" s="205"/>
      <c r="P94" s="205" t="s">
        <v>921</v>
      </c>
      <c r="Q94" s="205"/>
      <c r="R94" s="206" t="s">
        <v>1065</v>
      </c>
    </row>
    <row r="95" spans="2:18" x14ac:dyDescent="0.25">
      <c r="B95" s="204" t="s">
        <v>350</v>
      </c>
      <c r="C95" s="205" t="str">
        <f t="shared" si="1"/>
        <v>Couro de porco    -  Preto ()</v>
      </c>
      <c r="D95" s="205"/>
      <c r="E95" s="205" t="s">
        <v>799</v>
      </c>
      <c r="F95" s="205"/>
      <c r="G95" s="205"/>
      <c r="H95" s="205"/>
      <c r="I95" s="205" t="s">
        <v>614</v>
      </c>
      <c r="J95" s="205"/>
      <c r="K95" s="205" t="s">
        <v>1036</v>
      </c>
      <c r="L95" s="205" t="s">
        <v>1208</v>
      </c>
      <c r="M95" s="205" t="s">
        <v>1209</v>
      </c>
      <c r="N95" s="205"/>
      <c r="O95" s="205"/>
      <c r="P95" s="205" t="s">
        <v>921</v>
      </c>
      <c r="Q95" s="205"/>
      <c r="R95" s="206" t="s">
        <v>1065</v>
      </c>
    </row>
    <row r="96" spans="2:18" x14ac:dyDescent="0.25">
      <c r="B96" s="204" t="s">
        <v>351</v>
      </c>
      <c r="C96" s="205" t="str">
        <f t="shared" si="1"/>
        <v>Couro de porco    -  Verde ()</v>
      </c>
      <c r="D96" s="205"/>
      <c r="E96" s="205" t="s">
        <v>799</v>
      </c>
      <c r="F96" s="205"/>
      <c r="G96" s="205"/>
      <c r="H96" s="205"/>
      <c r="I96" s="205" t="s">
        <v>638</v>
      </c>
      <c r="J96" s="205"/>
      <c r="K96" s="205" t="s">
        <v>1036</v>
      </c>
      <c r="L96" s="205" t="s">
        <v>1208</v>
      </c>
      <c r="M96" s="205" t="s">
        <v>1209</v>
      </c>
      <c r="N96" s="205"/>
      <c r="O96" s="205"/>
      <c r="P96" s="205" t="s">
        <v>921</v>
      </c>
      <c r="Q96" s="205"/>
      <c r="R96" s="206" t="s">
        <v>1065</v>
      </c>
    </row>
    <row r="97" spans="2:18" x14ac:dyDescent="0.25">
      <c r="B97" s="204" t="s">
        <v>352</v>
      </c>
      <c r="C97" s="205" t="str">
        <f t="shared" si="1"/>
        <v>Couro de porco    -  Vermelho ()</v>
      </c>
      <c r="D97" s="205"/>
      <c r="E97" s="205" t="s">
        <v>799</v>
      </c>
      <c r="F97" s="205"/>
      <c r="G97" s="205"/>
      <c r="H97" s="205"/>
      <c r="I97" s="205" t="s">
        <v>46</v>
      </c>
      <c r="J97" s="205"/>
      <c r="K97" s="205" t="s">
        <v>1036</v>
      </c>
      <c r="L97" s="205" t="s">
        <v>1208</v>
      </c>
      <c r="M97" s="205" t="s">
        <v>1209</v>
      </c>
      <c r="N97" s="205"/>
      <c r="O97" s="205"/>
      <c r="P97" s="205" t="s">
        <v>921</v>
      </c>
      <c r="Q97" s="205"/>
      <c r="R97" s="206" t="s">
        <v>1065</v>
      </c>
    </row>
    <row r="98" spans="2:18" x14ac:dyDescent="0.25">
      <c r="B98" s="204" t="s">
        <v>353</v>
      </c>
      <c r="C98" s="205" t="str">
        <f t="shared" si="1"/>
        <v>Couro de porco    -  Vinho ()</v>
      </c>
      <c r="D98" s="205"/>
      <c r="E98" s="205" t="s">
        <v>799</v>
      </c>
      <c r="F98" s="205"/>
      <c r="G98" s="205"/>
      <c r="H98" s="205"/>
      <c r="I98" s="205" t="s">
        <v>639</v>
      </c>
      <c r="J98" s="205"/>
      <c r="K98" s="205" t="s">
        <v>1036</v>
      </c>
      <c r="L98" s="205" t="s">
        <v>1208</v>
      </c>
      <c r="M98" s="205" t="s">
        <v>1209</v>
      </c>
      <c r="N98" s="205"/>
      <c r="O98" s="205"/>
      <c r="P98" s="205" t="s">
        <v>921</v>
      </c>
      <c r="Q98" s="205"/>
      <c r="R98" s="206" t="s">
        <v>1065</v>
      </c>
    </row>
    <row r="99" spans="2:18" x14ac:dyDescent="0.25">
      <c r="B99" s="204" t="s">
        <v>354</v>
      </c>
      <c r="C99" s="205" t="str">
        <f t="shared" si="1"/>
        <v>Creme para mãos  (Remov Pastoso p/Serigrafia)   -   ()</v>
      </c>
      <c r="D99" s="205"/>
      <c r="E99" s="205" t="s">
        <v>1104</v>
      </c>
      <c r="F99" s="205" t="s">
        <v>1105</v>
      </c>
      <c r="G99" s="205"/>
      <c r="H99" s="205"/>
      <c r="I99" s="205"/>
      <c r="J99" s="205"/>
      <c r="K99" s="205" t="s">
        <v>1029</v>
      </c>
      <c r="L99" s="205" t="s">
        <v>106</v>
      </c>
      <c r="M99" s="205"/>
      <c r="N99" s="205"/>
      <c r="O99" s="205"/>
      <c r="P99" s="205" t="s">
        <v>112</v>
      </c>
      <c r="Q99" s="205"/>
      <c r="R99" s="206" t="s">
        <v>111</v>
      </c>
    </row>
    <row r="100" spans="2:18" x14ac:dyDescent="0.25">
      <c r="B100" s="204" t="s">
        <v>355</v>
      </c>
      <c r="C100" s="205" t="str">
        <f t="shared" si="1"/>
        <v>Dispensador de copos descartáveis    -   ()</v>
      </c>
      <c r="D100" s="205"/>
      <c r="E100" s="205" t="s">
        <v>801</v>
      </c>
      <c r="F100" s="205"/>
      <c r="G100" s="205"/>
      <c r="H100" s="205"/>
      <c r="I100" s="205"/>
      <c r="J100" s="205"/>
      <c r="K100" s="205" t="s">
        <v>1224</v>
      </c>
      <c r="L100" s="205"/>
      <c r="M100" s="205"/>
      <c r="N100" s="205"/>
      <c r="O100" s="205"/>
      <c r="P100" s="205" t="s">
        <v>921</v>
      </c>
      <c r="Q100" s="205"/>
      <c r="R100" s="206" t="s">
        <v>1065</v>
      </c>
    </row>
    <row r="101" spans="2:18" x14ac:dyDescent="0.25">
      <c r="B101" s="204" t="s">
        <v>356</v>
      </c>
      <c r="C101" s="205" t="str">
        <f t="shared" si="1"/>
        <v>DVDr    -   ()</v>
      </c>
      <c r="D101" s="205"/>
      <c r="E101" s="205" t="s">
        <v>356</v>
      </c>
      <c r="F101" s="205"/>
      <c r="G101" s="205"/>
      <c r="H101" s="205"/>
      <c r="I101" s="205"/>
      <c r="J101" s="205"/>
      <c r="K101" s="205" t="s">
        <v>1224</v>
      </c>
      <c r="L101" s="205" t="s">
        <v>1020</v>
      </c>
      <c r="M101" s="205"/>
      <c r="N101" s="205"/>
      <c r="O101" s="205"/>
      <c r="P101" s="205" t="s">
        <v>921</v>
      </c>
      <c r="Q101" s="205"/>
      <c r="R101" s="206" t="s">
        <v>1065</v>
      </c>
    </row>
    <row r="102" spans="2:18" x14ac:dyDescent="0.25">
      <c r="B102" s="204" t="s">
        <v>357</v>
      </c>
      <c r="C102" s="205" t="str">
        <f t="shared" si="1"/>
        <v>Elástico de borracha Liga elástica (Liguinha)   -   ()</v>
      </c>
      <c r="D102" s="205"/>
      <c r="E102" s="205" t="s">
        <v>802</v>
      </c>
      <c r="F102" s="205" t="s">
        <v>693</v>
      </c>
      <c r="G102" s="205"/>
      <c r="H102" s="205"/>
      <c r="I102" s="205"/>
      <c r="J102" s="205"/>
      <c r="K102" s="205" t="s">
        <v>1224</v>
      </c>
      <c r="L102" s="205" t="s">
        <v>1204</v>
      </c>
      <c r="M102" s="205"/>
      <c r="N102" s="205"/>
      <c r="O102" s="205"/>
      <c r="P102" s="205" t="s">
        <v>70</v>
      </c>
      <c r="Q102" s="205"/>
      <c r="R102" s="206" t="s">
        <v>912</v>
      </c>
    </row>
    <row r="103" spans="2:18" x14ac:dyDescent="0.25">
      <c r="B103" s="204" t="s">
        <v>358</v>
      </c>
      <c r="C103" s="205" t="str">
        <f t="shared" si="1"/>
        <v>Envelope Separata   - Branco 176 x 250mm ()</v>
      </c>
      <c r="D103" s="205"/>
      <c r="E103" s="205" t="s">
        <v>640</v>
      </c>
      <c r="F103" s="205" t="s">
        <v>694</v>
      </c>
      <c r="G103" s="205"/>
      <c r="H103" s="205" t="s">
        <v>41</v>
      </c>
      <c r="I103" s="205" t="s">
        <v>733</v>
      </c>
      <c r="J103" s="205"/>
      <c r="K103" s="205" t="s">
        <v>1224</v>
      </c>
      <c r="L103" s="205" t="s">
        <v>1204</v>
      </c>
      <c r="M103" s="205"/>
      <c r="N103" s="205"/>
      <c r="O103" s="205"/>
      <c r="P103" s="205" t="s">
        <v>688</v>
      </c>
      <c r="Q103" s="205"/>
      <c r="R103" s="206" t="s">
        <v>912</v>
      </c>
    </row>
    <row r="104" spans="2:18" x14ac:dyDescent="0.25">
      <c r="B104" s="204" t="s">
        <v>359</v>
      </c>
      <c r="C104" s="205" t="str">
        <f t="shared" si="1"/>
        <v>Envelope para Documento   - Kraft   250 x 353mm ()</v>
      </c>
      <c r="D104" s="205"/>
      <c r="E104" s="205" t="s">
        <v>640</v>
      </c>
      <c r="F104" s="205" t="s">
        <v>757</v>
      </c>
      <c r="G104" s="205"/>
      <c r="H104" s="205" t="s">
        <v>695</v>
      </c>
      <c r="I104" s="205" t="s">
        <v>734</v>
      </c>
      <c r="J104" s="205"/>
      <c r="K104" s="205" t="s">
        <v>1224</v>
      </c>
      <c r="L104" s="205" t="s">
        <v>1204</v>
      </c>
      <c r="M104" s="205"/>
      <c r="N104" s="205"/>
      <c r="O104" s="205"/>
      <c r="P104" s="205" t="s">
        <v>688</v>
      </c>
      <c r="Q104" s="205"/>
      <c r="R104" s="206" t="s">
        <v>912</v>
      </c>
    </row>
    <row r="105" spans="2:18" x14ac:dyDescent="0.25">
      <c r="B105" s="204" t="s">
        <v>360</v>
      </c>
      <c r="C105" s="205" t="str">
        <f t="shared" si="1"/>
        <v>Envelope    - Pardo Grande ()</v>
      </c>
      <c r="D105" s="205"/>
      <c r="E105" s="205" t="s">
        <v>640</v>
      </c>
      <c r="F105" s="205"/>
      <c r="G105" s="205"/>
      <c r="H105" s="205" t="s">
        <v>696</v>
      </c>
      <c r="I105" s="205" t="s">
        <v>697</v>
      </c>
      <c r="J105" s="205"/>
      <c r="K105" s="205" t="s">
        <v>1224</v>
      </c>
      <c r="L105" s="205" t="s">
        <v>1204</v>
      </c>
      <c r="M105" s="205"/>
      <c r="N105" s="205"/>
      <c r="O105" s="205"/>
      <c r="P105" s="205" t="s">
        <v>688</v>
      </c>
      <c r="Q105" s="205"/>
      <c r="R105" s="206" t="s">
        <v>912</v>
      </c>
    </row>
    <row r="106" spans="2:18" x14ac:dyDescent="0.25">
      <c r="B106" s="204" t="s">
        <v>361</v>
      </c>
      <c r="C106" s="205" t="str">
        <f t="shared" si="1"/>
        <v>Espiral plástica para encadernação    - Preta 07mm ()</v>
      </c>
      <c r="D106" s="205"/>
      <c r="E106" s="205" t="s">
        <v>803</v>
      </c>
      <c r="F106" s="205"/>
      <c r="G106" s="205"/>
      <c r="H106" s="205" t="s">
        <v>617</v>
      </c>
      <c r="I106" s="205" t="s">
        <v>641</v>
      </c>
      <c r="J106" s="205"/>
      <c r="K106" s="205" t="s">
        <v>1036</v>
      </c>
      <c r="L106" s="205" t="s">
        <v>1208</v>
      </c>
      <c r="M106" s="205" t="s">
        <v>1209</v>
      </c>
      <c r="N106" s="205"/>
      <c r="O106" s="205"/>
      <c r="P106" s="205" t="s">
        <v>909</v>
      </c>
      <c r="Q106" s="205"/>
      <c r="R106" s="206" t="s">
        <v>912</v>
      </c>
    </row>
    <row r="107" spans="2:18" x14ac:dyDescent="0.25">
      <c r="B107" s="204" t="s">
        <v>362</v>
      </c>
      <c r="C107" s="205" t="str">
        <f t="shared" si="1"/>
        <v>Espiral plástica para encadernação    - Preta 09mm ()</v>
      </c>
      <c r="D107" s="205"/>
      <c r="E107" s="205" t="s">
        <v>803</v>
      </c>
      <c r="F107" s="205"/>
      <c r="G107" s="205"/>
      <c r="H107" s="205" t="s">
        <v>617</v>
      </c>
      <c r="I107" s="205" t="s">
        <v>643</v>
      </c>
      <c r="J107" s="205"/>
      <c r="K107" s="205" t="s">
        <v>1036</v>
      </c>
      <c r="L107" s="205" t="s">
        <v>1208</v>
      </c>
      <c r="M107" s="205" t="s">
        <v>1209</v>
      </c>
      <c r="N107" s="205"/>
      <c r="O107" s="205"/>
      <c r="P107" s="205" t="s">
        <v>909</v>
      </c>
      <c r="Q107" s="205"/>
      <c r="R107" s="206" t="s">
        <v>912</v>
      </c>
    </row>
    <row r="108" spans="2:18" x14ac:dyDescent="0.25">
      <c r="B108" s="204" t="s">
        <v>363</v>
      </c>
      <c r="C108" s="205" t="str">
        <f t="shared" si="1"/>
        <v>Espiral plástica para encadernação    - Preta 12mm ()</v>
      </c>
      <c r="D108" s="205"/>
      <c r="E108" s="205" t="s">
        <v>803</v>
      </c>
      <c r="F108" s="205"/>
      <c r="G108" s="205"/>
      <c r="H108" s="205" t="s">
        <v>617</v>
      </c>
      <c r="I108" s="205" t="s">
        <v>642</v>
      </c>
      <c r="J108" s="205"/>
      <c r="K108" s="205" t="s">
        <v>1036</v>
      </c>
      <c r="L108" s="205" t="s">
        <v>1208</v>
      </c>
      <c r="M108" s="205" t="s">
        <v>1209</v>
      </c>
      <c r="N108" s="205"/>
      <c r="O108" s="205"/>
      <c r="P108" s="205" t="s">
        <v>909</v>
      </c>
      <c r="Q108" s="205"/>
      <c r="R108" s="206" t="s">
        <v>912</v>
      </c>
    </row>
    <row r="109" spans="2:18" x14ac:dyDescent="0.25">
      <c r="B109" s="204" t="s">
        <v>364</v>
      </c>
      <c r="C109" s="205" t="str">
        <f t="shared" si="1"/>
        <v>Espiral plástica para encadernação    - Preta 14mm ()</v>
      </c>
      <c r="D109" s="205"/>
      <c r="E109" s="205" t="s">
        <v>803</v>
      </c>
      <c r="F109" s="205"/>
      <c r="G109" s="205"/>
      <c r="H109" s="205" t="s">
        <v>617</v>
      </c>
      <c r="I109" s="205" t="s">
        <v>644</v>
      </c>
      <c r="J109" s="205"/>
      <c r="K109" s="205" t="s">
        <v>1036</v>
      </c>
      <c r="L109" s="205" t="s">
        <v>1208</v>
      </c>
      <c r="M109" s="205" t="s">
        <v>1209</v>
      </c>
      <c r="N109" s="205"/>
      <c r="O109" s="205"/>
      <c r="P109" s="205" t="s">
        <v>909</v>
      </c>
      <c r="Q109" s="205"/>
      <c r="R109" s="206" t="s">
        <v>912</v>
      </c>
    </row>
    <row r="110" spans="2:18" x14ac:dyDescent="0.25">
      <c r="B110" s="204" t="s">
        <v>365</v>
      </c>
      <c r="C110" s="205" t="str">
        <f t="shared" si="1"/>
        <v>Espiral plástica para encadernação    - Preta 17mm ()</v>
      </c>
      <c r="D110" s="205"/>
      <c r="E110" s="205" t="s">
        <v>803</v>
      </c>
      <c r="F110" s="205"/>
      <c r="G110" s="205"/>
      <c r="H110" s="205" t="s">
        <v>617</v>
      </c>
      <c r="I110" s="205" t="s">
        <v>645</v>
      </c>
      <c r="J110" s="205"/>
      <c r="K110" s="205" t="s">
        <v>1036</v>
      </c>
      <c r="L110" s="205" t="s">
        <v>1208</v>
      </c>
      <c r="M110" s="205" t="s">
        <v>1209</v>
      </c>
      <c r="N110" s="205"/>
      <c r="O110" s="205"/>
      <c r="P110" s="205" t="s">
        <v>909</v>
      </c>
      <c r="Q110" s="205"/>
      <c r="R110" s="206" t="s">
        <v>912</v>
      </c>
    </row>
    <row r="111" spans="2:18" x14ac:dyDescent="0.25">
      <c r="B111" s="204" t="s">
        <v>366</v>
      </c>
      <c r="C111" s="205" t="str">
        <f t="shared" si="1"/>
        <v>Espiral plástica para encadernação    - Preta 20mm ()</v>
      </c>
      <c r="D111" s="205"/>
      <c r="E111" s="205" t="s">
        <v>803</v>
      </c>
      <c r="F111" s="205"/>
      <c r="G111" s="205"/>
      <c r="H111" s="205" t="s">
        <v>617</v>
      </c>
      <c r="I111" s="205" t="s">
        <v>646</v>
      </c>
      <c r="J111" s="205"/>
      <c r="K111" s="205" t="s">
        <v>1036</v>
      </c>
      <c r="L111" s="205" t="s">
        <v>1208</v>
      </c>
      <c r="M111" s="205" t="s">
        <v>1209</v>
      </c>
      <c r="N111" s="205"/>
      <c r="O111" s="205"/>
      <c r="P111" s="205" t="s">
        <v>909</v>
      </c>
      <c r="Q111" s="205"/>
      <c r="R111" s="206" t="s">
        <v>912</v>
      </c>
    </row>
    <row r="112" spans="2:18" x14ac:dyDescent="0.25">
      <c r="B112" s="204" t="s">
        <v>367</v>
      </c>
      <c r="C112" s="205" t="str">
        <f t="shared" si="1"/>
        <v>Espiral plástica para encadernação    - Preta 23mm ()</v>
      </c>
      <c r="D112" s="205"/>
      <c r="E112" s="205" t="s">
        <v>803</v>
      </c>
      <c r="F112" s="205"/>
      <c r="G112" s="205"/>
      <c r="H112" s="205" t="s">
        <v>617</v>
      </c>
      <c r="I112" s="205" t="s">
        <v>647</v>
      </c>
      <c r="J112" s="205"/>
      <c r="K112" s="205" t="s">
        <v>1036</v>
      </c>
      <c r="L112" s="205" t="s">
        <v>1208</v>
      </c>
      <c r="M112" s="205" t="s">
        <v>1209</v>
      </c>
      <c r="N112" s="205"/>
      <c r="O112" s="205"/>
      <c r="P112" s="205" t="s">
        <v>909</v>
      </c>
      <c r="Q112" s="205"/>
      <c r="R112" s="206" t="s">
        <v>912</v>
      </c>
    </row>
    <row r="113" spans="2:18" x14ac:dyDescent="0.25">
      <c r="B113" s="204" t="s">
        <v>368</v>
      </c>
      <c r="C113" s="205" t="str">
        <f t="shared" si="1"/>
        <v>Espiral plástica para encadernação    - Preta 25mm ()</v>
      </c>
      <c r="D113" s="205"/>
      <c r="E113" s="205" t="s">
        <v>803</v>
      </c>
      <c r="F113" s="205"/>
      <c r="G113" s="205"/>
      <c r="H113" s="205" t="s">
        <v>617</v>
      </c>
      <c r="I113" s="205" t="s">
        <v>648</v>
      </c>
      <c r="J113" s="205"/>
      <c r="K113" s="205" t="s">
        <v>1036</v>
      </c>
      <c r="L113" s="205" t="s">
        <v>1208</v>
      </c>
      <c r="M113" s="205" t="s">
        <v>1209</v>
      </c>
      <c r="N113" s="205"/>
      <c r="O113" s="205"/>
      <c r="P113" s="205" t="s">
        <v>909</v>
      </c>
      <c r="Q113" s="205"/>
      <c r="R113" s="206" t="s">
        <v>912</v>
      </c>
    </row>
    <row r="114" spans="2:18" x14ac:dyDescent="0.25">
      <c r="B114" s="204" t="s">
        <v>369</v>
      </c>
      <c r="C114" s="205" t="str">
        <f t="shared" si="1"/>
        <v>Espiral plástica para encadernação    - Preta 29mm ()</v>
      </c>
      <c r="D114" s="205"/>
      <c r="E114" s="205" t="s">
        <v>803</v>
      </c>
      <c r="F114" s="205"/>
      <c r="G114" s="205"/>
      <c r="H114" s="205" t="s">
        <v>617</v>
      </c>
      <c r="I114" s="205" t="s">
        <v>649</v>
      </c>
      <c r="J114" s="205"/>
      <c r="K114" s="205" t="s">
        <v>1036</v>
      </c>
      <c r="L114" s="205" t="s">
        <v>1208</v>
      </c>
      <c r="M114" s="205" t="s">
        <v>1209</v>
      </c>
      <c r="N114" s="205"/>
      <c r="O114" s="205"/>
      <c r="P114" s="205" t="s">
        <v>909</v>
      </c>
      <c r="Q114" s="205"/>
      <c r="R114" s="206" t="s">
        <v>912</v>
      </c>
    </row>
    <row r="115" spans="2:18" x14ac:dyDescent="0.25">
      <c r="B115" s="204" t="s">
        <v>370</v>
      </c>
      <c r="C115" s="205" t="str">
        <f t="shared" si="1"/>
        <v>Espiral plástica para encadernação    - Preta 33mm ()</v>
      </c>
      <c r="D115" s="205"/>
      <c r="E115" s="205" t="s">
        <v>803</v>
      </c>
      <c r="F115" s="205"/>
      <c r="G115" s="205"/>
      <c r="H115" s="205" t="s">
        <v>617</v>
      </c>
      <c r="I115" s="205" t="s">
        <v>650</v>
      </c>
      <c r="J115" s="205"/>
      <c r="K115" s="205" t="s">
        <v>1036</v>
      </c>
      <c r="L115" s="205" t="s">
        <v>1208</v>
      </c>
      <c r="M115" s="205" t="s">
        <v>1209</v>
      </c>
      <c r="N115" s="205"/>
      <c r="O115" s="205"/>
      <c r="P115" s="205" t="s">
        <v>909</v>
      </c>
      <c r="Q115" s="205"/>
      <c r="R115" s="206" t="s">
        <v>912</v>
      </c>
    </row>
    <row r="116" spans="2:18" x14ac:dyDescent="0.25">
      <c r="B116" s="204" t="s">
        <v>371</v>
      </c>
      <c r="C116" s="205" t="str">
        <f t="shared" si="1"/>
        <v>Espiral plástica para encadernação    - Preta 40mm ()</v>
      </c>
      <c r="D116" s="205"/>
      <c r="E116" s="205" t="s">
        <v>803</v>
      </c>
      <c r="F116" s="205"/>
      <c r="G116" s="205"/>
      <c r="H116" s="205" t="s">
        <v>617</v>
      </c>
      <c r="I116" s="205" t="s">
        <v>651</v>
      </c>
      <c r="J116" s="205"/>
      <c r="K116" s="205" t="s">
        <v>1036</v>
      </c>
      <c r="L116" s="205" t="s">
        <v>1208</v>
      </c>
      <c r="M116" s="205" t="s">
        <v>1209</v>
      </c>
      <c r="N116" s="205"/>
      <c r="O116" s="205"/>
      <c r="P116" s="205" t="s">
        <v>909</v>
      </c>
      <c r="Q116" s="205"/>
      <c r="R116" s="206" t="s">
        <v>912</v>
      </c>
    </row>
    <row r="117" spans="2:18" x14ac:dyDescent="0.25">
      <c r="B117" s="204" t="s">
        <v>372</v>
      </c>
      <c r="C117" s="205" t="str">
        <f t="shared" si="1"/>
        <v>Espiral plástica para encadernação    - Preta 45mm ()</v>
      </c>
      <c r="D117" s="205"/>
      <c r="E117" s="205" t="s">
        <v>803</v>
      </c>
      <c r="F117" s="205"/>
      <c r="G117" s="205"/>
      <c r="H117" s="205" t="s">
        <v>617</v>
      </c>
      <c r="I117" s="205" t="s">
        <v>652</v>
      </c>
      <c r="J117" s="205"/>
      <c r="K117" s="205" t="s">
        <v>1036</v>
      </c>
      <c r="L117" s="205" t="s">
        <v>1208</v>
      </c>
      <c r="M117" s="205" t="s">
        <v>1209</v>
      </c>
      <c r="N117" s="205"/>
      <c r="O117" s="205"/>
      <c r="P117" s="205" t="s">
        <v>909</v>
      </c>
      <c r="Q117" s="205"/>
      <c r="R117" s="206" t="s">
        <v>912</v>
      </c>
    </row>
    <row r="118" spans="2:18" x14ac:dyDescent="0.25">
      <c r="B118" s="204" t="s">
        <v>373</v>
      </c>
      <c r="C118" s="205" t="str">
        <f t="shared" si="1"/>
        <v>Espiral Wire-0    -  1 ()</v>
      </c>
      <c r="D118" s="205"/>
      <c r="E118" s="205" t="s">
        <v>653</v>
      </c>
      <c r="F118" s="205"/>
      <c r="G118" s="205"/>
      <c r="H118" s="205"/>
      <c r="I118" s="205">
        <v>1</v>
      </c>
      <c r="J118" s="205"/>
      <c r="K118" s="205" t="s">
        <v>1036</v>
      </c>
      <c r="L118" s="205" t="s">
        <v>1208</v>
      </c>
      <c r="M118" s="205" t="s">
        <v>1209</v>
      </c>
      <c r="N118" s="205"/>
      <c r="O118" s="205"/>
      <c r="P118" s="205" t="s">
        <v>74</v>
      </c>
      <c r="Q118" s="205"/>
      <c r="R118" s="206" t="s">
        <v>86</v>
      </c>
    </row>
    <row r="119" spans="2:18" x14ac:dyDescent="0.25">
      <c r="B119" s="204" t="s">
        <v>374</v>
      </c>
      <c r="C119" s="205" t="str">
        <f t="shared" si="1"/>
        <v>Espiral Wire-0    -   01/2" 3:1 com 26000 anéis ()</v>
      </c>
      <c r="D119" s="205"/>
      <c r="E119" s="205" t="s">
        <v>653</v>
      </c>
      <c r="F119" s="205"/>
      <c r="G119" s="205"/>
      <c r="H119" s="205"/>
      <c r="I119" s="205" t="s">
        <v>670</v>
      </c>
      <c r="J119" s="205"/>
      <c r="K119" s="205" t="s">
        <v>1036</v>
      </c>
      <c r="L119" s="205" t="s">
        <v>1208</v>
      </c>
      <c r="M119" s="205" t="s">
        <v>1209</v>
      </c>
      <c r="N119" s="205"/>
      <c r="O119" s="205"/>
      <c r="P119" s="205" t="s">
        <v>74</v>
      </c>
      <c r="Q119" s="205"/>
      <c r="R119" s="206" t="s">
        <v>86</v>
      </c>
    </row>
    <row r="120" spans="2:18" x14ac:dyDescent="0.25">
      <c r="B120" s="204" t="s">
        <v>375</v>
      </c>
      <c r="C120" s="205" t="str">
        <f t="shared" si="1"/>
        <v>Espiral Wire-0    -   01/4" 3:1 91000 anéis ()</v>
      </c>
      <c r="D120" s="205"/>
      <c r="E120" s="205" t="s">
        <v>653</v>
      </c>
      <c r="F120" s="205"/>
      <c r="G120" s="205"/>
      <c r="H120" s="205"/>
      <c r="I120" s="205" t="s">
        <v>654</v>
      </c>
      <c r="J120" s="205"/>
      <c r="K120" s="205" t="s">
        <v>1036</v>
      </c>
      <c r="L120" s="205" t="s">
        <v>1208</v>
      </c>
      <c r="M120" s="205" t="s">
        <v>1209</v>
      </c>
      <c r="N120" s="205"/>
      <c r="O120" s="205"/>
      <c r="P120" s="205" t="s">
        <v>74</v>
      </c>
      <c r="Q120" s="205"/>
      <c r="R120" s="206" t="s">
        <v>86</v>
      </c>
    </row>
    <row r="121" spans="2:18" x14ac:dyDescent="0.25">
      <c r="B121" s="204" t="s">
        <v>376</v>
      </c>
      <c r="C121" s="205" t="str">
        <f t="shared" si="1"/>
        <v>Espiral Wire-0    -   03/8" 3:1 com 46000 anéis ()</v>
      </c>
      <c r="D121" s="205"/>
      <c r="E121" s="205" t="s">
        <v>653</v>
      </c>
      <c r="F121" s="205"/>
      <c r="G121" s="205"/>
      <c r="H121" s="205"/>
      <c r="I121" s="205" t="s">
        <v>655</v>
      </c>
      <c r="J121" s="205"/>
      <c r="K121" s="205" t="s">
        <v>1036</v>
      </c>
      <c r="L121" s="205" t="s">
        <v>1208</v>
      </c>
      <c r="M121" s="205" t="s">
        <v>1209</v>
      </c>
      <c r="N121" s="205"/>
      <c r="O121" s="205"/>
      <c r="P121" s="205" t="s">
        <v>74</v>
      </c>
      <c r="Q121" s="205"/>
      <c r="R121" s="206" t="s">
        <v>86</v>
      </c>
    </row>
    <row r="122" spans="2:18" x14ac:dyDescent="0.25">
      <c r="B122" s="204" t="s">
        <v>377</v>
      </c>
      <c r="C122" s="205" t="str">
        <f t="shared" si="1"/>
        <v>Espiral Wire-0    -   03/8" 3:1 com 46000 anéis preto ()</v>
      </c>
      <c r="D122" s="205"/>
      <c r="E122" s="205" t="s">
        <v>653</v>
      </c>
      <c r="F122" s="205"/>
      <c r="G122" s="205"/>
      <c r="H122" s="205"/>
      <c r="I122" s="205" t="s">
        <v>656</v>
      </c>
      <c r="J122" s="205"/>
      <c r="K122" s="205" t="s">
        <v>1036</v>
      </c>
      <c r="L122" s="205" t="s">
        <v>1208</v>
      </c>
      <c r="M122" s="205" t="s">
        <v>1209</v>
      </c>
      <c r="N122" s="205"/>
      <c r="O122" s="205"/>
      <c r="P122" s="205" t="s">
        <v>74</v>
      </c>
      <c r="Q122" s="205"/>
      <c r="R122" s="206" t="s">
        <v>86</v>
      </c>
    </row>
    <row r="123" spans="2:18" x14ac:dyDescent="0.25">
      <c r="B123" s="204" t="s">
        <v>378</v>
      </c>
      <c r="C123" s="205" t="str">
        <f t="shared" si="1"/>
        <v>Espiral Wire-0    -   05/16" 3:1 64000 anéis ()</v>
      </c>
      <c r="D123" s="205"/>
      <c r="E123" s="205" t="s">
        <v>653</v>
      </c>
      <c r="F123" s="205"/>
      <c r="G123" s="205"/>
      <c r="H123" s="205"/>
      <c r="I123" s="205" t="s">
        <v>657</v>
      </c>
      <c r="J123" s="205"/>
      <c r="K123" s="205" t="s">
        <v>1036</v>
      </c>
      <c r="L123" s="205" t="s">
        <v>1208</v>
      </c>
      <c r="M123" s="205" t="s">
        <v>1209</v>
      </c>
      <c r="N123" s="205"/>
      <c r="O123" s="205"/>
      <c r="P123" s="205" t="s">
        <v>74</v>
      </c>
      <c r="Q123" s="205"/>
      <c r="R123" s="206" t="s">
        <v>86</v>
      </c>
    </row>
    <row r="124" spans="2:18" x14ac:dyDescent="0.25">
      <c r="B124" s="204" t="s">
        <v>379</v>
      </c>
      <c r="C124" s="205" t="str">
        <f t="shared" si="1"/>
        <v>Espiral Wire-0    -   05/16" 3:1 64000 anéis preto ()</v>
      </c>
      <c r="D124" s="205"/>
      <c r="E124" s="205" t="s">
        <v>653</v>
      </c>
      <c r="F124" s="205"/>
      <c r="G124" s="205"/>
      <c r="H124" s="205"/>
      <c r="I124" s="205" t="s">
        <v>658</v>
      </c>
      <c r="J124" s="205"/>
      <c r="K124" s="205" t="s">
        <v>1036</v>
      </c>
      <c r="L124" s="205" t="s">
        <v>1208</v>
      </c>
      <c r="M124" s="205" t="s">
        <v>1209</v>
      </c>
      <c r="N124" s="205"/>
      <c r="O124" s="205"/>
      <c r="P124" s="205" t="s">
        <v>74</v>
      </c>
      <c r="Q124" s="205"/>
      <c r="R124" s="206" t="s">
        <v>86</v>
      </c>
    </row>
    <row r="125" spans="2:18" x14ac:dyDescent="0.25">
      <c r="B125" s="204" t="s">
        <v>380</v>
      </c>
      <c r="C125" s="205" t="str">
        <f t="shared" si="1"/>
        <v>Espiral Wire-0    -   07/16" 3:1 com 34000 anéis ()</v>
      </c>
      <c r="D125" s="205"/>
      <c r="E125" s="205" t="s">
        <v>653</v>
      </c>
      <c r="F125" s="205"/>
      <c r="G125" s="205"/>
      <c r="H125" s="205"/>
      <c r="I125" s="205" t="s">
        <v>659</v>
      </c>
      <c r="J125" s="205"/>
      <c r="K125" s="205" t="s">
        <v>1036</v>
      </c>
      <c r="L125" s="205" t="s">
        <v>1208</v>
      </c>
      <c r="M125" s="205" t="s">
        <v>1209</v>
      </c>
      <c r="N125" s="205"/>
      <c r="O125" s="205"/>
      <c r="P125" s="205" t="s">
        <v>74</v>
      </c>
      <c r="Q125" s="205"/>
      <c r="R125" s="206" t="s">
        <v>86</v>
      </c>
    </row>
    <row r="126" spans="2:18" x14ac:dyDescent="0.25">
      <c r="B126" s="204" t="s">
        <v>381</v>
      </c>
      <c r="C126" s="205" t="str">
        <f t="shared" si="1"/>
        <v>Espiral Wire-0    -   09/16" 3:1 com 21500 anéis ()</v>
      </c>
      <c r="D126" s="205"/>
      <c r="E126" s="205" t="s">
        <v>653</v>
      </c>
      <c r="F126" s="205"/>
      <c r="G126" s="205"/>
      <c r="H126" s="205"/>
      <c r="I126" s="205" t="s">
        <v>660</v>
      </c>
      <c r="J126" s="205"/>
      <c r="K126" s="205" t="s">
        <v>1036</v>
      </c>
      <c r="L126" s="205" t="s">
        <v>1208</v>
      </c>
      <c r="M126" s="205" t="s">
        <v>1209</v>
      </c>
      <c r="N126" s="205"/>
      <c r="O126" s="205"/>
      <c r="P126" s="205" t="s">
        <v>74</v>
      </c>
      <c r="Q126" s="205"/>
      <c r="R126" s="206" t="s">
        <v>86</v>
      </c>
    </row>
    <row r="127" spans="2:18" x14ac:dyDescent="0.25">
      <c r="B127" s="204" t="s">
        <v>382</v>
      </c>
      <c r="C127" s="205" t="str">
        <f t="shared" si="1"/>
        <v>Espiral Wire-0    -   1 2:1 ()</v>
      </c>
      <c r="D127" s="205"/>
      <c r="E127" s="205" t="s">
        <v>653</v>
      </c>
      <c r="F127" s="205"/>
      <c r="G127" s="205"/>
      <c r="H127" s="205"/>
      <c r="I127" s="205" t="s">
        <v>661</v>
      </c>
      <c r="J127" s="205"/>
      <c r="K127" s="205" t="s">
        <v>1036</v>
      </c>
      <c r="L127" s="205" t="s">
        <v>1208</v>
      </c>
      <c r="M127" s="205" t="s">
        <v>1209</v>
      </c>
      <c r="N127" s="205"/>
      <c r="O127" s="205"/>
      <c r="P127" s="205" t="s">
        <v>74</v>
      </c>
      <c r="Q127" s="205"/>
      <c r="R127" s="206" t="s">
        <v>86</v>
      </c>
    </row>
    <row r="128" spans="2:18" x14ac:dyDescent="0.25">
      <c r="B128" s="204" t="s">
        <v>383</v>
      </c>
      <c r="C128" s="205" t="str">
        <f t="shared" si="1"/>
        <v>Espiral Wire-0    -   1.1/4 2:1 ()</v>
      </c>
      <c r="D128" s="205"/>
      <c r="E128" s="205" t="s">
        <v>653</v>
      </c>
      <c r="F128" s="205"/>
      <c r="G128" s="205"/>
      <c r="H128" s="205"/>
      <c r="I128" s="205" t="s">
        <v>662</v>
      </c>
      <c r="J128" s="205"/>
      <c r="K128" s="205" t="s">
        <v>1036</v>
      </c>
      <c r="L128" s="205" t="s">
        <v>1208</v>
      </c>
      <c r="M128" s="205" t="s">
        <v>1209</v>
      </c>
      <c r="N128" s="205"/>
      <c r="O128" s="205"/>
      <c r="P128" s="205" t="s">
        <v>74</v>
      </c>
      <c r="Q128" s="205"/>
      <c r="R128" s="206" t="s">
        <v>86</v>
      </c>
    </row>
    <row r="129" spans="2:18" x14ac:dyDescent="0.25">
      <c r="B129" s="204" t="s">
        <v>384</v>
      </c>
      <c r="C129" s="205" t="str">
        <f t="shared" si="1"/>
        <v>Espiral Wire-0    -   1.1/8 2:1 ()</v>
      </c>
      <c r="D129" s="205"/>
      <c r="E129" s="205" t="s">
        <v>653</v>
      </c>
      <c r="F129" s="205"/>
      <c r="G129" s="205"/>
      <c r="H129" s="205"/>
      <c r="I129" s="205" t="s">
        <v>663</v>
      </c>
      <c r="J129" s="205"/>
      <c r="K129" s="205" t="s">
        <v>1036</v>
      </c>
      <c r="L129" s="205" t="s">
        <v>1208</v>
      </c>
      <c r="M129" s="205" t="s">
        <v>1209</v>
      </c>
      <c r="N129" s="205"/>
      <c r="O129" s="205"/>
      <c r="P129" s="205" t="s">
        <v>74</v>
      </c>
      <c r="Q129" s="205"/>
      <c r="R129" s="206" t="s">
        <v>86</v>
      </c>
    </row>
    <row r="130" spans="2:18" x14ac:dyDescent="0.25">
      <c r="B130" s="204" t="s">
        <v>385</v>
      </c>
      <c r="C130" s="205" t="str">
        <f t="shared" ref="C130:C193" si="2">E130 &amp; " "  &amp; F130 &amp;   " " &amp; G130 &amp; " "  &amp; " - " &amp; H130 &amp; " " &amp; I130 &amp; " " &amp; "(" &amp; J130 &amp; ")"</f>
        <v>Espiral Wire-0    -   3/4 2:1 ()</v>
      </c>
      <c r="D130" s="205"/>
      <c r="E130" s="205" t="s">
        <v>653</v>
      </c>
      <c r="F130" s="205"/>
      <c r="G130" s="205"/>
      <c r="H130" s="205"/>
      <c r="I130" s="205" t="s">
        <v>664</v>
      </c>
      <c r="J130" s="205"/>
      <c r="K130" s="205" t="s">
        <v>1036</v>
      </c>
      <c r="L130" s="205" t="s">
        <v>1208</v>
      </c>
      <c r="M130" s="205" t="s">
        <v>1209</v>
      </c>
      <c r="N130" s="205"/>
      <c r="O130" s="205"/>
      <c r="P130" s="205" t="s">
        <v>74</v>
      </c>
      <c r="Q130" s="205"/>
      <c r="R130" s="206" t="s">
        <v>86</v>
      </c>
    </row>
    <row r="131" spans="2:18" x14ac:dyDescent="0.25">
      <c r="B131" s="204" t="s">
        <v>386</v>
      </c>
      <c r="C131" s="205" t="str">
        <f t="shared" si="2"/>
        <v>Espiral Wire-0    -   5/16" ()</v>
      </c>
      <c r="D131" s="205"/>
      <c r="E131" s="205" t="s">
        <v>653</v>
      </c>
      <c r="F131" s="205"/>
      <c r="G131" s="205"/>
      <c r="H131" s="205"/>
      <c r="I131" s="205" t="s">
        <v>665</v>
      </c>
      <c r="J131" s="205"/>
      <c r="K131" s="205" t="s">
        <v>1036</v>
      </c>
      <c r="L131" s="205" t="s">
        <v>1208</v>
      </c>
      <c r="M131" s="205" t="s">
        <v>1209</v>
      </c>
      <c r="N131" s="205"/>
      <c r="O131" s="205"/>
      <c r="P131" s="205" t="s">
        <v>74</v>
      </c>
      <c r="Q131" s="205"/>
      <c r="R131" s="206" t="s">
        <v>86</v>
      </c>
    </row>
    <row r="132" spans="2:18" x14ac:dyDescent="0.25">
      <c r="B132" s="204" t="s">
        <v>387</v>
      </c>
      <c r="C132" s="205" t="str">
        <f t="shared" si="2"/>
        <v>Espiral Wire-0    -   5/8 2:1 ()</v>
      </c>
      <c r="D132" s="205"/>
      <c r="E132" s="205" t="s">
        <v>653</v>
      </c>
      <c r="F132" s="205"/>
      <c r="G132" s="205"/>
      <c r="H132" s="205"/>
      <c r="I132" s="205" t="s">
        <v>666</v>
      </c>
      <c r="J132" s="205"/>
      <c r="K132" s="205" t="s">
        <v>1036</v>
      </c>
      <c r="L132" s="205" t="s">
        <v>1208</v>
      </c>
      <c r="M132" s="205" t="s">
        <v>1209</v>
      </c>
      <c r="N132" s="205"/>
      <c r="O132" s="205"/>
      <c r="P132" s="205" t="s">
        <v>74</v>
      </c>
      <c r="Q132" s="205"/>
      <c r="R132" s="206" t="s">
        <v>86</v>
      </c>
    </row>
    <row r="133" spans="2:18" x14ac:dyDescent="0.25">
      <c r="B133" s="204" t="s">
        <v>388</v>
      </c>
      <c r="C133" s="205" t="str">
        <f t="shared" si="2"/>
        <v>Espiral Wire-0    -   7/16" ()</v>
      </c>
      <c r="D133" s="205"/>
      <c r="E133" s="205" t="s">
        <v>653</v>
      </c>
      <c r="F133" s="205"/>
      <c r="G133" s="205"/>
      <c r="H133" s="205"/>
      <c r="I133" s="205" t="s">
        <v>667</v>
      </c>
      <c r="J133" s="205"/>
      <c r="K133" s="205" t="s">
        <v>1036</v>
      </c>
      <c r="L133" s="205" t="s">
        <v>1208</v>
      </c>
      <c r="M133" s="205" t="s">
        <v>1209</v>
      </c>
      <c r="N133" s="205"/>
      <c r="O133" s="205"/>
      <c r="P133" s="205" t="s">
        <v>74</v>
      </c>
      <c r="Q133" s="205"/>
      <c r="R133" s="206" t="s">
        <v>86</v>
      </c>
    </row>
    <row r="134" spans="2:18" x14ac:dyDescent="0.25">
      <c r="B134" s="204" t="s">
        <v>389</v>
      </c>
      <c r="C134" s="205" t="str">
        <f t="shared" si="2"/>
        <v>Espiral Wire-0    -   7/8 2:1 ()</v>
      </c>
      <c r="D134" s="205"/>
      <c r="E134" s="205" t="s">
        <v>653</v>
      </c>
      <c r="F134" s="205"/>
      <c r="G134" s="205"/>
      <c r="H134" s="205"/>
      <c r="I134" s="205" t="s">
        <v>668</v>
      </c>
      <c r="J134" s="205"/>
      <c r="K134" s="205" t="s">
        <v>1036</v>
      </c>
      <c r="L134" s="205" t="s">
        <v>1208</v>
      </c>
      <c r="M134" s="205" t="s">
        <v>1209</v>
      </c>
      <c r="N134" s="205"/>
      <c r="O134" s="205"/>
      <c r="P134" s="205" t="s">
        <v>74</v>
      </c>
      <c r="Q134" s="205"/>
      <c r="R134" s="206" t="s">
        <v>86</v>
      </c>
    </row>
    <row r="135" spans="2:18" x14ac:dyDescent="0.25">
      <c r="B135" s="204" t="s">
        <v>390</v>
      </c>
      <c r="C135" s="205" t="str">
        <f t="shared" si="2"/>
        <v>Espiral Wire-0    -   7/8" ()</v>
      </c>
      <c r="D135" s="205"/>
      <c r="E135" s="205" t="s">
        <v>653</v>
      </c>
      <c r="F135" s="205"/>
      <c r="G135" s="205"/>
      <c r="H135" s="205"/>
      <c r="I135" s="205" t="s">
        <v>669</v>
      </c>
      <c r="J135" s="205"/>
      <c r="K135" s="205" t="s">
        <v>1036</v>
      </c>
      <c r="L135" s="205" t="s">
        <v>1208</v>
      </c>
      <c r="M135" s="205" t="s">
        <v>1209</v>
      </c>
      <c r="N135" s="205"/>
      <c r="O135" s="205"/>
      <c r="P135" s="205" t="s">
        <v>74</v>
      </c>
      <c r="Q135" s="205"/>
      <c r="R135" s="206" t="s">
        <v>86</v>
      </c>
    </row>
    <row r="136" spans="2:18" x14ac:dyDescent="0.25">
      <c r="B136" s="204" t="s">
        <v>391</v>
      </c>
      <c r="C136" s="205" t="str">
        <f t="shared" si="2"/>
        <v>Esponja litográfica    -   ()</v>
      </c>
      <c r="D136" s="205"/>
      <c r="E136" s="205" t="s">
        <v>804</v>
      </c>
      <c r="F136" s="205"/>
      <c r="G136" s="205"/>
      <c r="H136" s="205"/>
      <c r="I136" s="205"/>
      <c r="J136" s="205"/>
      <c r="K136" s="205" t="s">
        <v>1227</v>
      </c>
      <c r="L136" s="205" t="s">
        <v>1208</v>
      </c>
      <c r="M136" s="205" t="s">
        <v>1214</v>
      </c>
      <c r="N136" s="205"/>
      <c r="O136" s="205"/>
      <c r="P136" s="205" t="s">
        <v>921</v>
      </c>
      <c r="Q136" s="205"/>
      <c r="R136" s="206" t="s">
        <v>1065</v>
      </c>
    </row>
    <row r="137" spans="2:18" x14ac:dyDescent="0.25">
      <c r="B137" s="204" t="s">
        <v>392</v>
      </c>
      <c r="C137" s="205" t="str">
        <f t="shared" si="2"/>
        <v>Espuma para encadernação  D-20   -  (5mm) ()</v>
      </c>
      <c r="D137" s="205"/>
      <c r="E137" s="205" t="s">
        <v>805</v>
      </c>
      <c r="F137" s="205" t="s">
        <v>1106</v>
      </c>
      <c r="G137" s="205"/>
      <c r="H137" s="205"/>
      <c r="I137" s="205" t="s">
        <v>1107</v>
      </c>
      <c r="J137" s="205"/>
      <c r="K137" s="205" t="s">
        <v>1036</v>
      </c>
      <c r="L137" s="205" t="s">
        <v>1208</v>
      </c>
      <c r="M137" s="205" t="s">
        <v>1209</v>
      </c>
      <c r="N137" s="205"/>
      <c r="O137" s="205"/>
      <c r="P137" s="205" t="s">
        <v>921</v>
      </c>
      <c r="Q137" s="205"/>
      <c r="R137" s="206"/>
    </row>
    <row r="138" spans="2:18" x14ac:dyDescent="0.25">
      <c r="B138" s="204" t="s">
        <v>393</v>
      </c>
      <c r="C138" s="205" t="str">
        <f t="shared" si="2"/>
        <v>Espuma para encadernação  D-33   -  (3mm) ()</v>
      </c>
      <c r="D138" s="205"/>
      <c r="E138" s="205" t="s">
        <v>805</v>
      </c>
      <c r="F138" s="205" t="s">
        <v>1108</v>
      </c>
      <c r="G138" s="205"/>
      <c r="H138" s="205"/>
      <c r="I138" s="205" t="s">
        <v>1109</v>
      </c>
      <c r="J138" s="205"/>
      <c r="K138" s="205" t="s">
        <v>1036</v>
      </c>
      <c r="L138" s="205" t="s">
        <v>1208</v>
      </c>
      <c r="M138" s="205" t="s">
        <v>1209</v>
      </c>
      <c r="N138" s="205"/>
      <c r="O138" s="205"/>
      <c r="P138" s="205" t="s">
        <v>921</v>
      </c>
      <c r="Q138" s="205"/>
      <c r="R138" s="206"/>
    </row>
    <row r="139" spans="2:18" x14ac:dyDescent="0.25">
      <c r="B139" s="204" t="s">
        <v>394</v>
      </c>
      <c r="C139" s="205" t="str">
        <f t="shared" si="2"/>
        <v>Estilete    -  18mm ()</v>
      </c>
      <c r="D139" s="205"/>
      <c r="E139" s="205" t="s">
        <v>807</v>
      </c>
      <c r="F139" s="205"/>
      <c r="G139" s="205"/>
      <c r="H139" s="205"/>
      <c r="I139" s="205" t="s">
        <v>671</v>
      </c>
      <c r="J139" s="205"/>
      <c r="K139" s="205" t="s">
        <v>1224</v>
      </c>
      <c r="L139" s="205" t="s">
        <v>1204</v>
      </c>
      <c r="M139" s="205"/>
      <c r="N139" s="205"/>
      <c r="O139" s="205"/>
      <c r="P139" s="205" t="s">
        <v>921</v>
      </c>
      <c r="Q139" s="205"/>
      <c r="R139" s="206"/>
    </row>
    <row r="140" spans="2:18" x14ac:dyDescent="0.25">
      <c r="B140" s="204" t="s">
        <v>395</v>
      </c>
      <c r="C140" s="205" t="str">
        <f t="shared" si="2"/>
        <v>Estilete    -  9mm ()</v>
      </c>
      <c r="D140" s="205"/>
      <c r="E140" s="205" t="s">
        <v>807</v>
      </c>
      <c r="F140" s="205"/>
      <c r="G140" s="205"/>
      <c r="H140" s="205"/>
      <c r="I140" s="205" t="s">
        <v>672</v>
      </c>
      <c r="J140" s="205"/>
      <c r="K140" s="205" t="s">
        <v>1224</v>
      </c>
      <c r="L140" s="205" t="s">
        <v>1204</v>
      </c>
      <c r="M140" s="205"/>
      <c r="N140" s="205"/>
      <c r="O140" s="205"/>
      <c r="P140" s="205" t="s">
        <v>921</v>
      </c>
      <c r="Q140" s="205"/>
      <c r="R140" s="206"/>
    </row>
    <row r="141" spans="2:18" x14ac:dyDescent="0.25">
      <c r="B141" s="204" t="s">
        <v>396</v>
      </c>
      <c r="C141" s="205" t="str">
        <f t="shared" si="2"/>
        <v>Estopa    -   ()</v>
      </c>
      <c r="D141" s="205"/>
      <c r="E141" s="205" t="s">
        <v>808</v>
      </c>
      <c r="F141" s="205"/>
      <c r="G141" s="205"/>
      <c r="H141" s="205"/>
      <c r="I141" s="205"/>
      <c r="J141" s="205"/>
      <c r="K141" s="205" t="s">
        <v>1228</v>
      </c>
      <c r="L141" s="205"/>
      <c r="M141" s="205"/>
      <c r="N141" s="205"/>
      <c r="O141" s="205"/>
      <c r="P141" s="205" t="s">
        <v>909</v>
      </c>
      <c r="Q141" s="205"/>
      <c r="R141" s="206" t="s">
        <v>102</v>
      </c>
    </row>
    <row r="142" spans="2:18" x14ac:dyDescent="0.25">
      <c r="B142" s="204" t="s">
        <v>397</v>
      </c>
      <c r="C142" s="205" t="str">
        <f t="shared" si="2"/>
        <v>Etiqueta adesiva para Impressora    -  70 x 33 ()</v>
      </c>
      <c r="D142" s="205"/>
      <c r="E142" s="205" t="s">
        <v>809</v>
      </c>
      <c r="F142" s="205"/>
      <c r="G142" s="205"/>
      <c r="H142" s="205"/>
      <c r="I142" s="205" t="s">
        <v>735</v>
      </c>
      <c r="J142" s="205"/>
      <c r="K142" s="205" t="s">
        <v>1224</v>
      </c>
      <c r="L142" s="205" t="s">
        <v>1204</v>
      </c>
      <c r="M142" s="205"/>
      <c r="N142" s="205"/>
      <c r="O142" s="205"/>
      <c r="P142" s="205" t="s">
        <v>70</v>
      </c>
      <c r="Q142" s="205"/>
      <c r="R142" s="206" t="s">
        <v>900</v>
      </c>
    </row>
    <row r="143" spans="2:18" x14ac:dyDescent="0.25">
      <c r="B143" s="204" t="s">
        <v>398</v>
      </c>
      <c r="C143" s="205" t="str">
        <f t="shared" si="2"/>
        <v>Extrator de grampos    -   ()</v>
      </c>
      <c r="D143" s="205"/>
      <c r="E143" s="205" t="s">
        <v>810</v>
      </c>
      <c r="F143" s="205"/>
      <c r="G143" s="205"/>
      <c r="H143" s="205"/>
      <c r="I143" s="205"/>
      <c r="J143" s="205"/>
      <c r="K143" s="205" t="s">
        <v>1224</v>
      </c>
      <c r="L143" s="205" t="s">
        <v>1204</v>
      </c>
      <c r="M143" s="205"/>
      <c r="N143" s="205"/>
      <c r="O143" s="205"/>
      <c r="P143" s="205" t="s">
        <v>921</v>
      </c>
      <c r="Q143" s="205"/>
      <c r="R143" s="206"/>
    </row>
    <row r="144" spans="2:18" x14ac:dyDescent="0.25">
      <c r="B144" s="204" t="s">
        <v>399</v>
      </c>
      <c r="C144" s="205" t="str">
        <f t="shared" si="2"/>
        <v>Filme de polietileno tipo stretch    -   ()</v>
      </c>
      <c r="D144" s="205"/>
      <c r="E144" s="205" t="s">
        <v>811</v>
      </c>
      <c r="F144" s="205"/>
      <c r="G144" s="205"/>
      <c r="H144" s="205"/>
      <c r="I144" s="205"/>
      <c r="J144" s="205"/>
      <c r="K144" s="205" t="s">
        <v>1036</v>
      </c>
      <c r="L144" s="205" t="s">
        <v>164</v>
      </c>
      <c r="M144" s="205"/>
      <c r="N144" s="205"/>
      <c r="O144" s="205"/>
      <c r="P144" s="205"/>
      <c r="Q144" s="205"/>
      <c r="R144" s="206"/>
    </row>
    <row r="145" spans="2:18" x14ac:dyDescent="0.25">
      <c r="B145" s="204" t="s">
        <v>400</v>
      </c>
      <c r="C145" s="205" t="str">
        <f t="shared" si="2"/>
        <v>Fita adesiva Dupla Face   -  12mm x 30m ()</v>
      </c>
      <c r="D145" s="205"/>
      <c r="E145" s="205" t="s">
        <v>812</v>
      </c>
      <c r="F145" s="205" t="s">
        <v>755</v>
      </c>
      <c r="G145" s="205"/>
      <c r="H145" s="205"/>
      <c r="I145" s="205" t="s">
        <v>737</v>
      </c>
      <c r="J145" s="205"/>
      <c r="K145" s="205" t="s">
        <v>1224</v>
      </c>
      <c r="L145" s="205" t="s">
        <v>1204</v>
      </c>
      <c r="M145" s="205"/>
      <c r="N145" s="205"/>
      <c r="O145" s="205"/>
      <c r="P145" s="205"/>
      <c r="Q145" s="205"/>
      <c r="R145" s="206"/>
    </row>
    <row r="146" spans="2:18" x14ac:dyDescent="0.25">
      <c r="B146" s="204" t="s">
        <v>401</v>
      </c>
      <c r="C146" s="205" t="str">
        <f t="shared" si="2"/>
        <v>Fita adesiva Dupla Face   -  18mm x 30m ()</v>
      </c>
      <c r="D146" s="205"/>
      <c r="E146" s="205" t="s">
        <v>812</v>
      </c>
      <c r="F146" s="205" t="s">
        <v>755</v>
      </c>
      <c r="G146" s="205"/>
      <c r="H146" s="205"/>
      <c r="I146" s="205" t="s">
        <v>738</v>
      </c>
      <c r="J146" s="205"/>
      <c r="K146" s="205" t="s">
        <v>1224</v>
      </c>
      <c r="L146" s="205" t="s">
        <v>1204</v>
      </c>
      <c r="M146" s="205"/>
      <c r="N146" s="205"/>
      <c r="O146" s="205"/>
      <c r="P146" s="205"/>
      <c r="Q146" s="205"/>
      <c r="R146" s="206"/>
    </row>
    <row r="147" spans="2:18" x14ac:dyDescent="0.25">
      <c r="B147" s="204" t="s">
        <v>402</v>
      </c>
      <c r="C147" s="205" t="str">
        <f t="shared" si="2"/>
        <v>Fita adesiva Dupla Face   -  9mm x 30m ()</v>
      </c>
      <c r="D147" s="205"/>
      <c r="E147" s="205" t="s">
        <v>812</v>
      </c>
      <c r="F147" s="205" t="s">
        <v>755</v>
      </c>
      <c r="G147" s="205"/>
      <c r="H147" s="205"/>
      <c r="I147" s="205" t="s">
        <v>736</v>
      </c>
      <c r="J147" s="205"/>
      <c r="K147" s="205" t="s">
        <v>1224</v>
      </c>
      <c r="L147" s="205" t="s">
        <v>1204</v>
      </c>
      <c r="M147" s="205"/>
      <c r="N147" s="205"/>
      <c r="O147" s="205"/>
      <c r="P147" s="205"/>
      <c r="Q147" s="205"/>
      <c r="R147" s="206"/>
    </row>
    <row r="148" spans="2:18" x14ac:dyDescent="0.25">
      <c r="B148" s="204" t="s">
        <v>403</v>
      </c>
      <c r="C148" s="205" t="str">
        <f t="shared" si="2"/>
        <v>Fita adesiva para restauração de Livr.   -   (Filmoplast)</v>
      </c>
      <c r="D148" s="205"/>
      <c r="E148" s="205" t="s">
        <v>812</v>
      </c>
      <c r="F148" s="205" t="s">
        <v>1215</v>
      </c>
      <c r="G148" s="205"/>
      <c r="H148" s="205"/>
      <c r="I148" s="205"/>
      <c r="J148" s="205" t="s">
        <v>698</v>
      </c>
      <c r="K148" s="205" t="s">
        <v>1036</v>
      </c>
      <c r="L148" s="205" t="s">
        <v>1208</v>
      </c>
      <c r="M148" s="205" t="s">
        <v>1209</v>
      </c>
      <c r="N148" s="205"/>
      <c r="O148" s="205"/>
      <c r="P148" s="205"/>
      <c r="Q148" s="205"/>
      <c r="R148" s="206"/>
    </row>
    <row r="149" spans="2:18" x14ac:dyDescent="0.25">
      <c r="B149" s="204" t="s">
        <v>404</v>
      </c>
      <c r="C149" s="205" t="str">
        <f t="shared" si="2"/>
        <v>Fita adesiva para Empacotamento   -   ()</v>
      </c>
      <c r="D149" s="205"/>
      <c r="E149" s="205" t="s">
        <v>812</v>
      </c>
      <c r="F149" s="205" t="s">
        <v>756</v>
      </c>
      <c r="G149" s="205"/>
      <c r="H149" s="205"/>
      <c r="I149" s="205"/>
      <c r="J149" s="205"/>
      <c r="K149" s="205" t="s">
        <v>1224</v>
      </c>
      <c r="L149" s="205" t="s">
        <v>1204</v>
      </c>
      <c r="M149" s="205"/>
      <c r="N149" s="205"/>
      <c r="O149" s="205"/>
      <c r="P149" s="205"/>
      <c r="Q149" s="205"/>
      <c r="R149" s="206"/>
    </row>
    <row r="150" spans="2:18" x14ac:dyDescent="0.25">
      <c r="B150" s="204" t="s">
        <v>405</v>
      </c>
      <c r="C150" s="205" t="str">
        <f t="shared" si="2"/>
        <v>Fita adesiva Transparente (Durex)   -   ()</v>
      </c>
      <c r="D150" s="205"/>
      <c r="E150" s="205" t="s">
        <v>812</v>
      </c>
      <c r="F150" s="205" t="s">
        <v>700</v>
      </c>
      <c r="G150" s="205"/>
      <c r="H150" s="205"/>
      <c r="I150" s="205"/>
      <c r="J150" s="205"/>
      <c r="K150" s="205" t="s">
        <v>1224</v>
      </c>
      <c r="L150" s="205" t="s">
        <v>1204</v>
      </c>
      <c r="M150" s="205"/>
      <c r="N150" s="205"/>
      <c r="O150" s="205"/>
      <c r="P150" s="205"/>
      <c r="Q150" s="205"/>
      <c r="R150" s="206"/>
    </row>
    <row r="151" spans="2:18" x14ac:dyDescent="0.25">
      <c r="B151" s="204" t="s">
        <v>406</v>
      </c>
      <c r="C151" s="205" t="str">
        <f t="shared" si="2"/>
        <v>Fita adesiva Crepe para Empacotamento   -  25mm x 50m ()</v>
      </c>
      <c r="D151" s="205"/>
      <c r="E151" s="205" t="s">
        <v>812</v>
      </c>
      <c r="F151" s="205" t="s">
        <v>701</v>
      </c>
      <c r="G151" s="205"/>
      <c r="H151" s="205"/>
      <c r="I151" s="205" t="s">
        <v>673</v>
      </c>
      <c r="J151" s="205"/>
      <c r="K151" s="205" t="s">
        <v>1224</v>
      </c>
      <c r="L151" s="205" t="s">
        <v>1204</v>
      </c>
      <c r="M151" s="205"/>
      <c r="N151" s="205"/>
      <c r="O151" s="205"/>
      <c r="P151" s="205"/>
      <c r="Q151" s="205"/>
      <c r="R151" s="206"/>
    </row>
    <row r="152" spans="2:18" x14ac:dyDescent="0.25">
      <c r="B152" s="204" t="s">
        <v>407</v>
      </c>
      <c r="C152" s="205" t="str">
        <f t="shared" si="2"/>
        <v>Fita Hot Stamping Dourada   -  100mm ()</v>
      </c>
      <c r="D152" s="205"/>
      <c r="E152" s="205" t="s">
        <v>674</v>
      </c>
      <c r="F152" s="205" t="s">
        <v>960</v>
      </c>
      <c r="G152" s="205"/>
      <c r="H152" s="205"/>
      <c r="I152" s="205" t="s">
        <v>739</v>
      </c>
      <c r="J152" s="205"/>
      <c r="K152" s="205" t="s">
        <v>1036</v>
      </c>
      <c r="L152" s="205" t="s">
        <v>1208</v>
      </c>
      <c r="M152" s="205" t="s">
        <v>1209</v>
      </c>
      <c r="N152" s="205"/>
      <c r="O152" s="205"/>
      <c r="P152" s="205"/>
      <c r="Q152" s="205"/>
      <c r="R152" s="206"/>
    </row>
    <row r="153" spans="2:18" x14ac:dyDescent="0.25">
      <c r="B153" s="204" t="s">
        <v>408</v>
      </c>
      <c r="C153" s="205" t="str">
        <f t="shared" si="2"/>
        <v>Fita Hot Stamping Prata   -  200mm ()</v>
      </c>
      <c r="D153" s="205"/>
      <c r="E153" s="205" t="s">
        <v>674</v>
      </c>
      <c r="F153" s="205" t="s">
        <v>961</v>
      </c>
      <c r="G153" s="205"/>
      <c r="H153" s="205"/>
      <c r="I153" s="205" t="s">
        <v>740</v>
      </c>
      <c r="J153" s="205"/>
      <c r="K153" s="205" t="s">
        <v>1036</v>
      </c>
      <c r="L153" s="205" t="s">
        <v>1208</v>
      </c>
      <c r="M153" s="205" t="s">
        <v>1209</v>
      </c>
      <c r="N153" s="205"/>
      <c r="O153" s="205"/>
      <c r="P153" s="205"/>
      <c r="Q153" s="205"/>
      <c r="R153" s="206"/>
    </row>
    <row r="154" spans="2:18" x14ac:dyDescent="0.25">
      <c r="B154" s="204" t="s">
        <v>409</v>
      </c>
      <c r="C154" s="205" t="str">
        <f t="shared" si="2"/>
        <v>Fita para máquina de arquear    -   ()</v>
      </c>
      <c r="D154" s="205"/>
      <c r="E154" s="205" t="s">
        <v>813</v>
      </c>
      <c r="F154" s="205"/>
      <c r="G154" s="205"/>
      <c r="H154" s="205"/>
      <c r="I154" s="205"/>
      <c r="J154" s="205"/>
      <c r="K154" s="205" t="s">
        <v>1036</v>
      </c>
      <c r="L154" s="205" t="s">
        <v>164</v>
      </c>
      <c r="M154" s="205"/>
      <c r="N154" s="205"/>
      <c r="O154" s="205"/>
      <c r="P154" s="205"/>
      <c r="Q154" s="205"/>
      <c r="R154" s="206"/>
    </row>
    <row r="155" spans="2:18" x14ac:dyDescent="0.25">
      <c r="B155" s="204" t="s">
        <v>410</v>
      </c>
      <c r="C155" s="205" t="str">
        <f t="shared" si="2"/>
        <v>Fita de cetim    - Verde e Amarela Estreita (10mm x 10m) ()</v>
      </c>
      <c r="D155" s="205"/>
      <c r="E155" s="205" t="s">
        <v>814</v>
      </c>
      <c r="F155" s="205"/>
      <c r="G155" s="205"/>
      <c r="H155" s="205" t="s">
        <v>702</v>
      </c>
      <c r="I155" s="205" t="s">
        <v>741</v>
      </c>
      <c r="J155" s="205"/>
      <c r="K155" s="205" t="s">
        <v>1036</v>
      </c>
      <c r="L155" s="205" t="s">
        <v>1208</v>
      </c>
      <c r="M155" s="205" t="s">
        <v>1209</v>
      </c>
      <c r="N155" s="205"/>
      <c r="O155" s="205"/>
      <c r="P155" s="205"/>
      <c r="Q155" s="205"/>
      <c r="R155" s="206"/>
    </row>
    <row r="156" spans="2:18" x14ac:dyDescent="0.25">
      <c r="B156" s="204" t="s">
        <v>411</v>
      </c>
      <c r="C156" s="205" t="str">
        <f t="shared" si="2"/>
        <v>Fita de cetim    - Verde e Amarela Larga (15mm x 10m) ()</v>
      </c>
      <c r="D156" s="205"/>
      <c r="E156" s="205" t="s">
        <v>814</v>
      </c>
      <c r="F156" s="205"/>
      <c r="G156" s="205"/>
      <c r="H156" s="205" t="s">
        <v>702</v>
      </c>
      <c r="I156" s="205" t="s">
        <v>742</v>
      </c>
      <c r="J156" s="205"/>
      <c r="K156" s="205" t="s">
        <v>1036</v>
      </c>
      <c r="L156" s="205" t="s">
        <v>1208</v>
      </c>
      <c r="M156" s="205" t="s">
        <v>1209</v>
      </c>
      <c r="N156" s="205"/>
      <c r="O156" s="205"/>
      <c r="P156" s="205"/>
      <c r="Q156" s="205"/>
      <c r="R156" s="206"/>
    </row>
    <row r="157" spans="2:18" x14ac:dyDescent="0.25">
      <c r="B157" s="204" t="s">
        <v>412</v>
      </c>
      <c r="C157" s="205" t="str">
        <f t="shared" si="2"/>
        <v>Gel descalcificante p/ rolos embor. Offset    -   (EK Feboclean)</v>
      </c>
      <c r="D157" s="205"/>
      <c r="E157" s="205" t="s">
        <v>817</v>
      </c>
      <c r="F157" s="205"/>
      <c r="G157" s="205"/>
      <c r="H157" s="205"/>
      <c r="I157" s="205"/>
      <c r="J157" s="205" t="s">
        <v>703</v>
      </c>
      <c r="K157" s="205" t="s">
        <v>1029</v>
      </c>
      <c r="L157" s="205" t="s">
        <v>1201</v>
      </c>
      <c r="M157" s="205" t="s">
        <v>1022</v>
      </c>
      <c r="N157" s="205"/>
      <c r="O157" s="205"/>
      <c r="P157" s="205"/>
      <c r="Q157" s="205"/>
      <c r="R157" s="206"/>
    </row>
    <row r="158" spans="2:18" x14ac:dyDescent="0.25">
      <c r="B158" s="204" t="s">
        <v>413</v>
      </c>
      <c r="C158" s="205" t="str">
        <f t="shared" si="2"/>
        <v>Pasta lubrificante Rolaria Fria (Gel Lubrificante para Rolo Vazio)  -   ()</v>
      </c>
      <c r="D158" s="205"/>
      <c r="E158" s="205" t="s">
        <v>818</v>
      </c>
      <c r="F158" s="205" t="s">
        <v>1110</v>
      </c>
      <c r="G158" s="205" t="s">
        <v>1111</v>
      </c>
      <c r="H158" s="205"/>
      <c r="I158" s="205"/>
      <c r="J158" s="205"/>
      <c r="K158" s="205" t="s">
        <v>1029</v>
      </c>
      <c r="L158" s="205" t="s">
        <v>1201</v>
      </c>
      <c r="M158" s="205" t="s">
        <v>1022</v>
      </c>
      <c r="N158" s="205"/>
      <c r="O158" s="205"/>
      <c r="P158" s="205"/>
      <c r="Q158" s="205"/>
      <c r="R158" s="206"/>
    </row>
    <row r="159" spans="2:18" x14ac:dyDescent="0.25">
      <c r="B159" s="204" t="s">
        <v>414</v>
      </c>
      <c r="C159" s="205" t="str">
        <f t="shared" si="2"/>
        <v>Glicerina    -   ()</v>
      </c>
      <c r="D159" s="205"/>
      <c r="E159" s="205" t="s">
        <v>414</v>
      </c>
      <c r="F159" s="205"/>
      <c r="G159" s="205"/>
      <c r="H159" s="205"/>
      <c r="I159" s="205"/>
      <c r="J159" s="205"/>
      <c r="K159" s="205" t="s">
        <v>1036</v>
      </c>
      <c r="L159" s="205" t="s">
        <v>1201</v>
      </c>
      <c r="M159" s="205" t="s">
        <v>1209</v>
      </c>
      <c r="N159" s="205"/>
      <c r="O159" s="205"/>
      <c r="P159" s="205"/>
      <c r="Q159" s="205"/>
      <c r="R159" s="206"/>
    </row>
    <row r="160" spans="2:18" x14ac:dyDescent="0.25">
      <c r="B160" s="204" t="s">
        <v>415</v>
      </c>
      <c r="C160" s="205" t="str">
        <f t="shared" si="2"/>
        <v>Goma protetora para Chapa    -  14º Bé ()</v>
      </c>
      <c r="D160" s="205"/>
      <c r="E160" s="205" t="s">
        <v>819</v>
      </c>
      <c r="F160" s="205"/>
      <c r="G160" s="205"/>
      <c r="H160" s="205"/>
      <c r="I160" s="205" t="s">
        <v>676</v>
      </c>
      <c r="J160" s="205"/>
      <c r="K160" s="205" t="s">
        <v>1225</v>
      </c>
      <c r="L160" s="205" t="s">
        <v>1201</v>
      </c>
      <c r="M160" s="205" t="s">
        <v>1212</v>
      </c>
      <c r="N160" s="205"/>
      <c r="O160" s="205"/>
      <c r="P160" s="205"/>
      <c r="Q160" s="205"/>
      <c r="R160" s="206"/>
    </row>
    <row r="161" spans="2:18" x14ac:dyDescent="0.25">
      <c r="B161" s="204" t="s">
        <v>416</v>
      </c>
      <c r="C161" s="205" t="str">
        <f t="shared" si="2"/>
        <v>Goma protetora para Chapa    -  8º Bé ()</v>
      </c>
      <c r="D161" s="205"/>
      <c r="E161" s="205" t="s">
        <v>819</v>
      </c>
      <c r="F161" s="205"/>
      <c r="G161" s="205"/>
      <c r="H161" s="205"/>
      <c r="I161" s="205" t="s">
        <v>675</v>
      </c>
      <c r="J161" s="205"/>
      <c r="K161" s="205" t="s">
        <v>1225</v>
      </c>
      <c r="L161" s="205" t="s">
        <v>1201</v>
      </c>
      <c r="M161" s="205" t="s">
        <v>1212</v>
      </c>
      <c r="N161" s="205"/>
      <c r="O161" s="205"/>
      <c r="P161" s="205"/>
      <c r="Q161" s="205"/>
      <c r="R161" s="206"/>
    </row>
    <row r="162" spans="2:18" x14ac:dyDescent="0.25">
      <c r="B162" s="204" t="s">
        <v>417</v>
      </c>
      <c r="C162" s="205" t="str">
        <f t="shared" si="2"/>
        <v>Grafite    -  0,5mm ()</v>
      </c>
      <c r="D162" s="205"/>
      <c r="E162" s="205" t="s">
        <v>1112</v>
      </c>
      <c r="F162" s="205"/>
      <c r="G162" s="205"/>
      <c r="H162" s="205"/>
      <c r="I162" s="205" t="s">
        <v>1113</v>
      </c>
      <c r="J162" s="205"/>
      <c r="K162" s="205" t="s">
        <v>1224</v>
      </c>
      <c r="L162" s="205" t="s">
        <v>1204</v>
      </c>
      <c r="M162" s="205"/>
      <c r="N162" s="205"/>
      <c r="O162" s="205"/>
      <c r="P162" s="205"/>
      <c r="Q162" s="205"/>
      <c r="R162" s="206"/>
    </row>
    <row r="163" spans="2:18" x14ac:dyDescent="0.25">
      <c r="B163" s="204" t="s">
        <v>418</v>
      </c>
      <c r="C163" s="205" t="str">
        <f t="shared" si="2"/>
        <v>Grampeador Elétrico    -   (Rapid)</v>
      </c>
      <c r="D163" s="205"/>
      <c r="E163" s="205" t="s">
        <v>1012</v>
      </c>
      <c r="F163" s="205"/>
      <c r="G163" s="205"/>
      <c r="H163" s="205"/>
      <c r="I163" s="205"/>
      <c r="J163" s="205" t="s">
        <v>1011</v>
      </c>
      <c r="K163" s="205" t="s">
        <v>1224</v>
      </c>
      <c r="L163" s="205" t="s">
        <v>1204</v>
      </c>
      <c r="M163" s="205"/>
      <c r="N163" s="205"/>
      <c r="O163" s="205"/>
      <c r="P163" s="205"/>
      <c r="Q163" s="205"/>
      <c r="R163" s="206"/>
    </row>
    <row r="164" spans="2:18" x14ac:dyDescent="0.25">
      <c r="B164" s="204" t="s">
        <v>419</v>
      </c>
      <c r="C164" s="205" t="str">
        <f t="shared" si="2"/>
        <v>Grampeador Manual Alta Performance   -   ()</v>
      </c>
      <c r="D164" s="205"/>
      <c r="E164" s="205" t="s">
        <v>705</v>
      </c>
      <c r="F164" s="205" t="s">
        <v>1013</v>
      </c>
      <c r="G164" s="205"/>
      <c r="H164" s="205"/>
      <c r="I164" s="205"/>
      <c r="J164" s="205"/>
      <c r="K164" s="205" t="s">
        <v>1224</v>
      </c>
      <c r="L164" s="205" t="s">
        <v>1204</v>
      </c>
      <c r="M164" s="205"/>
      <c r="N164" s="205"/>
      <c r="O164" s="205"/>
      <c r="P164" s="205"/>
      <c r="Q164" s="205"/>
      <c r="R164" s="206"/>
    </row>
    <row r="165" spans="2:18" x14ac:dyDescent="0.25">
      <c r="B165" s="204" t="s">
        <v>420</v>
      </c>
      <c r="C165" s="205" t="str">
        <f t="shared" si="2"/>
        <v>Grampeador Manual    -  26/6 ()</v>
      </c>
      <c r="D165" s="205"/>
      <c r="E165" s="205" t="s">
        <v>705</v>
      </c>
      <c r="F165" s="205"/>
      <c r="G165" s="205"/>
      <c r="H165" s="205"/>
      <c r="I165" s="205" t="s">
        <v>678</v>
      </c>
      <c r="J165" s="205"/>
      <c r="K165" s="205" t="s">
        <v>1224</v>
      </c>
      <c r="L165" s="205" t="s">
        <v>1204</v>
      </c>
      <c r="M165" s="205"/>
      <c r="N165" s="205"/>
      <c r="O165" s="205"/>
      <c r="P165" s="205"/>
      <c r="Q165" s="205"/>
      <c r="R165" s="206"/>
    </row>
    <row r="166" spans="2:18" x14ac:dyDescent="0.25">
      <c r="B166" s="204" t="s">
        <v>421</v>
      </c>
      <c r="C166" s="205" t="str">
        <f t="shared" si="2"/>
        <v>Grampeador Manual para estofamento   -  51 A (Rocama)</v>
      </c>
      <c r="D166" s="205"/>
      <c r="E166" s="205" t="s">
        <v>705</v>
      </c>
      <c r="F166" s="205" t="s">
        <v>1014</v>
      </c>
      <c r="G166" s="205"/>
      <c r="H166" s="205"/>
      <c r="I166" s="205" t="s">
        <v>743</v>
      </c>
      <c r="J166" s="205" t="s">
        <v>706</v>
      </c>
      <c r="K166" s="205" t="s">
        <v>1036</v>
      </c>
      <c r="L166" s="205" t="s">
        <v>1216</v>
      </c>
      <c r="M166" s="205" t="s">
        <v>1209</v>
      </c>
      <c r="N166" s="205"/>
      <c r="O166" s="205"/>
      <c r="P166" s="205"/>
      <c r="Q166" s="205"/>
      <c r="R166" s="206"/>
    </row>
    <row r="167" spans="2:18" x14ac:dyDescent="0.25">
      <c r="B167" s="204" t="s">
        <v>422</v>
      </c>
      <c r="C167" s="205" t="str">
        <f t="shared" si="2"/>
        <v>Grampo para Grampeador Manual   -  23/10 ()</v>
      </c>
      <c r="D167" s="205"/>
      <c r="E167" s="205" t="s">
        <v>749</v>
      </c>
      <c r="F167" s="205" t="s">
        <v>1015</v>
      </c>
      <c r="G167" s="205"/>
      <c r="H167" s="205"/>
      <c r="I167" s="205" t="s">
        <v>677</v>
      </c>
      <c r="J167" s="205"/>
      <c r="K167" s="205" t="s">
        <v>1224</v>
      </c>
      <c r="L167" s="205" t="s">
        <v>1204</v>
      </c>
      <c r="M167" s="205"/>
      <c r="N167" s="205"/>
      <c r="O167" s="205"/>
      <c r="P167" s="205"/>
      <c r="Q167" s="205"/>
      <c r="R167" s="206"/>
    </row>
    <row r="168" spans="2:18" x14ac:dyDescent="0.25">
      <c r="B168" s="204" t="s">
        <v>423</v>
      </c>
      <c r="C168" s="205" t="str">
        <f t="shared" si="2"/>
        <v>Grampo para Grampeador Manual   -  23/13 ()</v>
      </c>
      <c r="D168" s="205"/>
      <c r="E168" s="205" t="s">
        <v>749</v>
      </c>
      <c r="F168" s="205" t="s">
        <v>1015</v>
      </c>
      <c r="G168" s="205"/>
      <c r="H168" s="205"/>
      <c r="I168" s="205" t="s">
        <v>679</v>
      </c>
      <c r="J168" s="205"/>
      <c r="K168" s="205" t="s">
        <v>1224</v>
      </c>
      <c r="L168" s="205" t="s">
        <v>1204</v>
      </c>
      <c r="M168" s="205"/>
      <c r="N168" s="205"/>
      <c r="O168" s="205"/>
      <c r="P168" s="205"/>
      <c r="Q168" s="205"/>
      <c r="R168" s="206"/>
    </row>
    <row r="169" spans="2:18" x14ac:dyDescent="0.25">
      <c r="B169" s="204" t="s">
        <v>424</v>
      </c>
      <c r="C169" s="205" t="str">
        <f t="shared" si="2"/>
        <v>Grampo para Grampeador Manual   -  26/6 ()</v>
      </c>
      <c r="D169" s="205"/>
      <c r="E169" s="205" t="s">
        <v>749</v>
      </c>
      <c r="F169" s="205" t="s">
        <v>1015</v>
      </c>
      <c r="G169" s="205"/>
      <c r="H169" s="205"/>
      <c r="I169" s="205" t="s">
        <v>678</v>
      </c>
      <c r="J169" s="205"/>
      <c r="K169" s="205" t="s">
        <v>1224</v>
      </c>
      <c r="L169" s="205" t="s">
        <v>1204</v>
      </c>
      <c r="M169" s="205"/>
      <c r="N169" s="205"/>
      <c r="O169" s="205"/>
      <c r="P169" s="205"/>
      <c r="Q169" s="205"/>
      <c r="R169" s="206"/>
    </row>
    <row r="170" spans="2:18" x14ac:dyDescent="0.25">
      <c r="B170" s="204" t="s">
        <v>425</v>
      </c>
      <c r="C170" s="205" t="str">
        <f t="shared" si="2"/>
        <v>Grampo encadernador tipo trilho   -   ()</v>
      </c>
      <c r="D170" s="205"/>
      <c r="E170" s="205" t="s">
        <v>749</v>
      </c>
      <c r="F170" s="205" t="s">
        <v>1114</v>
      </c>
      <c r="G170" s="205"/>
      <c r="H170" s="205"/>
      <c r="I170" s="205"/>
      <c r="J170" s="205"/>
      <c r="K170" s="205" t="s">
        <v>1224</v>
      </c>
      <c r="L170" s="205" t="s">
        <v>1204</v>
      </c>
      <c r="M170" s="205"/>
      <c r="N170" s="205"/>
      <c r="O170" s="205"/>
      <c r="P170" s="205"/>
      <c r="Q170" s="205"/>
      <c r="R170" s="206"/>
    </row>
    <row r="171" spans="2:18" x14ac:dyDescent="0.25">
      <c r="B171" s="204" t="s">
        <v>426</v>
      </c>
      <c r="C171" s="205" t="str">
        <f t="shared" si="2"/>
        <v>Grampo para Grampeador Elétrico   -   ()</v>
      </c>
      <c r="D171" s="205"/>
      <c r="E171" s="205" t="s">
        <v>749</v>
      </c>
      <c r="F171" s="205" t="s">
        <v>1016</v>
      </c>
      <c r="G171" s="205"/>
      <c r="H171" s="205"/>
      <c r="I171" s="205"/>
      <c r="J171" s="205"/>
      <c r="K171" s="205" t="s">
        <v>1224</v>
      </c>
      <c r="L171" s="205" t="s">
        <v>1204</v>
      </c>
      <c r="M171" s="205"/>
      <c r="N171" s="205"/>
      <c r="O171" s="205"/>
      <c r="P171" s="205"/>
      <c r="Q171" s="205"/>
      <c r="R171" s="206"/>
    </row>
    <row r="172" spans="2:18" x14ac:dyDescent="0.25">
      <c r="B172" s="204" t="s">
        <v>427</v>
      </c>
      <c r="C172" s="205" t="str">
        <f t="shared" si="2"/>
        <v>Graxa Alta Aderência   -   (HHS2000)</v>
      </c>
      <c r="D172" s="205"/>
      <c r="E172" s="205" t="s">
        <v>680</v>
      </c>
      <c r="F172" s="205" t="s">
        <v>758</v>
      </c>
      <c r="G172" s="205"/>
      <c r="H172" s="205"/>
      <c r="I172" s="205"/>
      <c r="J172" s="205" t="s">
        <v>1115</v>
      </c>
      <c r="K172" s="205" t="s">
        <v>1029</v>
      </c>
      <c r="L172" s="205" t="s">
        <v>1201</v>
      </c>
      <c r="M172" s="205" t="s">
        <v>1217</v>
      </c>
      <c r="N172" s="205"/>
      <c r="O172" s="205"/>
      <c r="P172" s="205"/>
      <c r="Q172" s="205"/>
      <c r="R172" s="206"/>
    </row>
    <row r="173" spans="2:18" x14ac:dyDescent="0.25">
      <c r="B173" s="204" t="s">
        <v>680</v>
      </c>
      <c r="C173" s="205" t="str">
        <f t="shared" si="2"/>
        <v>Graxa  Tambor   -  170kg ()</v>
      </c>
      <c r="D173" s="205"/>
      <c r="E173" s="205" t="s">
        <v>680</v>
      </c>
      <c r="F173" s="205"/>
      <c r="G173" s="205" t="s">
        <v>1117</v>
      </c>
      <c r="H173" s="205"/>
      <c r="I173" s="205" t="s">
        <v>1116</v>
      </c>
      <c r="J173" s="205"/>
      <c r="K173" s="205" t="s">
        <v>1029</v>
      </c>
      <c r="L173" s="205" t="s">
        <v>1201</v>
      </c>
      <c r="M173" s="205" t="s">
        <v>1217</v>
      </c>
      <c r="N173" s="205" t="s">
        <v>708</v>
      </c>
      <c r="O173" s="205">
        <v>170</v>
      </c>
      <c r="P173" s="205" t="s">
        <v>102</v>
      </c>
      <c r="Q173" s="205"/>
      <c r="R173" s="206"/>
    </row>
    <row r="174" spans="2:18" x14ac:dyDescent="0.25">
      <c r="B174" s="204" t="s">
        <v>428</v>
      </c>
      <c r="C174" s="205" t="str">
        <f t="shared" si="2"/>
        <v>Graxa    -  Alta Performance (NSK) ()</v>
      </c>
      <c r="D174" s="205"/>
      <c r="E174" s="205" t="s">
        <v>680</v>
      </c>
      <c r="F174" s="205"/>
      <c r="G174" s="205"/>
      <c r="H174" s="205"/>
      <c r="I174" s="205" t="s">
        <v>681</v>
      </c>
      <c r="J174" s="205"/>
      <c r="K174" s="205" t="s">
        <v>1029</v>
      </c>
      <c r="L174" s="205" t="s">
        <v>1201</v>
      </c>
      <c r="M174" s="205" t="s">
        <v>1217</v>
      </c>
      <c r="N174" s="205"/>
      <c r="O174" s="205"/>
      <c r="P174" s="205"/>
      <c r="Q174" s="205"/>
      <c r="R174" s="206"/>
    </row>
    <row r="175" spans="2:18" x14ac:dyDescent="0.25">
      <c r="B175" s="204" t="s">
        <v>429</v>
      </c>
      <c r="C175" s="205" t="str">
        <f t="shared" si="2"/>
        <v>Graxa para Alceadeira   -   ( Centoplex)</v>
      </c>
      <c r="D175" s="205"/>
      <c r="E175" s="205" t="s">
        <v>680</v>
      </c>
      <c r="F175" s="205" t="s">
        <v>1017</v>
      </c>
      <c r="G175" s="205"/>
      <c r="H175" s="205"/>
      <c r="I175" s="205"/>
      <c r="J175" s="205" t="s">
        <v>710</v>
      </c>
      <c r="K175" s="205" t="s">
        <v>1029</v>
      </c>
      <c r="L175" s="205" t="s">
        <v>1201</v>
      </c>
      <c r="M175" s="205" t="s">
        <v>1217</v>
      </c>
      <c r="N175" s="205"/>
      <c r="O175" s="205"/>
      <c r="P175" s="205"/>
      <c r="Q175" s="205"/>
      <c r="R175" s="206"/>
    </row>
    <row r="176" spans="2:18" x14ac:dyDescent="0.25">
      <c r="B176" s="204" t="s">
        <v>430</v>
      </c>
      <c r="C176" s="205" t="str">
        <f t="shared" si="2"/>
        <v>Graxa para Dobradeira   -   ( Longterm)</v>
      </c>
      <c r="D176" s="205"/>
      <c r="E176" s="205" t="s">
        <v>680</v>
      </c>
      <c r="F176" s="205" t="s">
        <v>1018</v>
      </c>
      <c r="G176" s="205"/>
      <c r="H176" s="205"/>
      <c r="I176" s="205"/>
      <c r="J176" s="205" t="s">
        <v>711</v>
      </c>
      <c r="K176" s="205" t="s">
        <v>1029</v>
      </c>
      <c r="L176" s="205" t="s">
        <v>1201</v>
      </c>
      <c r="M176" s="205" t="s">
        <v>1217</v>
      </c>
      <c r="N176" s="205"/>
      <c r="O176" s="205"/>
      <c r="P176" s="205"/>
      <c r="Q176" s="205"/>
      <c r="R176" s="206"/>
    </row>
    <row r="177" spans="2:18" x14ac:dyDescent="0.25">
      <c r="B177" s="204" t="s">
        <v>431</v>
      </c>
      <c r="C177" s="205" t="str">
        <f t="shared" si="2"/>
        <v>Lâmina para Estilete   -  Estreita (9mm) ()</v>
      </c>
      <c r="D177" s="205"/>
      <c r="E177" s="205" t="s">
        <v>750</v>
      </c>
      <c r="F177" s="205" t="s">
        <v>751</v>
      </c>
      <c r="G177" s="205"/>
      <c r="H177" s="205"/>
      <c r="I177" s="205" t="s">
        <v>744</v>
      </c>
      <c r="J177" s="205"/>
      <c r="K177" s="205" t="s">
        <v>1224</v>
      </c>
      <c r="L177" s="205" t="s">
        <v>1204</v>
      </c>
      <c r="M177" s="205"/>
      <c r="N177" s="205"/>
      <c r="O177" s="205"/>
      <c r="P177" s="205"/>
      <c r="Q177" s="205"/>
      <c r="R177" s="206"/>
    </row>
    <row r="178" spans="2:18" x14ac:dyDescent="0.25">
      <c r="B178" s="204" t="s">
        <v>432</v>
      </c>
      <c r="C178" s="205" t="str">
        <f t="shared" si="2"/>
        <v>Lâmina para Estilete   -  Larga (18mm) ()</v>
      </c>
      <c r="D178" s="205"/>
      <c r="E178" s="205" t="s">
        <v>750</v>
      </c>
      <c r="F178" s="205" t="s">
        <v>751</v>
      </c>
      <c r="G178" s="205"/>
      <c r="H178" s="205"/>
      <c r="I178" s="205" t="s">
        <v>682</v>
      </c>
      <c r="J178" s="205"/>
      <c r="K178" s="205" t="s">
        <v>1224</v>
      </c>
      <c r="L178" s="205" t="s">
        <v>1204</v>
      </c>
      <c r="M178" s="205"/>
      <c r="N178" s="205"/>
      <c r="O178" s="205"/>
      <c r="P178" s="205"/>
      <c r="Q178" s="205"/>
      <c r="R178" s="206"/>
    </row>
    <row r="179" spans="2:18" x14ac:dyDescent="0.25">
      <c r="B179" s="204" t="s">
        <v>433</v>
      </c>
      <c r="C179" s="205" t="str">
        <f t="shared" si="2"/>
        <v>Lápis    - preto  ()</v>
      </c>
      <c r="D179" s="205"/>
      <c r="E179" s="205" t="s">
        <v>1119</v>
      </c>
      <c r="F179" s="205"/>
      <c r="G179" s="205"/>
      <c r="H179" s="205" t="s">
        <v>1118</v>
      </c>
      <c r="I179" s="205"/>
      <c r="J179" s="205"/>
      <c r="K179" s="205" t="s">
        <v>1224</v>
      </c>
      <c r="L179" s="205" t="s">
        <v>1204</v>
      </c>
      <c r="M179" s="205"/>
      <c r="N179" s="205"/>
      <c r="O179" s="205"/>
      <c r="P179" s="205"/>
      <c r="Q179" s="205"/>
      <c r="R179" s="206"/>
    </row>
    <row r="180" spans="2:18" x14ac:dyDescent="0.25">
      <c r="B180" s="204" t="s">
        <v>434</v>
      </c>
      <c r="C180" s="205" t="str">
        <f t="shared" si="2"/>
        <v>Limpador de chapa    -   ()</v>
      </c>
      <c r="D180" s="205"/>
      <c r="E180" s="205" t="s">
        <v>822</v>
      </c>
      <c r="F180" s="205"/>
      <c r="G180" s="205"/>
      <c r="H180" s="205"/>
      <c r="I180" s="205"/>
      <c r="J180" s="205"/>
      <c r="K180" s="205" t="s">
        <v>1029</v>
      </c>
      <c r="L180" s="205" t="s">
        <v>1208</v>
      </c>
      <c r="M180" s="205" t="s">
        <v>1022</v>
      </c>
      <c r="N180" s="205"/>
      <c r="O180" s="205"/>
      <c r="P180" s="205"/>
      <c r="Q180" s="205"/>
      <c r="R180" s="206"/>
    </row>
    <row r="181" spans="2:18" x14ac:dyDescent="0.25">
      <c r="B181" s="204" t="s">
        <v>435</v>
      </c>
      <c r="C181" s="205" t="str">
        <f t="shared" si="2"/>
        <v>Limpador de contato a seco    -   ()</v>
      </c>
      <c r="D181" s="205"/>
      <c r="E181" s="205" t="s">
        <v>823</v>
      </c>
      <c r="F181" s="205"/>
      <c r="G181" s="205"/>
      <c r="H181" s="205"/>
      <c r="I181" s="205"/>
      <c r="J181" s="205"/>
      <c r="K181" s="205" t="s">
        <v>1226</v>
      </c>
      <c r="L181" s="205" t="s">
        <v>1201</v>
      </c>
      <c r="M181" s="205" t="s">
        <v>1217</v>
      </c>
      <c r="N181" s="205"/>
      <c r="O181" s="205"/>
      <c r="P181" s="205"/>
      <c r="Q181" s="205"/>
      <c r="R181" s="206"/>
    </row>
    <row r="182" spans="2:18" x14ac:dyDescent="0.25">
      <c r="B182" s="204" t="s">
        <v>436</v>
      </c>
      <c r="C182" s="205" t="str">
        <f t="shared" si="2"/>
        <v>Limpador de rolos do sistema de revelação    -   ( Promex)</v>
      </c>
      <c r="D182" s="205"/>
      <c r="E182" s="205" t="s">
        <v>824</v>
      </c>
      <c r="F182" s="205"/>
      <c r="G182" s="205"/>
      <c r="H182" s="205"/>
      <c r="I182" s="205"/>
      <c r="J182" s="205" t="s">
        <v>712</v>
      </c>
      <c r="K182" s="205" t="s">
        <v>1225</v>
      </c>
      <c r="L182" s="205" t="s">
        <v>1201</v>
      </c>
      <c r="M182" s="205" t="s">
        <v>1212</v>
      </c>
      <c r="N182" s="205"/>
      <c r="O182" s="205"/>
      <c r="P182" s="205"/>
      <c r="Q182" s="205"/>
      <c r="R182" s="206"/>
    </row>
    <row r="183" spans="2:18" x14ac:dyDescent="0.25">
      <c r="B183" s="204" t="s">
        <v>437</v>
      </c>
      <c r="C183" s="205" t="str">
        <f t="shared" si="2"/>
        <v>Linha de nailon    - Azul  ()</v>
      </c>
      <c r="D183" s="205"/>
      <c r="E183" s="205" t="s">
        <v>825</v>
      </c>
      <c r="F183" s="205"/>
      <c r="G183" s="205"/>
      <c r="H183" s="205" t="s">
        <v>167</v>
      </c>
      <c r="I183" s="205"/>
      <c r="J183" s="205"/>
      <c r="K183" s="205" t="s">
        <v>1036</v>
      </c>
      <c r="L183" s="205" t="s">
        <v>1208</v>
      </c>
      <c r="M183" s="205" t="s">
        <v>1209</v>
      </c>
      <c r="N183" s="205"/>
      <c r="O183" s="205"/>
      <c r="P183" s="205"/>
      <c r="Q183" s="205"/>
      <c r="R183" s="206"/>
    </row>
    <row r="184" spans="2:18" x14ac:dyDescent="0.25">
      <c r="B184" s="204" t="s">
        <v>438</v>
      </c>
      <c r="C184" s="205" t="str">
        <f t="shared" si="2"/>
        <v>Linha de nailon    - Branca  ()</v>
      </c>
      <c r="D184" s="205"/>
      <c r="E184" s="205" t="s">
        <v>825</v>
      </c>
      <c r="F184" s="205"/>
      <c r="G184" s="205"/>
      <c r="H184" s="205" t="s">
        <v>683</v>
      </c>
      <c r="I184" s="205"/>
      <c r="J184" s="205"/>
      <c r="K184" s="205" t="s">
        <v>1036</v>
      </c>
      <c r="L184" s="205" t="s">
        <v>1208</v>
      </c>
      <c r="M184" s="205" t="s">
        <v>1209</v>
      </c>
      <c r="N184" s="205"/>
      <c r="O184" s="205"/>
      <c r="P184" s="205"/>
      <c r="Q184" s="205"/>
      <c r="R184" s="206"/>
    </row>
    <row r="185" spans="2:18" x14ac:dyDescent="0.25">
      <c r="B185" s="204" t="s">
        <v>439</v>
      </c>
      <c r="C185" s="205" t="str">
        <f t="shared" si="2"/>
        <v>Linha de nailon    - Preta  ()</v>
      </c>
      <c r="D185" s="205"/>
      <c r="E185" s="205" t="s">
        <v>825</v>
      </c>
      <c r="F185" s="205"/>
      <c r="G185" s="205"/>
      <c r="H185" s="205" t="s">
        <v>617</v>
      </c>
      <c r="I185" s="205"/>
      <c r="J185" s="205"/>
      <c r="K185" s="205" t="s">
        <v>1036</v>
      </c>
      <c r="L185" s="205" t="s">
        <v>1208</v>
      </c>
      <c r="M185" s="205" t="s">
        <v>1209</v>
      </c>
      <c r="N185" s="205"/>
      <c r="O185" s="205"/>
      <c r="P185" s="205"/>
      <c r="Q185" s="205"/>
      <c r="R185" s="206"/>
    </row>
    <row r="186" spans="2:18" x14ac:dyDescent="0.25">
      <c r="B186" s="204" t="s">
        <v>440</v>
      </c>
      <c r="C186" s="205" t="str">
        <f t="shared" si="2"/>
        <v>Linha de nailon    - Verde  ()</v>
      </c>
      <c r="D186" s="205"/>
      <c r="E186" s="205" t="s">
        <v>825</v>
      </c>
      <c r="F186" s="205"/>
      <c r="G186" s="205"/>
      <c r="H186" s="205" t="s">
        <v>638</v>
      </c>
      <c r="I186" s="205"/>
      <c r="J186" s="205"/>
      <c r="K186" s="205" t="s">
        <v>1036</v>
      </c>
      <c r="L186" s="205" t="s">
        <v>1208</v>
      </c>
      <c r="M186" s="205" t="s">
        <v>1209</v>
      </c>
      <c r="N186" s="205"/>
      <c r="O186" s="205"/>
      <c r="P186" s="205"/>
      <c r="Q186" s="205"/>
      <c r="R186" s="206"/>
    </row>
    <row r="187" spans="2:18" x14ac:dyDescent="0.25">
      <c r="B187" s="204" t="s">
        <v>441</v>
      </c>
      <c r="C187" s="205" t="str">
        <f t="shared" si="2"/>
        <v>Linha de nailon    - Vermelha  ()</v>
      </c>
      <c r="D187" s="205"/>
      <c r="E187" s="205" t="s">
        <v>825</v>
      </c>
      <c r="F187" s="205"/>
      <c r="G187" s="205"/>
      <c r="H187" s="205" t="s">
        <v>684</v>
      </c>
      <c r="I187" s="205"/>
      <c r="J187" s="205"/>
      <c r="K187" s="205" t="s">
        <v>1036</v>
      </c>
      <c r="L187" s="205" t="s">
        <v>1208</v>
      </c>
      <c r="M187" s="205" t="s">
        <v>1209</v>
      </c>
      <c r="N187" s="205"/>
      <c r="O187" s="205"/>
      <c r="P187" s="205"/>
      <c r="Q187" s="205"/>
      <c r="R187" s="206"/>
    </row>
    <row r="188" spans="2:18" x14ac:dyDescent="0.25">
      <c r="B188" s="204" t="s">
        <v>442</v>
      </c>
      <c r="C188" s="205" t="str">
        <f t="shared" si="2"/>
        <v>Linha de nailon    - Vinho  ()</v>
      </c>
      <c r="D188" s="205"/>
      <c r="E188" s="205" t="s">
        <v>825</v>
      </c>
      <c r="F188" s="205"/>
      <c r="G188" s="205"/>
      <c r="H188" s="205" t="s">
        <v>639</v>
      </c>
      <c r="I188" s="205"/>
      <c r="J188" s="205"/>
      <c r="K188" s="205" t="s">
        <v>1036</v>
      </c>
      <c r="L188" s="205" t="s">
        <v>1208</v>
      </c>
      <c r="M188" s="205" t="s">
        <v>1209</v>
      </c>
      <c r="N188" s="205"/>
      <c r="O188" s="205"/>
      <c r="P188" s="205"/>
      <c r="Q188" s="205"/>
      <c r="R188" s="206"/>
    </row>
    <row r="189" spans="2:18" x14ac:dyDescent="0.25">
      <c r="B189" s="204" t="s">
        <v>443</v>
      </c>
      <c r="C189" s="205" t="str">
        <f t="shared" si="2"/>
        <v>Livro Ata    -   ()</v>
      </c>
      <c r="D189" s="205"/>
      <c r="E189" s="205" t="s">
        <v>443</v>
      </c>
      <c r="F189" s="205"/>
      <c r="G189" s="205"/>
      <c r="H189" s="205"/>
      <c r="I189" s="205"/>
      <c r="J189" s="205"/>
      <c r="K189" s="205" t="s">
        <v>1224</v>
      </c>
      <c r="L189" s="205" t="s">
        <v>1204</v>
      </c>
      <c r="M189" s="205"/>
      <c r="N189" s="205"/>
      <c r="O189" s="205"/>
      <c r="P189" s="205"/>
      <c r="Q189" s="205"/>
      <c r="R189" s="206"/>
    </row>
    <row r="190" spans="2:18" x14ac:dyDescent="0.25">
      <c r="B190" s="204" t="s">
        <v>444</v>
      </c>
      <c r="C190" s="205" t="str">
        <f t="shared" si="2"/>
        <v>Livro Protocolo    -   ()</v>
      </c>
      <c r="D190" s="205"/>
      <c r="E190" s="205" t="s">
        <v>444</v>
      </c>
      <c r="F190" s="205"/>
      <c r="G190" s="205"/>
      <c r="H190" s="205"/>
      <c r="I190" s="205"/>
      <c r="J190" s="205"/>
      <c r="K190" s="205" t="s">
        <v>1224</v>
      </c>
      <c r="L190" s="205" t="s">
        <v>1204</v>
      </c>
      <c r="M190" s="205"/>
      <c r="N190" s="205"/>
      <c r="O190" s="205"/>
      <c r="P190" s="205"/>
      <c r="Q190" s="205"/>
      <c r="R190" s="206"/>
    </row>
    <row r="191" spans="2:18" x14ac:dyDescent="0.25">
      <c r="B191" s="204" t="s">
        <v>445</v>
      </c>
      <c r="C191" s="205" t="str">
        <f t="shared" si="2"/>
        <v>Manta Magnética    -   ()</v>
      </c>
      <c r="D191" s="205"/>
      <c r="E191" s="205" t="s">
        <v>445</v>
      </c>
      <c r="F191" s="205"/>
      <c r="G191" s="205"/>
      <c r="H191" s="205"/>
      <c r="I191" s="205"/>
      <c r="J191" s="205"/>
      <c r="K191" s="205" t="s">
        <v>1036</v>
      </c>
      <c r="L191" s="205" t="s">
        <v>1208</v>
      </c>
      <c r="M191" s="205" t="s">
        <v>1209</v>
      </c>
      <c r="N191" s="205"/>
      <c r="O191" s="205"/>
      <c r="P191" s="205"/>
      <c r="Q191" s="205"/>
      <c r="R191" s="206"/>
    </row>
    <row r="192" spans="2:18" x14ac:dyDescent="0.25">
      <c r="B192" s="204" t="s">
        <v>446</v>
      </c>
      <c r="C192" s="205" t="str">
        <f t="shared" si="2"/>
        <v>Massa para polir    -  n. 2 ()</v>
      </c>
      <c r="D192" s="205"/>
      <c r="E192" s="205" t="s">
        <v>826</v>
      </c>
      <c r="F192" s="205"/>
      <c r="G192" s="205"/>
      <c r="H192" s="205"/>
      <c r="I192" s="205" t="s">
        <v>685</v>
      </c>
      <c r="J192" s="205"/>
      <c r="K192" s="205" t="s">
        <v>1029</v>
      </c>
      <c r="L192" s="205" t="s">
        <v>1201</v>
      </c>
      <c r="M192" s="205" t="s">
        <v>1217</v>
      </c>
      <c r="N192" s="205"/>
      <c r="O192" s="205"/>
      <c r="P192" s="205"/>
      <c r="Q192" s="205"/>
      <c r="R192" s="206"/>
    </row>
    <row r="193" spans="2:18" x14ac:dyDescent="0.25">
      <c r="B193" s="204" t="s">
        <v>447</v>
      </c>
      <c r="C193" s="205" t="str">
        <f t="shared" si="2"/>
        <v>Mídia para Plotter Vinil Adesivo Base d'água  -   ()</v>
      </c>
      <c r="D193" s="205"/>
      <c r="E193" s="205" t="s">
        <v>713</v>
      </c>
      <c r="F193" s="205" t="s">
        <v>759</v>
      </c>
      <c r="G193" s="205" t="s">
        <v>926</v>
      </c>
      <c r="H193" s="205"/>
      <c r="I193" s="205"/>
      <c r="J193" s="205"/>
      <c r="K193" s="205" t="s">
        <v>1225</v>
      </c>
      <c r="L193" s="205" t="s">
        <v>1208</v>
      </c>
      <c r="M193" s="205" t="s">
        <v>1218</v>
      </c>
      <c r="N193" s="205"/>
      <c r="O193" s="205"/>
      <c r="P193" s="205"/>
      <c r="Q193" s="205"/>
      <c r="R193" s="206"/>
    </row>
    <row r="194" spans="2:18" x14ac:dyDescent="0.25">
      <c r="B194" s="204" t="s">
        <v>448</v>
      </c>
      <c r="C194" s="205" t="str">
        <f t="shared" ref="C194:C248" si="3">E194 &amp; " "  &amp; F194 &amp;   " " &amp; G194 &amp; " "  &amp; " - " &amp; H194 &amp; " " &amp; I194 &amp; " " &amp; "(" &amp; J194 &amp; ")"</f>
        <v>Mídia para Plotter Lona Base d'água  -   ()</v>
      </c>
      <c r="D194" s="205"/>
      <c r="E194" s="205" t="s">
        <v>713</v>
      </c>
      <c r="F194" s="205" t="s">
        <v>760</v>
      </c>
      <c r="G194" s="205" t="s">
        <v>926</v>
      </c>
      <c r="H194" s="205"/>
      <c r="I194" s="205"/>
      <c r="J194" s="205"/>
      <c r="K194" s="205" t="s">
        <v>1225</v>
      </c>
      <c r="L194" s="205" t="s">
        <v>1208</v>
      </c>
      <c r="M194" s="205" t="s">
        <v>1218</v>
      </c>
      <c r="N194" s="205"/>
      <c r="O194" s="205"/>
      <c r="P194" s="205"/>
      <c r="Q194" s="205"/>
      <c r="R194" s="206"/>
    </row>
    <row r="195" spans="2:18" x14ac:dyDescent="0.25">
      <c r="B195" s="204" t="s">
        <v>449</v>
      </c>
      <c r="C195" s="205" t="str">
        <f t="shared" si="3"/>
        <v>Mídia para Plotter Gloss 230g Base d'água  -   ()</v>
      </c>
      <c r="D195" s="205"/>
      <c r="E195" s="205" t="s">
        <v>713</v>
      </c>
      <c r="F195" s="205" t="s">
        <v>714</v>
      </c>
      <c r="G195" s="205" t="s">
        <v>926</v>
      </c>
      <c r="H195" s="205"/>
      <c r="I195" s="205"/>
      <c r="J195" s="205"/>
      <c r="K195" s="205" t="s">
        <v>1225</v>
      </c>
      <c r="L195" s="205" t="s">
        <v>1208</v>
      </c>
      <c r="M195" s="205" t="s">
        <v>1218</v>
      </c>
      <c r="N195" s="205"/>
      <c r="O195" s="205"/>
      <c r="P195" s="205"/>
      <c r="Q195" s="205"/>
      <c r="R195" s="206"/>
    </row>
    <row r="196" spans="2:18" x14ac:dyDescent="0.25">
      <c r="B196" s="204" t="s">
        <v>450</v>
      </c>
      <c r="C196" s="205" t="str">
        <f t="shared" si="3"/>
        <v>Mídia para Plotter Papel Matte 150g Base d'água  -   ()</v>
      </c>
      <c r="D196" s="205"/>
      <c r="E196" s="205" t="s">
        <v>713</v>
      </c>
      <c r="F196" s="205" t="s">
        <v>827</v>
      </c>
      <c r="G196" s="205" t="s">
        <v>926</v>
      </c>
      <c r="H196" s="205"/>
      <c r="I196" s="205"/>
      <c r="J196" s="205"/>
      <c r="K196" s="205" t="s">
        <v>1225</v>
      </c>
      <c r="L196" s="205" t="s">
        <v>1208</v>
      </c>
      <c r="M196" s="205" t="s">
        <v>1218</v>
      </c>
      <c r="N196" s="205"/>
      <c r="O196" s="205"/>
      <c r="P196" s="205"/>
      <c r="Q196" s="205"/>
      <c r="R196" s="206"/>
    </row>
    <row r="197" spans="2:18" x14ac:dyDescent="0.25">
      <c r="B197" s="204" t="s">
        <v>451</v>
      </c>
      <c r="C197" s="205" t="str">
        <f t="shared" si="3"/>
        <v>Mídia para Plotter Photo High Gloss 220g Base d'água  -   ()</v>
      </c>
      <c r="D197" s="205"/>
      <c r="E197" s="205" t="s">
        <v>713</v>
      </c>
      <c r="F197" s="205" t="s">
        <v>828</v>
      </c>
      <c r="G197" s="205" t="s">
        <v>926</v>
      </c>
      <c r="H197" s="205"/>
      <c r="I197" s="205"/>
      <c r="J197" s="205"/>
      <c r="K197" s="205" t="s">
        <v>1225</v>
      </c>
      <c r="L197" s="205" t="s">
        <v>1208</v>
      </c>
      <c r="M197" s="205" t="s">
        <v>1218</v>
      </c>
      <c r="N197" s="205"/>
      <c r="O197" s="205"/>
      <c r="P197" s="205"/>
      <c r="Q197" s="205"/>
      <c r="R197" s="206"/>
    </row>
    <row r="198" spans="2:18" x14ac:dyDescent="0.25">
      <c r="B198" s="204" t="s">
        <v>452</v>
      </c>
      <c r="C198" s="205" t="str">
        <f t="shared" si="3"/>
        <v>Mídia para Plotter Sulfite 75g/m2 Base d'água  -  0,914 x 50m ()</v>
      </c>
      <c r="D198" s="205"/>
      <c r="E198" s="205" t="s">
        <v>713</v>
      </c>
      <c r="F198" s="205" t="s">
        <v>829</v>
      </c>
      <c r="G198" s="205" t="s">
        <v>926</v>
      </c>
      <c r="H198" s="205"/>
      <c r="I198" s="205" t="s">
        <v>927</v>
      </c>
      <c r="J198" s="205"/>
      <c r="K198" s="205" t="s">
        <v>1225</v>
      </c>
      <c r="L198" s="205" t="s">
        <v>1208</v>
      </c>
      <c r="M198" s="205" t="s">
        <v>1218</v>
      </c>
      <c r="N198" s="205"/>
      <c r="O198" s="205"/>
      <c r="P198" s="205"/>
      <c r="Q198" s="205"/>
      <c r="R198" s="206"/>
    </row>
    <row r="199" spans="2:18" x14ac:dyDescent="0.25">
      <c r="B199" s="204" t="s">
        <v>453</v>
      </c>
      <c r="C199" s="205" t="str">
        <f t="shared" si="3"/>
        <v>Morim    - Branco  ()</v>
      </c>
      <c r="D199" s="205"/>
      <c r="E199" s="205" t="s">
        <v>1120</v>
      </c>
      <c r="F199" s="205"/>
      <c r="G199" s="205"/>
      <c r="H199" s="205" t="s">
        <v>41</v>
      </c>
      <c r="I199" s="205"/>
      <c r="J199" s="205"/>
      <c r="K199" s="205" t="s">
        <v>1036</v>
      </c>
      <c r="L199" s="205" t="s">
        <v>1208</v>
      </c>
      <c r="M199" s="205" t="s">
        <v>1209</v>
      </c>
      <c r="N199" s="205"/>
      <c r="O199" s="205"/>
      <c r="P199" s="205"/>
      <c r="Q199" s="205"/>
      <c r="R199" s="206"/>
    </row>
    <row r="200" spans="2:18" x14ac:dyDescent="0.25">
      <c r="B200" s="204" t="s">
        <v>454</v>
      </c>
      <c r="C200" s="205" t="str">
        <f t="shared" si="3"/>
        <v>Óleo lubrificante    -  Viscosidade 90 ( Shell)</v>
      </c>
      <c r="D200" s="205"/>
      <c r="E200" s="205" t="s">
        <v>837</v>
      </c>
      <c r="F200" s="205"/>
      <c r="G200" s="205"/>
      <c r="H200" s="205"/>
      <c r="I200" s="205" t="s">
        <v>830</v>
      </c>
      <c r="J200" s="205" t="s">
        <v>715</v>
      </c>
      <c r="K200" s="205" t="s">
        <v>1036</v>
      </c>
      <c r="L200" s="205" t="s">
        <v>1207</v>
      </c>
      <c r="M200" s="205" t="s">
        <v>1217</v>
      </c>
      <c r="N200" s="205"/>
      <c r="O200" s="205"/>
      <c r="P200" s="205"/>
      <c r="Q200" s="205"/>
      <c r="R200" s="206"/>
    </row>
    <row r="201" spans="2:18" x14ac:dyDescent="0.25">
      <c r="B201" s="204" t="s">
        <v>455</v>
      </c>
      <c r="C201" s="205" t="str">
        <f t="shared" si="3"/>
        <v>Óleo lubrificante hidráulico   -  Tellus 46 ()</v>
      </c>
      <c r="D201" s="205"/>
      <c r="E201" s="205" t="s">
        <v>837</v>
      </c>
      <c r="F201" s="205" t="s">
        <v>1121</v>
      </c>
      <c r="G201" s="205"/>
      <c r="H201" s="205"/>
      <c r="I201" s="205" t="s">
        <v>832</v>
      </c>
      <c r="J201" s="205"/>
      <c r="K201" s="205" t="s">
        <v>1036</v>
      </c>
      <c r="L201" s="205" t="s">
        <v>1207</v>
      </c>
      <c r="M201" s="205" t="s">
        <v>1217</v>
      </c>
      <c r="N201" s="205"/>
      <c r="O201" s="205"/>
      <c r="P201" s="205"/>
      <c r="Q201" s="205"/>
      <c r="R201" s="206"/>
    </row>
    <row r="202" spans="2:18" x14ac:dyDescent="0.25">
      <c r="B202" s="204" t="s">
        <v>456</v>
      </c>
      <c r="C202" s="205" t="str">
        <f t="shared" si="3"/>
        <v>Óleo lubrificante    -  Viscosidade 150 ()</v>
      </c>
      <c r="D202" s="205"/>
      <c r="E202" s="205" t="s">
        <v>837</v>
      </c>
      <c r="F202" s="205"/>
      <c r="G202" s="205"/>
      <c r="H202" s="205"/>
      <c r="I202" s="205" t="s">
        <v>831</v>
      </c>
      <c r="J202" s="205"/>
      <c r="K202" s="205" t="s">
        <v>1029</v>
      </c>
      <c r="L202" s="205" t="s">
        <v>1207</v>
      </c>
      <c r="M202" s="205" t="s">
        <v>1217</v>
      </c>
      <c r="N202" s="205"/>
      <c r="O202" s="205"/>
      <c r="P202" s="205"/>
      <c r="Q202" s="205"/>
      <c r="R202" s="206"/>
    </row>
    <row r="203" spans="2:18" x14ac:dyDescent="0.25">
      <c r="B203" s="204" t="s">
        <v>457</v>
      </c>
      <c r="C203" s="205" t="str">
        <f t="shared" si="3"/>
        <v>Óleo lubrificante    -  EGF 460 (Lubrax )</v>
      </c>
      <c r="D203" s="205"/>
      <c r="E203" s="205" t="s">
        <v>837</v>
      </c>
      <c r="F203" s="205"/>
      <c r="G203" s="205"/>
      <c r="H203" s="205"/>
      <c r="I203" s="205" t="s">
        <v>833</v>
      </c>
      <c r="J203" s="205" t="s">
        <v>716</v>
      </c>
      <c r="K203" s="205" t="s">
        <v>1029</v>
      </c>
      <c r="L203" s="205" t="s">
        <v>1207</v>
      </c>
      <c r="M203" s="205" t="s">
        <v>1217</v>
      </c>
      <c r="N203" s="205"/>
      <c r="O203" s="205"/>
      <c r="P203" s="205"/>
      <c r="Q203" s="205"/>
      <c r="R203" s="206"/>
    </row>
    <row r="204" spans="2:18" x14ac:dyDescent="0.25">
      <c r="B204" s="204" t="s">
        <v>458</v>
      </c>
      <c r="C204" s="205" t="str">
        <f t="shared" si="3"/>
        <v>Óleo lubrificante    -  MA-75 EP (Maxi Lub)</v>
      </c>
      <c r="D204" s="205"/>
      <c r="E204" s="205" t="s">
        <v>837</v>
      </c>
      <c r="F204" s="205"/>
      <c r="G204" s="205"/>
      <c r="H204" s="205"/>
      <c r="I204" s="205" t="s">
        <v>834</v>
      </c>
      <c r="J204" s="205" t="s">
        <v>835</v>
      </c>
      <c r="K204" s="205" t="s">
        <v>1029</v>
      </c>
      <c r="L204" s="205" t="s">
        <v>1207</v>
      </c>
      <c r="M204" s="205" t="s">
        <v>1217</v>
      </c>
      <c r="N204" s="205"/>
      <c r="O204" s="205"/>
      <c r="P204" s="205"/>
      <c r="Q204" s="205"/>
      <c r="R204" s="206"/>
    </row>
    <row r="205" spans="2:18" x14ac:dyDescent="0.25">
      <c r="B205" s="204" t="s">
        <v>459</v>
      </c>
      <c r="C205" s="205" t="str">
        <f t="shared" si="3"/>
        <v>Óleo lubrificante    -   ()</v>
      </c>
      <c r="D205" s="205"/>
      <c r="E205" s="205" t="s">
        <v>837</v>
      </c>
      <c r="F205" s="205"/>
      <c r="G205" s="205"/>
      <c r="H205" s="205"/>
      <c r="I205" s="205"/>
      <c r="J205" s="205"/>
      <c r="K205" s="205" t="s">
        <v>1029</v>
      </c>
      <c r="L205" s="205" t="s">
        <v>1207</v>
      </c>
      <c r="M205" s="205" t="s">
        <v>1217</v>
      </c>
      <c r="N205" s="205"/>
      <c r="O205" s="205"/>
      <c r="P205" s="205"/>
      <c r="Q205" s="205"/>
      <c r="R205" s="206"/>
    </row>
    <row r="206" spans="2:18" x14ac:dyDescent="0.25">
      <c r="B206" s="204" t="s">
        <v>460</v>
      </c>
      <c r="C206" s="205" t="str">
        <f t="shared" si="3"/>
        <v>Óleo lubrificante semi-hidráulico 10  -   ()</v>
      </c>
      <c r="D206" s="205"/>
      <c r="E206" s="205" t="s">
        <v>837</v>
      </c>
      <c r="F206" s="205" t="s">
        <v>1122</v>
      </c>
      <c r="G206" s="205">
        <v>10</v>
      </c>
      <c r="H206" s="205"/>
      <c r="I206" s="205"/>
      <c r="J206" s="205"/>
      <c r="K206" s="205" t="s">
        <v>1029</v>
      </c>
      <c r="L206" s="205" t="s">
        <v>1207</v>
      </c>
      <c r="M206" s="205" t="s">
        <v>1217</v>
      </c>
      <c r="N206" s="205"/>
      <c r="O206" s="205"/>
      <c r="P206" s="205"/>
      <c r="Q206" s="205"/>
      <c r="R206" s="206"/>
    </row>
    <row r="207" spans="2:18" x14ac:dyDescent="0.25">
      <c r="B207" s="204" t="s">
        <v>461</v>
      </c>
      <c r="C207" s="205" t="str">
        <f t="shared" si="3"/>
        <v>Pano para limpeza de máquinas   -   (Pralim)</v>
      </c>
      <c r="D207" s="205"/>
      <c r="E207" s="205" t="s">
        <v>1124</v>
      </c>
      <c r="F207" s="205" t="s">
        <v>1125</v>
      </c>
      <c r="G207" s="205"/>
      <c r="H207" s="205"/>
      <c r="I207" s="205"/>
      <c r="J207" s="205" t="s">
        <v>717</v>
      </c>
      <c r="K207" s="205" t="s">
        <v>1226</v>
      </c>
      <c r="L207" s="205" t="s">
        <v>1026</v>
      </c>
      <c r="M207" s="205" t="s">
        <v>1217</v>
      </c>
      <c r="N207" s="205"/>
      <c r="O207" s="205"/>
      <c r="P207" s="205"/>
      <c r="Q207" s="205"/>
      <c r="R207" s="206"/>
    </row>
    <row r="208" spans="2:18" x14ac:dyDescent="0.25">
      <c r="B208" s="204" t="s">
        <v>462</v>
      </c>
      <c r="C208" s="205" t="str">
        <f t="shared" si="3"/>
        <v>Papel (Sulfite) (A3 297 x 420mm)  -  75g ()</v>
      </c>
      <c r="D208" s="205"/>
      <c r="E208" s="205" t="s">
        <v>752</v>
      </c>
      <c r="F208" s="205" t="s">
        <v>1126</v>
      </c>
      <c r="G208" s="205" t="s">
        <v>1127</v>
      </c>
      <c r="H208" s="205"/>
      <c r="I208" s="205" t="s">
        <v>687</v>
      </c>
      <c r="J208" s="205"/>
      <c r="K208" s="205" t="s">
        <v>1224</v>
      </c>
      <c r="L208" s="205" t="s">
        <v>1208</v>
      </c>
      <c r="M208" s="205" t="s">
        <v>1219</v>
      </c>
      <c r="N208" s="205" t="s">
        <v>688</v>
      </c>
      <c r="O208" s="205">
        <v>500</v>
      </c>
      <c r="P208" s="205" t="s">
        <v>900</v>
      </c>
      <c r="Q208" s="205"/>
      <c r="R208" s="206"/>
    </row>
    <row r="209" spans="2:18" x14ac:dyDescent="0.25">
      <c r="B209" s="204" t="s">
        <v>463</v>
      </c>
      <c r="C209" s="205" t="str">
        <f t="shared" si="3"/>
        <v>Papel adesivo    -  170g ()</v>
      </c>
      <c r="D209" s="205"/>
      <c r="E209" s="205" t="s">
        <v>843</v>
      </c>
      <c r="F209" s="205"/>
      <c r="G209" s="205"/>
      <c r="H209" s="205"/>
      <c r="I209" s="205" t="s">
        <v>844</v>
      </c>
      <c r="J209" s="205"/>
      <c r="K209" s="205" t="s">
        <v>1229</v>
      </c>
      <c r="L209" s="205" t="s">
        <v>1208</v>
      </c>
      <c r="M209" s="205" t="s">
        <v>1219</v>
      </c>
      <c r="N209" s="205"/>
      <c r="O209" s="205"/>
      <c r="P209" s="205"/>
      <c r="Q209" s="205"/>
      <c r="R209" s="206"/>
    </row>
    <row r="210" spans="2:18" x14ac:dyDescent="0.25">
      <c r="B210" s="204" t="s">
        <v>464</v>
      </c>
      <c r="C210" s="205" t="str">
        <f t="shared" si="3"/>
        <v>Papel AP  75g BB (660 x 960mm)  -  BB (660 x 960mm) ()</v>
      </c>
      <c r="D210" s="205"/>
      <c r="E210" s="205" t="s">
        <v>752</v>
      </c>
      <c r="F210" s="205" t="s">
        <v>1128</v>
      </c>
      <c r="G210" s="205" t="s">
        <v>745</v>
      </c>
      <c r="H210" s="205"/>
      <c r="I210" s="205" t="s">
        <v>745</v>
      </c>
      <c r="J210" s="205"/>
      <c r="K210" s="205" t="s">
        <v>1229</v>
      </c>
      <c r="L210" s="205" t="s">
        <v>1208</v>
      </c>
      <c r="M210" s="205" t="s">
        <v>1219</v>
      </c>
      <c r="N210" s="205" t="s">
        <v>688</v>
      </c>
      <c r="O210" s="205">
        <v>250</v>
      </c>
      <c r="P210" s="205" t="s">
        <v>900</v>
      </c>
      <c r="Q210" s="205">
        <v>250</v>
      </c>
      <c r="R210" s="206"/>
    </row>
    <row r="211" spans="2:18" x14ac:dyDescent="0.25">
      <c r="B211" s="204" t="s">
        <v>464</v>
      </c>
      <c r="C211" s="205" t="str">
        <f t="shared" si="3"/>
        <v>Papel AP  75g   -  BB (660 x 960mm) ()</v>
      </c>
      <c r="D211" s="205"/>
      <c r="E211" s="205" t="s">
        <v>752</v>
      </c>
      <c r="F211" s="205" t="s">
        <v>1128</v>
      </c>
      <c r="G211" s="205"/>
      <c r="H211" s="205"/>
      <c r="I211" s="205" t="s">
        <v>745</v>
      </c>
      <c r="J211" s="205"/>
      <c r="K211" s="205" t="s">
        <v>1229</v>
      </c>
      <c r="L211" s="205" t="s">
        <v>1208</v>
      </c>
      <c r="M211" s="205" t="s">
        <v>1219</v>
      </c>
      <c r="N211" s="205" t="s">
        <v>688</v>
      </c>
      <c r="O211" s="205">
        <v>500</v>
      </c>
      <c r="P211" s="205" t="s">
        <v>900</v>
      </c>
      <c r="Q211" s="205">
        <v>200</v>
      </c>
      <c r="R211" s="206"/>
    </row>
    <row r="212" spans="2:18" x14ac:dyDescent="0.25">
      <c r="B212" s="204" t="s">
        <v>465</v>
      </c>
      <c r="C212" s="205" t="str">
        <f t="shared" si="3"/>
        <v>Papel AP  75g   -  BB (660 x 960mm) (Novo Rio)</v>
      </c>
      <c r="D212" s="205"/>
      <c r="E212" s="205" t="s">
        <v>752</v>
      </c>
      <c r="F212" s="205" t="s">
        <v>1128</v>
      </c>
      <c r="G212" s="205"/>
      <c r="H212" s="205"/>
      <c r="I212" s="205" t="s">
        <v>745</v>
      </c>
      <c r="J212" s="205" t="s">
        <v>1047</v>
      </c>
      <c r="K212" s="205" t="s">
        <v>1229</v>
      </c>
      <c r="L212" s="205" t="s">
        <v>1208</v>
      </c>
      <c r="M212" s="205" t="s">
        <v>1219</v>
      </c>
      <c r="N212" s="205" t="s">
        <v>688</v>
      </c>
      <c r="O212" s="205">
        <v>500</v>
      </c>
      <c r="P212" s="205" t="s">
        <v>900</v>
      </c>
      <c r="Q212" s="205"/>
      <c r="R212" s="206"/>
    </row>
    <row r="213" spans="2:18" x14ac:dyDescent="0.25">
      <c r="B213" s="204" t="s">
        <v>466</v>
      </c>
      <c r="C213" s="205" t="str">
        <f t="shared" si="3"/>
        <v>Papel AP  75g   -  AA (1120 x 760mm) (Suzano)</v>
      </c>
      <c r="D213" s="205"/>
      <c r="E213" s="205" t="s">
        <v>752</v>
      </c>
      <c r="F213" s="205" t="s">
        <v>1128</v>
      </c>
      <c r="G213" s="205"/>
      <c r="H213" s="205"/>
      <c r="I213" s="205" t="s">
        <v>746</v>
      </c>
      <c r="J213" s="205" t="s">
        <v>1048</v>
      </c>
      <c r="K213" s="205" t="s">
        <v>1229</v>
      </c>
      <c r="L213" s="205" t="s">
        <v>1208</v>
      </c>
      <c r="M213" s="205" t="s">
        <v>1219</v>
      </c>
      <c r="N213" s="205" t="s">
        <v>688</v>
      </c>
      <c r="O213" s="205">
        <v>250</v>
      </c>
      <c r="P213" s="205" t="s">
        <v>900</v>
      </c>
      <c r="Q213" s="205"/>
      <c r="R213" s="206"/>
    </row>
    <row r="214" spans="2:18" x14ac:dyDescent="0.25">
      <c r="B214" s="204" t="s">
        <v>467</v>
      </c>
      <c r="C214" s="205" t="str">
        <f t="shared" si="3"/>
        <v>Papel AP  75g   -  AA (1120 x 760mm) ()</v>
      </c>
      <c r="D214" s="205"/>
      <c r="E214" s="205" t="s">
        <v>752</v>
      </c>
      <c r="F214" s="205" t="s">
        <v>1128</v>
      </c>
      <c r="G214" s="205"/>
      <c r="H214" s="205"/>
      <c r="I214" s="205" t="s">
        <v>746</v>
      </c>
      <c r="J214" s="205"/>
      <c r="K214" s="205" t="s">
        <v>1229</v>
      </c>
      <c r="L214" s="205" t="s">
        <v>1208</v>
      </c>
      <c r="M214" s="205" t="s">
        <v>1219</v>
      </c>
      <c r="N214" s="205" t="s">
        <v>688</v>
      </c>
      <c r="O214" s="205">
        <v>500</v>
      </c>
      <c r="P214" s="205" t="s">
        <v>900</v>
      </c>
      <c r="Q214" s="205"/>
      <c r="R214" s="206"/>
    </row>
    <row r="215" spans="2:18" x14ac:dyDescent="0.25">
      <c r="B215" s="204" t="s">
        <v>468</v>
      </c>
      <c r="C215" s="205" t="str">
        <f t="shared" si="3"/>
        <v>Papel AP 90g   -  BB (660 x 960mm) ()</v>
      </c>
      <c r="D215" s="205"/>
      <c r="E215" s="205" t="s">
        <v>752</v>
      </c>
      <c r="F215" s="205" t="s">
        <v>1129</v>
      </c>
      <c r="G215" s="205"/>
      <c r="H215" s="205"/>
      <c r="I215" s="205" t="s">
        <v>745</v>
      </c>
      <c r="J215" s="205"/>
      <c r="K215" s="205" t="s">
        <v>1229</v>
      </c>
      <c r="L215" s="205" t="s">
        <v>1208</v>
      </c>
      <c r="M215" s="205" t="s">
        <v>1219</v>
      </c>
      <c r="N215" s="205" t="s">
        <v>688</v>
      </c>
      <c r="O215" s="205">
        <v>500</v>
      </c>
      <c r="P215" s="205" t="s">
        <v>900</v>
      </c>
      <c r="Q215" s="205"/>
      <c r="R215" s="206"/>
    </row>
    <row r="216" spans="2:18" x14ac:dyDescent="0.25">
      <c r="B216" s="204" t="s">
        <v>469</v>
      </c>
      <c r="C216" s="205" t="str">
        <f t="shared" si="3"/>
        <v>Papel AP 90g   -  BB (660 x 960mm) ()</v>
      </c>
      <c r="D216" s="205"/>
      <c r="E216" s="205" t="s">
        <v>752</v>
      </c>
      <c r="F216" s="205" t="s">
        <v>1129</v>
      </c>
      <c r="G216" s="205"/>
      <c r="H216" s="205"/>
      <c r="I216" s="205" t="s">
        <v>745</v>
      </c>
      <c r="J216" s="205"/>
      <c r="K216" s="205" t="s">
        <v>1229</v>
      </c>
      <c r="L216" s="205" t="s">
        <v>1208</v>
      </c>
      <c r="M216" s="205" t="s">
        <v>1219</v>
      </c>
      <c r="N216" s="205" t="s">
        <v>688</v>
      </c>
      <c r="O216" s="205">
        <v>250</v>
      </c>
      <c r="P216" s="205" t="s">
        <v>900</v>
      </c>
      <c r="Q216" s="205"/>
      <c r="R216" s="206"/>
    </row>
    <row r="217" spans="2:18" x14ac:dyDescent="0.25">
      <c r="B217" s="204" t="s">
        <v>470</v>
      </c>
      <c r="C217" s="205" t="str">
        <f t="shared" si="3"/>
        <v>Papel AP 90g   -  AA (1120 x 760mm) ()</v>
      </c>
      <c r="D217" s="205"/>
      <c r="E217" s="205" t="s">
        <v>752</v>
      </c>
      <c r="F217" s="205" t="s">
        <v>1129</v>
      </c>
      <c r="G217" s="205"/>
      <c r="H217" s="205"/>
      <c r="I217" s="205" t="s">
        <v>746</v>
      </c>
      <c r="J217" s="205"/>
      <c r="K217" s="205" t="s">
        <v>1229</v>
      </c>
      <c r="L217" s="205" t="s">
        <v>1208</v>
      </c>
      <c r="M217" s="205" t="s">
        <v>1219</v>
      </c>
      <c r="N217" s="205" t="s">
        <v>688</v>
      </c>
      <c r="O217" s="205">
        <v>250</v>
      </c>
      <c r="P217" s="205" t="s">
        <v>900</v>
      </c>
      <c r="Q217" s="205"/>
      <c r="R217" s="206"/>
    </row>
    <row r="218" spans="2:18" x14ac:dyDescent="0.25">
      <c r="B218" s="204" t="s">
        <v>471</v>
      </c>
      <c r="C218" s="205" t="str">
        <f t="shared" si="3"/>
        <v>Papel AP 120g   -   ()</v>
      </c>
      <c r="D218" s="205"/>
      <c r="E218" s="205" t="s">
        <v>752</v>
      </c>
      <c r="F218" s="205" t="s">
        <v>1130</v>
      </c>
      <c r="G218" s="205"/>
      <c r="H218" s="205"/>
      <c r="I218" s="205"/>
      <c r="J218" s="205"/>
      <c r="K218" s="205" t="s">
        <v>1229</v>
      </c>
      <c r="L218" s="205" t="s">
        <v>1208</v>
      </c>
      <c r="M218" s="205" t="s">
        <v>1219</v>
      </c>
      <c r="N218" s="205" t="s">
        <v>688</v>
      </c>
      <c r="O218" s="205">
        <v>250</v>
      </c>
      <c r="P218" s="205" t="s">
        <v>900</v>
      </c>
      <c r="Q218" s="205"/>
      <c r="R218" s="206"/>
    </row>
    <row r="219" spans="2:18" x14ac:dyDescent="0.25">
      <c r="B219" s="204" t="s">
        <v>472</v>
      </c>
      <c r="C219" s="205" t="str">
        <f t="shared" si="3"/>
        <v>Papel AP 150g   -   ()</v>
      </c>
      <c r="D219" s="205"/>
      <c r="E219" s="205" t="s">
        <v>752</v>
      </c>
      <c r="F219" s="205" t="s">
        <v>1131</v>
      </c>
      <c r="G219" s="205"/>
      <c r="H219" s="205"/>
      <c r="I219" s="205"/>
      <c r="J219" s="205"/>
      <c r="K219" s="205" t="s">
        <v>1229</v>
      </c>
      <c r="L219" s="205" t="s">
        <v>1208</v>
      </c>
      <c r="M219" s="205" t="s">
        <v>1219</v>
      </c>
      <c r="N219" s="205" t="s">
        <v>688</v>
      </c>
      <c r="O219" s="205">
        <v>250</v>
      </c>
      <c r="P219" s="205" t="s">
        <v>900</v>
      </c>
      <c r="Q219" s="205"/>
      <c r="R219" s="206"/>
    </row>
    <row r="220" spans="2:18" x14ac:dyDescent="0.25">
      <c r="B220" s="204" t="s">
        <v>473</v>
      </c>
      <c r="C220" s="205" t="str">
        <f t="shared" si="3"/>
        <v>Papel AP 180g   -  BB (660 x 960mm) ()</v>
      </c>
      <c r="D220" s="205"/>
      <c r="E220" s="205" t="s">
        <v>752</v>
      </c>
      <c r="F220" s="205" t="s">
        <v>1132</v>
      </c>
      <c r="G220" s="205"/>
      <c r="H220" s="205"/>
      <c r="I220" s="205" t="s">
        <v>745</v>
      </c>
      <c r="J220" s="205"/>
      <c r="K220" s="205" t="s">
        <v>1230</v>
      </c>
      <c r="L220" s="205" t="s">
        <v>1208</v>
      </c>
      <c r="M220" s="205" t="s">
        <v>1219</v>
      </c>
      <c r="N220" s="205" t="s">
        <v>688</v>
      </c>
      <c r="O220" s="205">
        <v>250</v>
      </c>
      <c r="P220" s="205" t="s">
        <v>900</v>
      </c>
      <c r="Q220" s="205"/>
      <c r="R220" s="206"/>
    </row>
    <row r="221" spans="2:18" x14ac:dyDescent="0.25">
      <c r="B221" s="204" t="s">
        <v>474</v>
      </c>
      <c r="C221" s="205" t="str">
        <f t="shared" si="3"/>
        <v>Papel AP 240g   -  BB (660 x 960mm) ()</v>
      </c>
      <c r="D221" s="205"/>
      <c r="E221" s="205" t="s">
        <v>752</v>
      </c>
      <c r="F221" s="205" t="s">
        <v>1133</v>
      </c>
      <c r="G221" s="205"/>
      <c r="H221" s="205"/>
      <c r="I221" s="205" t="s">
        <v>745</v>
      </c>
      <c r="J221" s="205"/>
      <c r="K221" s="205" t="s">
        <v>1230</v>
      </c>
      <c r="L221" s="205" t="s">
        <v>1208</v>
      </c>
      <c r="M221" s="205" t="s">
        <v>1219</v>
      </c>
      <c r="N221" s="205" t="s">
        <v>688</v>
      </c>
      <c r="O221" s="205">
        <v>100</v>
      </c>
      <c r="P221" s="205" t="s">
        <v>900</v>
      </c>
      <c r="Q221" s="205"/>
      <c r="R221" s="206"/>
    </row>
    <row r="222" spans="2:18" x14ac:dyDescent="0.25">
      <c r="B222" s="204" t="s">
        <v>475</v>
      </c>
      <c r="C222" s="205" t="str">
        <f t="shared" si="3"/>
        <v>Papel AP 240g   -  BB (660 x 960mm) ()</v>
      </c>
      <c r="D222" s="205"/>
      <c r="E222" s="205" t="s">
        <v>752</v>
      </c>
      <c r="F222" s="205" t="s">
        <v>1133</v>
      </c>
      <c r="G222" s="205"/>
      <c r="H222" s="205"/>
      <c r="I222" s="205" t="s">
        <v>745</v>
      </c>
      <c r="J222" s="205"/>
      <c r="K222" s="205" t="s">
        <v>1230</v>
      </c>
      <c r="L222" s="205" t="s">
        <v>1208</v>
      </c>
      <c r="M222" s="205" t="s">
        <v>1219</v>
      </c>
      <c r="N222" s="205" t="s">
        <v>688</v>
      </c>
      <c r="O222" s="205">
        <v>150</v>
      </c>
      <c r="P222" s="205" t="s">
        <v>900</v>
      </c>
      <c r="Q222" s="205"/>
      <c r="R222" s="206"/>
    </row>
    <row r="223" spans="2:18" x14ac:dyDescent="0.25">
      <c r="B223" s="204" t="s">
        <v>476</v>
      </c>
      <c r="C223" s="205" t="str">
        <f t="shared" si="3"/>
        <v>Papel Autocopiativo CB  -   ()</v>
      </c>
      <c r="D223" s="205"/>
      <c r="E223" s="205" t="s">
        <v>752</v>
      </c>
      <c r="F223" s="205" t="s">
        <v>1134</v>
      </c>
      <c r="G223" s="205" t="s">
        <v>1135</v>
      </c>
      <c r="H223" s="205"/>
      <c r="I223" s="205"/>
      <c r="J223" s="205"/>
      <c r="K223" s="205" t="s">
        <v>1229</v>
      </c>
      <c r="L223" s="205" t="s">
        <v>1208</v>
      </c>
      <c r="M223" s="205" t="s">
        <v>1219</v>
      </c>
      <c r="N223" s="205"/>
      <c r="O223" s="205"/>
      <c r="P223" s="205"/>
      <c r="Q223" s="205"/>
      <c r="R223" s="206"/>
    </row>
    <row r="224" spans="2:18" x14ac:dyDescent="0.25">
      <c r="B224" s="204" t="s">
        <v>477</v>
      </c>
      <c r="C224" s="205" t="str">
        <f t="shared" si="3"/>
        <v>Papel Autocopiativo CF  -   ()</v>
      </c>
      <c r="D224" s="205"/>
      <c r="E224" s="205" t="s">
        <v>752</v>
      </c>
      <c r="F224" s="205" t="s">
        <v>1134</v>
      </c>
      <c r="G224" s="205" t="s">
        <v>1136</v>
      </c>
      <c r="H224" s="205"/>
      <c r="I224" s="205"/>
      <c r="J224" s="205"/>
      <c r="K224" s="205" t="s">
        <v>1229</v>
      </c>
      <c r="L224" s="205" t="s">
        <v>1208</v>
      </c>
      <c r="M224" s="205" t="s">
        <v>1219</v>
      </c>
      <c r="N224" s="205"/>
      <c r="O224" s="205"/>
      <c r="P224" s="205"/>
      <c r="Q224" s="205"/>
      <c r="R224" s="206"/>
    </row>
    <row r="225" spans="2:18" x14ac:dyDescent="0.25">
      <c r="B225" s="204" t="s">
        <v>478</v>
      </c>
      <c r="C225" s="205" t="str">
        <f t="shared" si="3"/>
        <v>Papel  Cartolina 150g 500 x 660  - Cor Ouro  ()</v>
      </c>
      <c r="D225" s="205"/>
      <c r="E225" s="205" t="s">
        <v>686</v>
      </c>
      <c r="F225" s="205" t="s">
        <v>1141</v>
      </c>
      <c r="G225" s="205" t="s">
        <v>1046</v>
      </c>
      <c r="H225" s="205" t="s">
        <v>1137</v>
      </c>
      <c r="I225" s="205"/>
      <c r="J225" s="205"/>
      <c r="K225" s="205" t="s">
        <v>1229</v>
      </c>
      <c r="L225" s="205" t="s">
        <v>1208</v>
      </c>
      <c r="M225" s="205" t="s">
        <v>1219</v>
      </c>
      <c r="N225" s="205" t="s">
        <v>688</v>
      </c>
      <c r="O225" s="205">
        <v>50</v>
      </c>
      <c r="P225" s="205" t="s">
        <v>900</v>
      </c>
      <c r="Q225" s="205"/>
      <c r="R225" s="206"/>
    </row>
    <row r="226" spans="2:18" x14ac:dyDescent="0.25">
      <c r="B226" s="204" t="s">
        <v>479</v>
      </c>
      <c r="C226" s="205" t="str">
        <f t="shared" si="3"/>
        <v>Papel Cartolina 180g   - Cor Palha  ()</v>
      </c>
      <c r="D226" s="205"/>
      <c r="E226" s="205" t="s">
        <v>752</v>
      </c>
      <c r="F226" s="205" t="s">
        <v>1142</v>
      </c>
      <c r="G226" s="205"/>
      <c r="H226" s="205" t="s">
        <v>1138</v>
      </c>
      <c r="I226" s="205"/>
      <c r="J226" s="205"/>
      <c r="K226" s="205" t="s">
        <v>1229</v>
      </c>
      <c r="L226" s="205" t="s">
        <v>1208</v>
      </c>
      <c r="M226" s="205" t="s">
        <v>1219</v>
      </c>
      <c r="N226" s="205"/>
      <c r="O226" s="205"/>
      <c r="P226" s="205"/>
      <c r="Q226" s="205"/>
      <c r="R226" s="206"/>
    </row>
    <row r="227" spans="2:18" x14ac:dyDescent="0.25">
      <c r="B227" s="204" t="s">
        <v>480</v>
      </c>
      <c r="C227" s="205" t="str">
        <f t="shared" si="3"/>
        <v>Papel Casca de Ovo 240g   -   ()</v>
      </c>
      <c r="D227" s="205"/>
      <c r="E227" s="205" t="s">
        <v>752</v>
      </c>
      <c r="F227" s="205" t="s">
        <v>1143</v>
      </c>
      <c r="G227" s="205"/>
      <c r="H227" s="205"/>
      <c r="I227" s="205"/>
      <c r="J227" s="205"/>
      <c r="K227" s="205" t="s">
        <v>1229</v>
      </c>
      <c r="L227" s="205" t="s">
        <v>1208</v>
      </c>
      <c r="M227" s="205" t="s">
        <v>1219</v>
      </c>
      <c r="N227" s="205"/>
      <c r="O227" s="205"/>
      <c r="P227" s="205"/>
      <c r="Q227" s="205"/>
      <c r="R227" s="206"/>
    </row>
    <row r="228" spans="2:18" x14ac:dyDescent="0.25">
      <c r="B228" s="204" t="s">
        <v>481</v>
      </c>
      <c r="C228" s="205" t="str">
        <f t="shared" si="3"/>
        <v>Papel Couchê Brilho 115g   -   ()</v>
      </c>
      <c r="D228" s="205"/>
      <c r="E228" s="205" t="s">
        <v>752</v>
      </c>
      <c r="F228" s="205" t="s">
        <v>1144</v>
      </c>
      <c r="G228" s="205"/>
      <c r="H228" s="205"/>
      <c r="I228" s="205"/>
      <c r="J228" s="205"/>
      <c r="K228" s="205" t="s">
        <v>1229</v>
      </c>
      <c r="L228" s="205" t="s">
        <v>1208</v>
      </c>
      <c r="M228" s="205" t="s">
        <v>1219</v>
      </c>
      <c r="N228" s="205" t="s">
        <v>688</v>
      </c>
      <c r="O228" s="205">
        <v>250</v>
      </c>
      <c r="P228" s="205" t="s">
        <v>900</v>
      </c>
      <c r="Q228" s="205"/>
      <c r="R228" s="206"/>
    </row>
    <row r="229" spans="2:18" x14ac:dyDescent="0.25">
      <c r="B229" s="204" t="s">
        <v>482</v>
      </c>
      <c r="C229" s="205" t="str">
        <f t="shared" si="3"/>
        <v>Papel Couchê Fosco 90g   -   ()</v>
      </c>
      <c r="D229" s="205"/>
      <c r="E229" s="205" t="s">
        <v>752</v>
      </c>
      <c r="F229" s="205" t="s">
        <v>1145</v>
      </c>
      <c r="G229" s="205"/>
      <c r="H229" s="205"/>
      <c r="I229" s="205"/>
      <c r="J229" s="205"/>
      <c r="K229" s="205" t="s">
        <v>1229</v>
      </c>
      <c r="L229" s="205" t="s">
        <v>1208</v>
      </c>
      <c r="M229" s="205" t="s">
        <v>1219</v>
      </c>
      <c r="N229" s="205" t="s">
        <v>688</v>
      </c>
      <c r="O229" s="205">
        <v>500</v>
      </c>
      <c r="P229" s="205" t="s">
        <v>900</v>
      </c>
      <c r="Q229" s="205"/>
      <c r="R229" s="206"/>
    </row>
    <row r="230" spans="2:18" x14ac:dyDescent="0.25">
      <c r="B230" s="204" t="s">
        <v>483</v>
      </c>
      <c r="C230" s="205" t="str">
        <f t="shared" si="3"/>
        <v>Papel Couchê Fosco 115g   -   ()</v>
      </c>
      <c r="D230" s="205"/>
      <c r="E230" s="205" t="s">
        <v>752</v>
      </c>
      <c r="F230" s="205" t="s">
        <v>1146</v>
      </c>
      <c r="G230" s="205"/>
      <c r="H230" s="205"/>
      <c r="I230" s="205"/>
      <c r="J230" s="205"/>
      <c r="K230" s="205" t="s">
        <v>1229</v>
      </c>
      <c r="L230" s="205" t="s">
        <v>1208</v>
      </c>
      <c r="M230" s="205" t="s">
        <v>1219</v>
      </c>
      <c r="N230" s="205" t="s">
        <v>688</v>
      </c>
      <c r="O230" s="205">
        <v>250</v>
      </c>
      <c r="P230" s="205" t="s">
        <v>900</v>
      </c>
      <c r="Q230" s="205"/>
      <c r="R230" s="206"/>
    </row>
    <row r="231" spans="2:18" x14ac:dyDescent="0.25">
      <c r="B231" s="204" t="s">
        <v>484</v>
      </c>
      <c r="C231" s="205" t="str">
        <f t="shared" si="3"/>
        <v>Papel Couchê Fosco 170g   -   ()</v>
      </c>
      <c r="D231" s="205"/>
      <c r="E231" s="205" t="s">
        <v>752</v>
      </c>
      <c r="F231" s="205" t="s">
        <v>1147</v>
      </c>
      <c r="G231" s="205"/>
      <c r="H231" s="205"/>
      <c r="I231" s="205"/>
      <c r="J231" s="205"/>
      <c r="K231" s="205" t="s">
        <v>1229</v>
      </c>
      <c r="L231" s="205" t="s">
        <v>1208</v>
      </c>
      <c r="M231" s="205" t="s">
        <v>1219</v>
      </c>
      <c r="N231" s="205" t="s">
        <v>688</v>
      </c>
      <c r="O231" s="205">
        <v>250</v>
      </c>
      <c r="P231" s="205" t="s">
        <v>900</v>
      </c>
      <c r="Q231" s="205"/>
      <c r="R231" s="206"/>
    </row>
    <row r="232" spans="2:18" x14ac:dyDescent="0.25">
      <c r="B232" s="204" t="s">
        <v>485</v>
      </c>
      <c r="C232" s="205" t="str">
        <f t="shared" si="3"/>
        <v>Papel Couchê Fosco 250g   -   ()</v>
      </c>
      <c r="D232" s="205"/>
      <c r="E232" s="205" t="s">
        <v>752</v>
      </c>
      <c r="F232" s="205" t="s">
        <v>1148</v>
      </c>
      <c r="G232" s="205"/>
      <c r="H232" s="205"/>
      <c r="I232" s="205"/>
      <c r="J232" s="205"/>
      <c r="K232" s="205" t="s">
        <v>1229</v>
      </c>
      <c r="L232" s="205" t="s">
        <v>1208</v>
      </c>
      <c r="M232" s="205" t="s">
        <v>1219</v>
      </c>
      <c r="N232" s="205" t="s">
        <v>688</v>
      </c>
      <c r="O232" s="205">
        <v>125</v>
      </c>
      <c r="P232" s="205" t="s">
        <v>900</v>
      </c>
      <c r="Q232" s="205"/>
      <c r="R232" s="206"/>
    </row>
    <row r="233" spans="2:18" x14ac:dyDescent="0.25">
      <c r="B233" s="204" t="s">
        <v>486</v>
      </c>
      <c r="C233" s="205" t="str">
        <f t="shared" si="3"/>
        <v>Papel Couchê Fosco 300g   -   ()</v>
      </c>
      <c r="D233" s="205"/>
      <c r="E233" s="205" t="s">
        <v>752</v>
      </c>
      <c r="F233" s="205" t="s">
        <v>1149</v>
      </c>
      <c r="G233" s="205"/>
      <c r="H233" s="205"/>
      <c r="I233" s="205"/>
      <c r="J233" s="205"/>
      <c r="K233" s="205" t="s">
        <v>1229</v>
      </c>
      <c r="L233" s="205" t="s">
        <v>1208</v>
      </c>
      <c r="M233" s="205" t="s">
        <v>1219</v>
      </c>
      <c r="N233" s="205" t="s">
        <v>688</v>
      </c>
      <c r="O233" s="205">
        <v>125</v>
      </c>
      <c r="P233" s="205" t="s">
        <v>900</v>
      </c>
      <c r="Q233" s="205"/>
      <c r="R233" s="206"/>
    </row>
    <row r="234" spans="2:18" x14ac:dyDescent="0.25">
      <c r="B234" s="204" t="s">
        <v>487</v>
      </c>
      <c r="C234" s="205" t="str">
        <f t="shared" si="3"/>
        <v>Papel Kraft Natural 120g   -   ()</v>
      </c>
      <c r="D234" s="205"/>
      <c r="E234" s="205" t="s">
        <v>752</v>
      </c>
      <c r="F234" s="205" t="s">
        <v>1150</v>
      </c>
      <c r="G234" s="205"/>
      <c r="H234" s="205"/>
      <c r="I234" s="205"/>
      <c r="J234" s="205"/>
      <c r="K234" s="205" t="s">
        <v>1036</v>
      </c>
      <c r="L234" s="205" t="s">
        <v>1208</v>
      </c>
      <c r="M234" s="205" t="s">
        <v>1219</v>
      </c>
      <c r="N234" s="205" t="s">
        <v>688</v>
      </c>
      <c r="O234" s="205">
        <v>250</v>
      </c>
      <c r="P234" s="205" t="s">
        <v>900</v>
      </c>
      <c r="Q234" s="205"/>
      <c r="R234" s="206"/>
    </row>
    <row r="235" spans="2:18" x14ac:dyDescent="0.25">
      <c r="B235" s="204" t="s">
        <v>488</v>
      </c>
      <c r="C235" s="205" t="str">
        <f t="shared" si="3"/>
        <v>Papel Kraft Natural 300g   -   ()</v>
      </c>
      <c r="D235" s="205"/>
      <c r="E235" s="205" t="s">
        <v>752</v>
      </c>
      <c r="F235" s="205" t="s">
        <v>1151</v>
      </c>
      <c r="G235" s="205"/>
      <c r="H235" s="205"/>
      <c r="I235" s="205"/>
      <c r="J235" s="205"/>
      <c r="K235" s="205" t="s">
        <v>1029</v>
      </c>
      <c r="L235" s="205" t="s">
        <v>1208</v>
      </c>
      <c r="M235" s="205" t="s">
        <v>1219</v>
      </c>
      <c r="N235" s="205" t="s">
        <v>688</v>
      </c>
      <c r="O235" s="205">
        <v>100</v>
      </c>
      <c r="P235" s="205" t="s">
        <v>900</v>
      </c>
      <c r="Q235" s="205"/>
      <c r="R235" s="206"/>
    </row>
    <row r="236" spans="2:18" x14ac:dyDescent="0.25">
      <c r="B236" s="204" t="s">
        <v>489</v>
      </c>
      <c r="C236" s="205" t="str">
        <f t="shared" si="3"/>
        <v>Papel Linho 180g   -   ()</v>
      </c>
      <c r="D236" s="205"/>
      <c r="E236" s="205" t="s">
        <v>752</v>
      </c>
      <c r="F236" s="205" t="s">
        <v>1152</v>
      </c>
      <c r="G236" s="205"/>
      <c r="H236" s="205"/>
      <c r="I236" s="205"/>
      <c r="J236" s="205"/>
      <c r="K236" s="205" t="s">
        <v>1229</v>
      </c>
      <c r="L236" s="205" t="s">
        <v>1208</v>
      </c>
      <c r="M236" s="205" t="s">
        <v>1219</v>
      </c>
      <c r="N236" s="205"/>
      <c r="O236" s="205"/>
      <c r="P236" s="205"/>
      <c r="Q236" s="205"/>
      <c r="R236" s="206"/>
    </row>
    <row r="237" spans="2:18" x14ac:dyDescent="0.25">
      <c r="B237" s="204" t="s">
        <v>490</v>
      </c>
      <c r="C237" s="205" t="str">
        <f t="shared" si="3"/>
        <v>Papel para Xerox   -  Oficio II  ()</v>
      </c>
      <c r="D237" s="205"/>
      <c r="E237" s="205" t="s">
        <v>752</v>
      </c>
      <c r="F237" s="205" t="s">
        <v>1139</v>
      </c>
      <c r="G237" s="205"/>
      <c r="H237" s="205"/>
      <c r="I237" s="205" t="s">
        <v>1140</v>
      </c>
      <c r="J237" s="205"/>
      <c r="K237" s="205" t="s">
        <v>1224</v>
      </c>
      <c r="L237" s="205" t="s">
        <v>1208</v>
      </c>
      <c r="M237" s="205" t="s">
        <v>1219</v>
      </c>
      <c r="N237" s="205"/>
      <c r="O237" s="205"/>
      <c r="P237" s="205"/>
      <c r="Q237" s="205"/>
      <c r="R237" s="206"/>
    </row>
    <row r="238" spans="2:18" x14ac:dyDescent="0.25">
      <c r="B238" s="204" t="s">
        <v>491</v>
      </c>
      <c r="C238" s="205" t="str">
        <f t="shared" si="3"/>
        <v>Papel para Xerox 75g  -  A4 ()</v>
      </c>
      <c r="D238" s="205"/>
      <c r="E238" s="205" t="s">
        <v>752</v>
      </c>
      <c r="F238" s="205" t="s">
        <v>1139</v>
      </c>
      <c r="G238" s="205" t="s">
        <v>687</v>
      </c>
      <c r="H238" s="205"/>
      <c r="I238" s="205" t="s">
        <v>1153</v>
      </c>
      <c r="J238" s="205"/>
      <c r="K238" s="205" t="s">
        <v>1224</v>
      </c>
      <c r="L238" s="205" t="s">
        <v>1208</v>
      </c>
      <c r="M238" s="205" t="s">
        <v>1219</v>
      </c>
      <c r="N238" s="205"/>
      <c r="O238" s="205"/>
      <c r="P238" s="205"/>
      <c r="Q238" s="205"/>
      <c r="R238" s="206"/>
    </row>
    <row r="239" spans="2:18" x14ac:dyDescent="0.25">
      <c r="B239" s="204" t="s">
        <v>492</v>
      </c>
      <c r="C239" s="205" t="str">
        <f t="shared" si="3"/>
        <v>Papel para Xerox   - Verde  ()</v>
      </c>
      <c r="D239" s="205"/>
      <c r="E239" s="205" t="s">
        <v>752</v>
      </c>
      <c r="F239" s="205" t="s">
        <v>1139</v>
      </c>
      <c r="G239" s="205"/>
      <c r="H239" s="205" t="s">
        <v>638</v>
      </c>
      <c r="I239" s="205"/>
      <c r="J239" s="205"/>
      <c r="K239" s="205" t="s">
        <v>1224</v>
      </c>
      <c r="L239" s="205" t="s">
        <v>1208</v>
      </c>
      <c r="M239" s="205" t="s">
        <v>1219</v>
      </c>
      <c r="N239" s="205"/>
      <c r="O239" s="205"/>
      <c r="P239" s="205"/>
      <c r="Q239" s="205"/>
      <c r="R239" s="206"/>
    </row>
    <row r="240" spans="2:18" x14ac:dyDescent="0.25">
      <c r="B240" s="204" t="s">
        <v>493</v>
      </c>
      <c r="C240" s="205" t="str">
        <f t="shared" si="3"/>
        <v>Papel Reciclado 90g  -  AA (1120 x 760mm) ()</v>
      </c>
      <c r="D240" s="205"/>
      <c r="E240" s="205" t="s">
        <v>752</v>
      </c>
      <c r="F240" s="205" t="s">
        <v>944</v>
      </c>
      <c r="G240" s="205" t="s">
        <v>845</v>
      </c>
      <c r="H240" s="205"/>
      <c r="I240" s="205" t="s">
        <v>746</v>
      </c>
      <c r="J240" s="205"/>
      <c r="K240" s="205" t="s">
        <v>1229</v>
      </c>
      <c r="L240" s="205" t="s">
        <v>1208</v>
      </c>
      <c r="M240" s="205" t="s">
        <v>1219</v>
      </c>
      <c r="N240" s="205" t="s">
        <v>688</v>
      </c>
      <c r="O240" s="205">
        <v>250</v>
      </c>
      <c r="P240" s="205" t="s">
        <v>900</v>
      </c>
      <c r="Q240" s="205"/>
      <c r="R240" s="206"/>
    </row>
    <row r="241" spans="2:18" x14ac:dyDescent="0.25">
      <c r="B241" s="204" t="s">
        <v>494</v>
      </c>
      <c r="C241" s="205" t="str">
        <f t="shared" si="3"/>
        <v>Papel Reciclado 150g  -   ()</v>
      </c>
      <c r="D241" s="205"/>
      <c r="E241" s="205" t="s">
        <v>752</v>
      </c>
      <c r="F241" s="205" t="s">
        <v>944</v>
      </c>
      <c r="G241" s="205" t="s">
        <v>929</v>
      </c>
      <c r="H241" s="205"/>
      <c r="I241" s="205"/>
      <c r="J241" s="205"/>
      <c r="K241" s="205" t="s">
        <v>1229</v>
      </c>
      <c r="L241" s="205" t="s">
        <v>1208</v>
      </c>
      <c r="M241" s="205" t="s">
        <v>1219</v>
      </c>
      <c r="N241" s="205"/>
      <c r="O241" s="205"/>
      <c r="P241" s="205"/>
      <c r="Q241" s="205"/>
      <c r="R241" s="206"/>
    </row>
    <row r="242" spans="2:18" x14ac:dyDescent="0.25">
      <c r="B242" s="204" t="s">
        <v>495</v>
      </c>
      <c r="C242" s="205" t="str">
        <f t="shared" si="3"/>
        <v>Papel Reciclado 180g  -   ()</v>
      </c>
      <c r="D242" s="205"/>
      <c r="E242" s="205" t="s">
        <v>752</v>
      </c>
      <c r="F242" s="205" t="s">
        <v>944</v>
      </c>
      <c r="G242" s="205" t="s">
        <v>930</v>
      </c>
      <c r="H242" s="205"/>
      <c r="I242" s="205"/>
      <c r="J242" s="205"/>
      <c r="K242" s="205" t="s">
        <v>1229</v>
      </c>
      <c r="L242" s="205" t="s">
        <v>1208</v>
      </c>
      <c r="M242" s="205" t="s">
        <v>1219</v>
      </c>
      <c r="N242" s="205" t="s">
        <v>688</v>
      </c>
      <c r="O242" s="205">
        <v>125</v>
      </c>
      <c r="P242" s="205" t="s">
        <v>900</v>
      </c>
      <c r="Q242" s="205"/>
      <c r="R242" s="206"/>
    </row>
    <row r="243" spans="2:18" x14ac:dyDescent="0.25">
      <c r="B243" s="204" t="s">
        <v>496</v>
      </c>
      <c r="C243" s="205" t="str">
        <f t="shared" si="3"/>
        <v>Papel Reciclado 180g  -   ()</v>
      </c>
      <c r="D243" s="205"/>
      <c r="E243" s="205" t="s">
        <v>752</v>
      </c>
      <c r="F243" s="205" t="s">
        <v>944</v>
      </c>
      <c r="G243" s="205" t="s">
        <v>930</v>
      </c>
      <c r="H243" s="205"/>
      <c r="I243" s="205"/>
      <c r="J243" s="205"/>
      <c r="K243" s="205" t="s">
        <v>1229</v>
      </c>
      <c r="L243" s="205" t="s">
        <v>1208</v>
      </c>
      <c r="M243" s="205" t="s">
        <v>1219</v>
      </c>
      <c r="N243" s="205" t="s">
        <v>688</v>
      </c>
      <c r="O243" s="205">
        <v>250</v>
      </c>
      <c r="P243" s="205" t="s">
        <v>900</v>
      </c>
      <c r="Q243" s="205"/>
      <c r="R243" s="206"/>
    </row>
    <row r="244" spans="2:18" x14ac:dyDescent="0.25">
      <c r="B244" s="204" t="s">
        <v>497</v>
      </c>
      <c r="C244" s="205" t="str">
        <f t="shared" si="3"/>
        <v>Papel Reciclado 75g  -  BB (660 x 960mm) (75g)</v>
      </c>
      <c r="D244" s="205"/>
      <c r="E244" s="205" t="s">
        <v>752</v>
      </c>
      <c r="F244" s="205" t="s">
        <v>944</v>
      </c>
      <c r="G244" s="205" t="s">
        <v>687</v>
      </c>
      <c r="H244" s="205"/>
      <c r="I244" s="205" t="s">
        <v>745</v>
      </c>
      <c r="J244" s="205" t="s">
        <v>687</v>
      </c>
      <c r="K244" s="205" t="s">
        <v>1229</v>
      </c>
      <c r="L244" s="205" t="s">
        <v>1208</v>
      </c>
      <c r="M244" s="205" t="s">
        <v>1219</v>
      </c>
      <c r="N244" s="205" t="s">
        <v>688</v>
      </c>
      <c r="O244" s="205">
        <v>500</v>
      </c>
      <c r="P244" s="205" t="s">
        <v>900</v>
      </c>
      <c r="Q244" s="205"/>
      <c r="R244" s="206"/>
    </row>
    <row r="245" spans="2:18" x14ac:dyDescent="0.25">
      <c r="B245" s="204" t="s">
        <v>498</v>
      </c>
      <c r="C245" s="205" t="str">
        <f t="shared" si="3"/>
        <v>Papel Supremo Alta Alvura 300g  -   ()</v>
      </c>
      <c r="D245" s="205"/>
      <c r="E245" s="205" t="s">
        <v>752</v>
      </c>
      <c r="F245" s="205" t="s">
        <v>945</v>
      </c>
      <c r="G245" s="205" t="s">
        <v>941</v>
      </c>
      <c r="H245" s="205"/>
      <c r="I245" s="205"/>
      <c r="J245" s="205"/>
      <c r="K245" s="205" t="s">
        <v>1230</v>
      </c>
      <c r="L245" s="205" t="s">
        <v>1208</v>
      </c>
      <c r="M245" s="205" t="s">
        <v>1219</v>
      </c>
      <c r="N245" s="205"/>
      <c r="O245" s="205"/>
      <c r="P245" s="205"/>
      <c r="Q245" s="205"/>
      <c r="R245" s="206"/>
    </row>
    <row r="246" spans="2:18" x14ac:dyDescent="0.25">
      <c r="B246" s="204" t="s">
        <v>499</v>
      </c>
      <c r="C246" s="205" t="str">
        <f t="shared" si="3"/>
        <v>Papel Supremo Alta Alvura 350g  -   ()</v>
      </c>
      <c r="D246" s="205"/>
      <c r="E246" s="205" t="s">
        <v>752</v>
      </c>
      <c r="F246" s="205" t="s">
        <v>945</v>
      </c>
      <c r="G246" s="205" t="s">
        <v>948</v>
      </c>
      <c r="H246" s="205"/>
      <c r="I246" s="205"/>
      <c r="J246" s="205"/>
      <c r="K246" s="205" t="s">
        <v>1230</v>
      </c>
      <c r="L246" s="205" t="s">
        <v>1208</v>
      </c>
      <c r="M246" s="205" t="s">
        <v>1219</v>
      </c>
      <c r="N246" s="205"/>
      <c r="O246" s="205"/>
      <c r="P246" s="205"/>
      <c r="Q246" s="205"/>
      <c r="R246" s="206"/>
    </row>
    <row r="247" spans="2:18" x14ac:dyDescent="0.25">
      <c r="B247" s="204" t="s">
        <v>500</v>
      </c>
      <c r="C247" s="205" t="str">
        <f t="shared" si="3"/>
        <v>Papel Supremo Duodesign 300g  -   ()</v>
      </c>
      <c r="D247" s="205"/>
      <c r="E247" s="205" t="s">
        <v>752</v>
      </c>
      <c r="F247" s="205" t="s">
        <v>946</v>
      </c>
      <c r="G247" s="205" t="s">
        <v>941</v>
      </c>
      <c r="H247" s="205"/>
      <c r="I247" s="205"/>
      <c r="J247" s="205"/>
      <c r="K247" s="205" t="s">
        <v>1230</v>
      </c>
      <c r="L247" s="205" t="s">
        <v>1208</v>
      </c>
      <c r="M247" s="205" t="s">
        <v>1219</v>
      </c>
      <c r="N247" s="205" t="s">
        <v>688</v>
      </c>
      <c r="O247" s="205">
        <v>125</v>
      </c>
      <c r="P247" s="205" t="s">
        <v>900</v>
      </c>
      <c r="Q247" s="205"/>
      <c r="R247" s="206"/>
    </row>
    <row r="248" spans="2:18" x14ac:dyDescent="0.25">
      <c r="B248" s="204" t="s">
        <v>501</v>
      </c>
      <c r="C248" s="205" t="str">
        <f t="shared" si="3"/>
        <v>Papel Supremo Duodesign 350g  -   ()</v>
      </c>
      <c r="D248" s="205"/>
      <c r="E248" s="205" t="s">
        <v>752</v>
      </c>
      <c r="F248" s="205" t="s">
        <v>946</v>
      </c>
      <c r="G248" s="205" t="s">
        <v>948</v>
      </c>
      <c r="H248" s="205"/>
      <c r="I248" s="205"/>
      <c r="J248" s="205"/>
      <c r="K248" s="205" t="s">
        <v>1230</v>
      </c>
      <c r="L248" s="205" t="s">
        <v>1208</v>
      </c>
      <c r="M248" s="205" t="s">
        <v>1219</v>
      </c>
      <c r="N248" s="205" t="s">
        <v>688</v>
      </c>
      <c r="O248" s="205">
        <v>125</v>
      </c>
      <c r="P248" s="205" t="s">
        <v>900</v>
      </c>
      <c r="Q248" s="205"/>
      <c r="R248" s="206"/>
    </row>
    <row r="249" spans="2:18" x14ac:dyDescent="0.25">
      <c r="B249" s="204" t="s">
        <v>502</v>
      </c>
      <c r="C249" s="205" t="str">
        <f t="shared" ref="C249:C312" si="4">E249 &amp; " "  &amp; F249 &amp;   " " &amp; G249 &amp; " "  &amp; " - " &amp; H249 &amp; " " &amp; I249 &amp; " " &amp; "(" &amp; J249 &amp; ")"</f>
        <v>Papel Telado 240g  -   ()</v>
      </c>
      <c r="D249" s="205"/>
      <c r="E249" s="205" t="s">
        <v>752</v>
      </c>
      <c r="F249" s="205" t="s">
        <v>947</v>
      </c>
      <c r="G249" s="205" t="s">
        <v>931</v>
      </c>
      <c r="H249" s="205"/>
      <c r="I249" s="205"/>
      <c r="J249" s="205"/>
      <c r="K249" s="205" t="s">
        <v>1229</v>
      </c>
      <c r="L249" s="205" t="s">
        <v>1208</v>
      </c>
      <c r="M249" s="205" t="s">
        <v>1219</v>
      </c>
      <c r="N249" s="205"/>
      <c r="O249" s="205"/>
      <c r="P249" s="205"/>
      <c r="Q249" s="205"/>
      <c r="R249" s="206"/>
    </row>
    <row r="250" spans="2:18" x14ac:dyDescent="0.25">
      <c r="B250" s="204" t="s">
        <v>503</v>
      </c>
      <c r="C250" s="205" t="str">
        <f t="shared" si="4"/>
        <v>Papelão Calandrado n. 15   -   ()</v>
      </c>
      <c r="D250" s="205"/>
      <c r="E250" s="205" t="s">
        <v>949</v>
      </c>
      <c r="F250" s="205" t="s">
        <v>633</v>
      </c>
      <c r="G250" s="205"/>
      <c r="H250" s="205"/>
      <c r="I250" s="205"/>
      <c r="J250" s="205"/>
      <c r="K250" s="205" t="s">
        <v>1036</v>
      </c>
      <c r="L250" s="205" t="s">
        <v>1208</v>
      </c>
      <c r="M250" s="205" t="s">
        <v>1209</v>
      </c>
      <c r="N250" s="205"/>
      <c r="O250" s="205"/>
      <c r="P250" s="205"/>
      <c r="Q250" s="205"/>
      <c r="R250" s="206"/>
    </row>
    <row r="251" spans="2:18" x14ac:dyDescent="0.25">
      <c r="B251" s="204" t="s">
        <v>504</v>
      </c>
      <c r="C251" s="205" t="str">
        <f t="shared" si="4"/>
        <v>Papelão Calandrado n. 18   -   ()</v>
      </c>
      <c r="D251" s="205"/>
      <c r="E251" s="205" t="s">
        <v>949</v>
      </c>
      <c r="F251" s="205" t="s">
        <v>598</v>
      </c>
      <c r="G251" s="205"/>
      <c r="H251" s="205"/>
      <c r="I251" s="205"/>
      <c r="J251" s="205"/>
      <c r="K251" s="205" t="s">
        <v>1036</v>
      </c>
      <c r="L251" s="205" t="s">
        <v>1208</v>
      </c>
      <c r="M251" s="205" t="s">
        <v>1209</v>
      </c>
      <c r="N251" s="205"/>
      <c r="O251" s="205"/>
      <c r="P251" s="205"/>
      <c r="Q251" s="205"/>
      <c r="R251" s="206"/>
    </row>
    <row r="252" spans="2:18" x14ac:dyDescent="0.25">
      <c r="B252" s="204" t="s">
        <v>505</v>
      </c>
      <c r="C252" s="205" t="str">
        <f t="shared" si="4"/>
        <v>Papelão Calandrado n. 20   -   ()</v>
      </c>
      <c r="D252" s="205"/>
      <c r="E252" s="205" t="s">
        <v>949</v>
      </c>
      <c r="F252" s="205" t="s">
        <v>597</v>
      </c>
      <c r="G252" s="205"/>
      <c r="H252" s="205"/>
      <c r="I252" s="205"/>
      <c r="J252" s="205"/>
      <c r="K252" s="205" t="s">
        <v>1036</v>
      </c>
      <c r="L252" s="205" t="s">
        <v>1208</v>
      </c>
      <c r="M252" s="205" t="s">
        <v>1209</v>
      </c>
      <c r="N252" s="205"/>
      <c r="O252" s="205"/>
      <c r="P252" s="205"/>
      <c r="Q252" s="205"/>
      <c r="R252" s="206"/>
    </row>
    <row r="253" spans="2:18" x14ac:dyDescent="0.25">
      <c r="B253" s="204" t="s">
        <v>506</v>
      </c>
      <c r="C253" s="205" t="str">
        <f t="shared" si="4"/>
        <v>Parafina    -   ()</v>
      </c>
      <c r="D253" s="205"/>
      <c r="E253" s="205" t="s">
        <v>506</v>
      </c>
      <c r="F253" s="205"/>
      <c r="G253" s="205"/>
      <c r="H253" s="205"/>
      <c r="I253" s="205"/>
      <c r="J253" s="205"/>
      <c r="K253" s="205" t="s">
        <v>1036</v>
      </c>
      <c r="L253" s="205" t="s">
        <v>1208</v>
      </c>
      <c r="M253" s="205" t="s">
        <v>1209</v>
      </c>
      <c r="N253" s="205"/>
      <c r="O253" s="205"/>
      <c r="P253" s="205"/>
      <c r="Q253" s="205"/>
      <c r="R253" s="206"/>
    </row>
    <row r="254" spans="2:18" x14ac:dyDescent="0.25">
      <c r="B254" s="204" t="s">
        <v>507</v>
      </c>
      <c r="C254" s="205" t="str">
        <f t="shared" si="4"/>
        <v>Past. Cáustica p/descristaliz. dos rol. Emborr.    -   (Roll-O-Past)</v>
      </c>
      <c r="D254" s="205"/>
      <c r="E254" s="205" t="s">
        <v>1154</v>
      </c>
      <c r="F254" s="205"/>
      <c r="G254" s="205"/>
      <c r="H254" s="205"/>
      <c r="I254" s="205"/>
      <c r="J254" s="205" t="s">
        <v>1155</v>
      </c>
      <c r="K254" s="205" t="s">
        <v>1029</v>
      </c>
      <c r="L254" s="205" t="s">
        <v>1201</v>
      </c>
      <c r="M254" s="205" t="s">
        <v>1022</v>
      </c>
      <c r="N254" s="205"/>
      <c r="O254" s="205"/>
      <c r="P254" s="205"/>
      <c r="Q254" s="205"/>
      <c r="R254" s="206"/>
    </row>
    <row r="255" spans="2:18" x14ac:dyDescent="0.25">
      <c r="B255" s="204" t="s">
        <v>508</v>
      </c>
      <c r="C255" s="205" t="str">
        <f t="shared" si="4"/>
        <v>Pasta Cartolina Abas e Elastico 240x350mm   -   ()</v>
      </c>
      <c r="D255" s="205"/>
      <c r="E255" s="205" t="s">
        <v>1156</v>
      </c>
      <c r="F255" s="205" t="s">
        <v>1157</v>
      </c>
      <c r="G255" s="205"/>
      <c r="H255" s="205"/>
      <c r="I255" s="205"/>
      <c r="J255" s="205"/>
      <c r="K255" s="205" t="s">
        <v>1224</v>
      </c>
      <c r="L255" s="205" t="s">
        <v>1204</v>
      </c>
      <c r="M255" s="205"/>
      <c r="N255" s="205"/>
      <c r="O255" s="205"/>
      <c r="P255" s="205"/>
      <c r="Q255" s="205"/>
      <c r="R255" s="206"/>
    </row>
    <row r="256" spans="2:18" x14ac:dyDescent="0.25">
      <c r="B256" s="204" t="s">
        <v>509</v>
      </c>
      <c r="C256" s="205" t="str">
        <f t="shared" si="4"/>
        <v>Pasta com Ferragem 532 x 352mm  -   ()</v>
      </c>
      <c r="D256" s="205"/>
      <c r="E256" s="205" t="s">
        <v>1156</v>
      </c>
      <c r="F256" s="205" t="s">
        <v>1158</v>
      </c>
      <c r="G256" s="205" t="s">
        <v>950</v>
      </c>
      <c r="H256" s="205"/>
      <c r="I256" s="205"/>
      <c r="J256" s="205"/>
      <c r="K256" s="205" t="s">
        <v>1224</v>
      </c>
      <c r="L256" s="205" t="s">
        <v>1204</v>
      </c>
      <c r="M256" s="205"/>
      <c r="N256" s="205"/>
      <c r="O256" s="205"/>
      <c r="P256" s="205"/>
      <c r="Q256" s="205"/>
      <c r="R256" s="206"/>
    </row>
    <row r="257" spans="2:18" x14ac:dyDescent="0.25">
      <c r="B257" s="204" t="s">
        <v>510</v>
      </c>
      <c r="C257" s="205" t="str">
        <f t="shared" si="4"/>
        <v>Pasta de Limpeza e Manut. de Rolaria    -   (Feboclean RE)</v>
      </c>
      <c r="D257" s="205"/>
      <c r="E257" s="205" t="s">
        <v>1162</v>
      </c>
      <c r="F257" s="205"/>
      <c r="G257" s="205"/>
      <c r="H257" s="205"/>
      <c r="I257" s="205"/>
      <c r="J257" s="205" t="s">
        <v>1163</v>
      </c>
      <c r="K257" s="205" t="s">
        <v>1029</v>
      </c>
      <c r="L257" s="205" t="s">
        <v>1201</v>
      </c>
      <c r="M257" s="205" t="s">
        <v>1022</v>
      </c>
      <c r="N257" s="205"/>
      <c r="O257" s="205"/>
      <c r="P257" s="205"/>
      <c r="Q257" s="205"/>
      <c r="R257" s="206"/>
    </row>
    <row r="258" spans="2:18" x14ac:dyDescent="0.25">
      <c r="B258" s="204" t="s">
        <v>511</v>
      </c>
      <c r="C258" s="205" t="str">
        <f t="shared" si="4"/>
        <v>Pasta PVC Capa Cristal Porta Dossiê 228 x 343mm  -   ()</v>
      </c>
      <c r="D258" s="205"/>
      <c r="E258" s="205" t="s">
        <v>1156</v>
      </c>
      <c r="F258" s="205" t="s">
        <v>1159</v>
      </c>
      <c r="G258" s="205" t="s">
        <v>953</v>
      </c>
      <c r="H258" s="205"/>
      <c r="I258" s="205"/>
      <c r="J258" s="205"/>
      <c r="K258" s="205" t="s">
        <v>1224</v>
      </c>
      <c r="L258" s="205" t="s">
        <v>1204</v>
      </c>
      <c r="M258" s="205"/>
      <c r="N258" s="205"/>
      <c r="O258" s="205"/>
      <c r="P258" s="205"/>
      <c r="Q258" s="205"/>
      <c r="R258" s="206"/>
    </row>
    <row r="259" spans="2:18" x14ac:dyDescent="0.25">
      <c r="B259" s="204" t="s">
        <v>512</v>
      </c>
      <c r="C259" s="205" t="str">
        <f t="shared" si="4"/>
        <v>Pasta Registradora Oficio Lombada Estreita (280x350mm)  -   ()</v>
      </c>
      <c r="D259" s="205"/>
      <c r="E259" s="205" t="s">
        <v>1156</v>
      </c>
      <c r="F259" s="205" t="s">
        <v>1160</v>
      </c>
      <c r="G259" s="205" t="s">
        <v>956</v>
      </c>
      <c r="H259" s="205"/>
      <c r="I259" s="205"/>
      <c r="J259" s="205"/>
      <c r="K259" s="205" t="s">
        <v>1224</v>
      </c>
      <c r="L259" s="205" t="s">
        <v>1204</v>
      </c>
      <c r="M259" s="205"/>
      <c r="N259" s="205"/>
      <c r="O259" s="205"/>
      <c r="P259" s="205"/>
      <c r="Q259" s="205"/>
      <c r="R259" s="206"/>
    </row>
    <row r="260" spans="2:18" x14ac:dyDescent="0.25">
      <c r="B260" s="204" t="s">
        <v>513</v>
      </c>
      <c r="C260" s="205" t="str">
        <f t="shared" si="4"/>
        <v>Pasta Registradora Oficio Lombada Larga (280x350mm)  -   ()</v>
      </c>
      <c r="D260" s="205"/>
      <c r="E260" s="205" t="s">
        <v>1156</v>
      </c>
      <c r="F260" s="205" t="s">
        <v>1160</v>
      </c>
      <c r="G260" s="205" t="s">
        <v>957</v>
      </c>
      <c r="H260" s="205"/>
      <c r="I260" s="205"/>
      <c r="J260" s="205"/>
      <c r="K260" s="205" t="s">
        <v>1224</v>
      </c>
      <c r="L260" s="205" t="s">
        <v>1204</v>
      </c>
      <c r="M260" s="205"/>
      <c r="N260" s="205"/>
      <c r="O260" s="205"/>
      <c r="P260" s="205"/>
      <c r="Q260" s="205"/>
      <c r="R260" s="206"/>
    </row>
    <row r="261" spans="2:18" x14ac:dyDescent="0.25">
      <c r="B261" s="204" t="s">
        <v>514</v>
      </c>
      <c r="C261" s="205" t="str">
        <f t="shared" si="4"/>
        <v>Pasta Suspensa Pendular Modelo 4113   -   ()</v>
      </c>
      <c r="D261" s="205"/>
      <c r="E261" s="205" t="s">
        <v>1156</v>
      </c>
      <c r="F261" s="205" t="s">
        <v>1161</v>
      </c>
      <c r="G261" s="205"/>
      <c r="H261" s="205"/>
      <c r="I261" s="205"/>
      <c r="J261" s="205"/>
      <c r="K261" s="205" t="s">
        <v>1224</v>
      </c>
      <c r="L261" s="205" t="s">
        <v>1204</v>
      </c>
      <c r="M261" s="205"/>
      <c r="N261" s="205"/>
      <c r="O261" s="205"/>
      <c r="P261" s="205"/>
      <c r="Q261" s="205"/>
      <c r="R261" s="206"/>
    </row>
    <row r="262" spans="2:18" x14ac:dyDescent="0.25">
      <c r="B262" s="204" t="s">
        <v>515</v>
      </c>
      <c r="C262" s="205" t="str">
        <f t="shared" si="4"/>
        <v>Pelíca    - Azul  ()</v>
      </c>
      <c r="D262" s="205"/>
      <c r="E262" s="205" t="s">
        <v>958</v>
      </c>
      <c r="F262" s="205"/>
      <c r="G262" s="205"/>
      <c r="H262" s="205" t="s">
        <v>167</v>
      </c>
      <c r="I262" s="205"/>
      <c r="J262" s="205"/>
      <c r="K262" s="205" t="s">
        <v>1036</v>
      </c>
      <c r="L262" s="205" t="s">
        <v>1208</v>
      </c>
      <c r="M262" s="205" t="s">
        <v>1209</v>
      </c>
      <c r="N262" s="205"/>
      <c r="O262" s="205"/>
      <c r="P262" s="205"/>
      <c r="Q262" s="205"/>
      <c r="R262" s="206"/>
    </row>
    <row r="263" spans="2:18" x14ac:dyDescent="0.25">
      <c r="B263" s="204" t="s">
        <v>516</v>
      </c>
      <c r="C263" s="205" t="str">
        <f t="shared" si="4"/>
        <v>Pelíca    - Marrom  ()</v>
      </c>
      <c r="D263" s="205"/>
      <c r="E263" s="205" t="s">
        <v>958</v>
      </c>
      <c r="F263" s="205"/>
      <c r="G263" s="205"/>
      <c r="H263" s="205" t="s">
        <v>959</v>
      </c>
      <c r="I263" s="205"/>
      <c r="J263" s="205"/>
      <c r="K263" s="205" t="s">
        <v>1036</v>
      </c>
      <c r="L263" s="205" t="s">
        <v>1208</v>
      </c>
      <c r="M263" s="205" t="s">
        <v>1209</v>
      </c>
      <c r="N263" s="205"/>
      <c r="O263" s="205"/>
      <c r="P263" s="205"/>
      <c r="Q263" s="205"/>
      <c r="R263" s="206"/>
    </row>
    <row r="264" spans="2:18" x14ac:dyDescent="0.25">
      <c r="B264" s="204" t="s">
        <v>517</v>
      </c>
      <c r="C264" s="205" t="str">
        <f t="shared" si="4"/>
        <v>Pelíca    - Preta  ()</v>
      </c>
      <c r="D264" s="205"/>
      <c r="E264" s="205" t="s">
        <v>958</v>
      </c>
      <c r="F264" s="205"/>
      <c r="G264" s="205"/>
      <c r="H264" s="205" t="s">
        <v>617</v>
      </c>
      <c r="I264" s="205"/>
      <c r="J264" s="205"/>
      <c r="K264" s="205" t="s">
        <v>1036</v>
      </c>
      <c r="L264" s="205" t="s">
        <v>1208</v>
      </c>
      <c r="M264" s="205" t="s">
        <v>1209</v>
      </c>
      <c r="N264" s="205"/>
      <c r="O264" s="205"/>
      <c r="P264" s="205"/>
      <c r="Q264" s="205"/>
      <c r="R264" s="206"/>
    </row>
    <row r="265" spans="2:18" x14ac:dyDescent="0.25">
      <c r="B265" s="204" t="s">
        <v>518</v>
      </c>
      <c r="C265" s="205" t="str">
        <f t="shared" si="4"/>
        <v>Pelíca    - Verde  ()</v>
      </c>
      <c r="D265" s="205"/>
      <c r="E265" s="205" t="s">
        <v>958</v>
      </c>
      <c r="F265" s="205"/>
      <c r="G265" s="205"/>
      <c r="H265" s="205" t="s">
        <v>638</v>
      </c>
      <c r="I265" s="205"/>
      <c r="J265" s="205"/>
      <c r="K265" s="205" t="s">
        <v>1036</v>
      </c>
      <c r="L265" s="205" t="s">
        <v>1208</v>
      </c>
      <c r="M265" s="205" t="s">
        <v>1209</v>
      </c>
      <c r="N265" s="205"/>
      <c r="O265" s="205"/>
      <c r="P265" s="205"/>
      <c r="Q265" s="205"/>
      <c r="R265" s="206"/>
    </row>
    <row r="266" spans="2:18" x14ac:dyDescent="0.25">
      <c r="B266" s="204" t="s">
        <v>519</v>
      </c>
      <c r="C266" s="205" t="str">
        <f t="shared" si="4"/>
        <v>Pelíca    - Vermelha  ()</v>
      </c>
      <c r="D266" s="205"/>
      <c r="E266" s="205" t="s">
        <v>958</v>
      </c>
      <c r="F266" s="205"/>
      <c r="G266" s="205"/>
      <c r="H266" s="205" t="s">
        <v>684</v>
      </c>
      <c r="I266" s="205"/>
      <c r="J266" s="205"/>
      <c r="K266" s="205" t="s">
        <v>1036</v>
      </c>
      <c r="L266" s="205" t="s">
        <v>1208</v>
      </c>
      <c r="M266" s="205" t="s">
        <v>1209</v>
      </c>
      <c r="N266" s="205"/>
      <c r="O266" s="205"/>
      <c r="P266" s="205"/>
      <c r="Q266" s="205"/>
      <c r="R266" s="206"/>
    </row>
    <row r="267" spans="2:18" x14ac:dyDescent="0.25">
      <c r="B267" s="204" t="s">
        <v>520</v>
      </c>
      <c r="C267" s="205" t="str">
        <f t="shared" si="4"/>
        <v>Película para Hot Stamping    - Azul  ()</v>
      </c>
      <c r="D267" s="205"/>
      <c r="E267" s="205" t="s">
        <v>1220</v>
      </c>
      <c r="F267" s="205"/>
      <c r="G267" s="205"/>
      <c r="H267" s="205" t="s">
        <v>167</v>
      </c>
      <c r="I267" s="205"/>
      <c r="J267" s="205"/>
      <c r="K267" s="205" t="s">
        <v>1036</v>
      </c>
      <c r="L267" s="205" t="s">
        <v>1208</v>
      </c>
      <c r="M267" s="205" t="s">
        <v>1209</v>
      </c>
      <c r="N267" s="205"/>
      <c r="O267" s="205"/>
      <c r="P267" s="205"/>
      <c r="Q267" s="205"/>
      <c r="R267" s="206"/>
    </row>
    <row r="268" spans="2:18" x14ac:dyDescent="0.25">
      <c r="B268" s="204" t="s">
        <v>521</v>
      </c>
      <c r="C268" s="205" t="str">
        <f t="shared" si="4"/>
        <v>Película para Hot Stamping    - Dourada  ()</v>
      </c>
      <c r="D268" s="205"/>
      <c r="E268" s="205" t="s">
        <v>1220</v>
      </c>
      <c r="F268" s="205"/>
      <c r="G268" s="205"/>
      <c r="H268" s="205" t="s">
        <v>960</v>
      </c>
      <c r="I268" s="205"/>
      <c r="J268" s="205"/>
      <c r="K268" s="205" t="s">
        <v>1036</v>
      </c>
      <c r="L268" s="205" t="s">
        <v>1208</v>
      </c>
      <c r="M268" s="205" t="s">
        <v>1209</v>
      </c>
      <c r="N268" s="205"/>
      <c r="O268" s="205"/>
      <c r="P268" s="205"/>
      <c r="Q268" s="205"/>
      <c r="R268" s="206"/>
    </row>
    <row r="269" spans="2:18" x14ac:dyDescent="0.25">
      <c r="B269" s="204" t="s">
        <v>522</v>
      </c>
      <c r="C269" s="205" t="str">
        <f t="shared" si="4"/>
        <v>Película para Hot Stamping    - Prata  ()</v>
      </c>
      <c r="D269" s="205"/>
      <c r="E269" s="205" t="s">
        <v>1220</v>
      </c>
      <c r="F269" s="205"/>
      <c r="G269" s="205"/>
      <c r="H269" s="205" t="s">
        <v>961</v>
      </c>
      <c r="I269" s="205"/>
      <c r="J269" s="205"/>
      <c r="K269" s="205" t="s">
        <v>1036</v>
      </c>
      <c r="L269" s="205" t="s">
        <v>1208</v>
      </c>
      <c r="M269" s="205" t="s">
        <v>1209</v>
      </c>
      <c r="N269" s="205"/>
      <c r="O269" s="205"/>
      <c r="P269" s="205"/>
      <c r="Q269" s="205"/>
      <c r="R269" s="206"/>
    </row>
    <row r="270" spans="2:18" x14ac:dyDescent="0.25">
      <c r="B270" s="204" t="s">
        <v>523</v>
      </c>
      <c r="C270" s="205" t="str">
        <f t="shared" si="4"/>
        <v>Película para Hot Stamping    - Verde  ()</v>
      </c>
      <c r="D270" s="205"/>
      <c r="E270" s="205" t="s">
        <v>1220</v>
      </c>
      <c r="F270" s="205"/>
      <c r="G270" s="205"/>
      <c r="H270" s="205" t="s">
        <v>638</v>
      </c>
      <c r="I270" s="205"/>
      <c r="J270" s="205"/>
      <c r="K270" s="205" t="s">
        <v>1036</v>
      </c>
      <c r="L270" s="205" t="s">
        <v>1208</v>
      </c>
      <c r="M270" s="205" t="s">
        <v>1209</v>
      </c>
      <c r="N270" s="205"/>
      <c r="O270" s="205"/>
      <c r="P270" s="205"/>
      <c r="Q270" s="205"/>
      <c r="R270" s="206"/>
    </row>
    <row r="271" spans="2:18" x14ac:dyDescent="0.25">
      <c r="B271" s="204" t="s">
        <v>524</v>
      </c>
      <c r="C271" s="205" t="str">
        <f t="shared" si="4"/>
        <v>Película para Hot Stamping    - Vermelha  ()</v>
      </c>
      <c r="D271" s="205"/>
      <c r="E271" s="205" t="s">
        <v>1220</v>
      </c>
      <c r="F271" s="205"/>
      <c r="G271" s="205"/>
      <c r="H271" s="205" t="s">
        <v>684</v>
      </c>
      <c r="I271" s="205"/>
      <c r="J271" s="205"/>
      <c r="K271" s="205" t="s">
        <v>1036</v>
      </c>
      <c r="L271" s="205" t="s">
        <v>1208</v>
      </c>
      <c r="M271" s="205" t="s">
        <v>1209</v>
      </c>
      <c r="N271" s="205"/>
      <c r="O271" s="205"/>
      <c r="P271" s="205"/>
      <c r="Q271" s="205"/>
      <c r="R271" s="206"/>
    </row>
    <row r="272" spans="2:18" x14ac:dyDescent="0.25">
      <c r="B272" s="204" t="s">
        <v>525</v>
      </c>
      <c r="C272" s="205" t="str">
        <f t="shared" si="4"/>
        <v>Pen Drive    -  16GB ()</v>
      </c>
      <c r="D272" s="205"/>
      <c r="E272" s="205" t="s">
        <v>1164</v>
      </c>
      <c r="F272" s="205"/>
      <c r="G272" s="205"/>
      <c r="H272" s="205"/>
      <c r="I272" s="205" t="s">
        <v>1165</v>
      </c>
      <c r="J272" s="205"/>
      <c r="K272" s="205" t="s">
        <v>1224</v>
      </c>
      <c r="L272" s="205" t="s">
        <v>1020</v>
      </c>
      <c r="M272" s="205"/>
      <c r="N272" s="205"/>
      <c r="O272" s="205"/>
      <c r="P272" s="205"/>
      <c r="Q272" s="205"/>
      <c r="R272" s="206"/>
    </row>
    <row r="273" spans="2:18" x14ac:dyDescent="0.25">
      <c r="B273" s="204" t="s">
        <v>526</v>
      </c>
      <c r="C273" s="205" t="str">
        <f t="shared" si="4"/>
        <v>Percevejo Latonado    -   ()</v>
      </c>
      <c r="D273" s="205"/>
      <c r="E273" s="205" t="s">
        <v>526</v>
      </c>
      <c r="F273" s="205"/>
      <c r="G273" s="205"/>
      <c r="H273" s="205"/>
      <c r="I273" s="205"/>
      <c r="J273" s="205"/>
      <c r="K273" s="205" t="s">
        <v>1224</v>
      </c>
      <c r="L273" s="205" t="s">
        <v>1204</v>
      </c>
      <c r="M273" s="205"/>
      <c r="N273" s="205"/>
      <c r="O273" s="205"/>
      <c r="P273" s="205"/>
      <c r="Q273" s="205"/>
      <c r="R273" s="206"/>
    </row>
    <row r="274" spans="2:18" x14ac:dyDescent="0.25">
      <c r="B274" s="204" t="s">
        <v>527</v>
      </c>
      <c r="C274" s="205" t="str">
        <f t="shared" si="4"/>
        <v>Perfil C em PVC Branco para Banner    -   ()</v>
      </c>
      <c r="D274" s="205"/>
      <c r="E274" s="205" t="s">
        <v>1166</v>
      </c>
      <c r="F274" s="205"/>
      <c r="G274" s="205"/>
      <c r="H274" s="205"/>
      <c r="I274" s="205"/>
      <c r="J274" s="205"/>
      <c r="K274" s="205" t="s">
        <v>1036</v>
      </c>
      <c r="L274" s="205" t="s">
        <v>1208</v>
      </c>
      <c r="M274" s="205" t="s">
        <v>1209</v>
      </c>
      <c r="N274" s="205"/>
      <c r="O274" s="205"/>
      <c r="P274" s="205"/>
      <c r="Q274" s="205"/>
      <c r="R274" s="206"/>
    </row>
    <row r="275" spans="2:18" x14ac:dyDescent="0.25">
      <c r="B275" s="204" t="s">
        <v>528</v>
      </c>
      <c r="C275" s="205" t="str">
        <f t="shared" si="4"/>
        <v>Perfurador Manual 2 Furos    -   ()</v>
      </c>
      <c r="D275" s="205"/>
      <c r="E275" s="205" t="s">
        <v>528</v>
      </c>
      <c r="F275" s="205"/>
      <c r="G275" s="205"/>
      <c r="H275" s="205"/>
      <c r="I275" s="205"/>
      <c r="J275" s="205"/>
      <c r="K275" s="205" t="s">
        <v>1224</v>
      </c>
      <c r="L275" s="205" t="s">
        <v>1204</v>
      </c>
      <c r="M275" s="205"/>
      <c r="N275" s="205"/>
      <c r="O275" s="205"/>
      <c r="P275" s="205"/>
      <c r="Q275" s="205"/>
      <c r="R275" s="206"/>
    </row>
    <row r="276" spans="2:18" x14ac:dyDescent="0.25">
      <c r="B276" s="204" t="s">
        <v>529</v>
      </c>
      <c r="C276" s="205" t="str">
        <f t="shared" si="4"/>
        <v>Pincel Atômico    -   ()</v>
      </c>
      <c r="D276" s="205"/>
      <c r="E276" s="205" t="s">
        <v>529</v>
      </c>
      <c r="F276" s="205"/>
      <c r="G276" s="205"/>
      <c r="H276" s="205"/>
      <c r="I276" s="205"/>
      <c r="J276" s="205"/>
      <c r="K276" s="205" t="s">
        <v>1224</v>
      </c>
      <c r="L276" s="205" t="s">
        <v>1204</v>
      </c>
      <c r="M276" s="205"/>
      <c r="N276" s="205"/>
      <c r="O276" s="205"/>
      <c r="P276" s="205"/>
      <c r="Q276" s="205"/>
      <c r="R276" s="206"/>
    </row>
    <row r="277" spans="2:18" x14ac:dyDescent="0.25">
      <c r="B277" s="204" t="s">
        <v>530</v>
      </c>
      <c r="C277" s="205" t="str">
        <f t="shared" si="4"/>
        <v>Pincel  Broxinha para Restauração   -   ()</v>
      </c>
      <c r="D277" s="205"/>
      <c r="E277" s="205" t="s">
        <v>1167</v>
      </c>
      <c r="F277" s="205" t="s">
        <v>1168</v>
      </c>
      <c r="G277" s="205"/>
      <c r="H277" s="205"/>
      <c r="I277" s="205"/>
      <c r="J277" s="205"/>
      <c r="K277" s="205" t="s">
        <v>1036</v>
      </c>
      <c r="L277" s="205" t="s">
        <v>1208</v>
      </c>
      <c r="M277" s="205" t="s">
        <v>1209</v>
      </c>
      <c r="N277" s="205"/>
      <c r="O277" s="205"/>
      <c r="P277" s="205"/>
      <c r="Q277" s="205"/>
      <c r="R277" s="206"/>
    </row>
    <row r="278" spans="2:18" x14ac:dyDescent="0.25">
      <c r="B278" s="204" t="s">
        <v>531</v>
      </c>
      <c r="C278" s="205" t="str">
        <f t="shared" si="4"/>
        <v>Pincel  Chato Pelo Sintético   -  n. 12 ()</v>
      </c>
      <c r="D278" s="205"/>
      <c r="E278" s="205" t="s">
        <v>1167</v>
      </c>
      <c r="F278" s="205" t="s">
        <v>1172</v>
      </c>
      <c r="G278" s="205"/>
      <c r="H278" s="205"/>
      <c r="I278" s="205" t="s">
        <v>1173</v>
      </c>
      <c r="J278" s="205"/>
      <c r="K278" s="205" t="s">
        <v>1036</v>
      </c>
      <c r="L278" s="205" t="s">
        <v>1208</v>
      </c>
      <c r="M278" s="205" t="s">
        <v>1209</v>
      </c>
      <c r="N278" s="205"/>
      <c r="O278" s="205"/>
      <c r="P278" s="205"/>
      <c r="Q278" s="205"/>
      <c r="R278" s="206"/>
    </row>
    <row r="279" spans="2:18" x14ac:dyDescent="0.25">
      <c r="B279" s="204" t="s">
        <v>532</v>
      </c>
      <c r="C279" s="205" t="str">
        <f t="shared" si="4"/>
        <v>Pincel Marca Texto    -   ()</v>
      </c>
      <c r="D279" s="205"/>
      <c r="E279" s="205" t="s">
        <v>532</v>
      </c>
      <c r="F279" s="205"/>
      <c r="G279" s="205"/>
      <c r="H279" s="205"/>
      <c r="I279" s="205"/>
      <c r="J279" s="205"/>
      <c r="K279" s="205" t="s">
        <v>1224</v>
      </c>
      <c r="L279" s="205" t="s">
        <v>1204</v>
      </c>
      <c r="M279" s="205"/>
      <c r="N279" s="205"/>
      <c r="O279" s="205"/>
      <c r="P279" s="205"/>
      <c r="Q279" s="205"/>
      <c r="R279" s="206"/>
    </row>
    <row r="280" spans="2:18" x14ac:dyDescent="0.25">
      <c r="B280" s="204" t="s">
        <v>533</v>
      </c>
      <c r="C280" s="205" t="str">
        <f t="shared" si="4"/>
        <v>Pincel para Blocagem   -  38mm ()</v>
      </c>
      <c r="D280" s="205"/>
      <c r="E280" s="205" t="s">
        <v>1170</v>
      </c>
      <c r="F280" s="205" t="s">
        <v>1169</v>
      </c>
      <c r="G280" s="205"/>
      <c r="H280" s="205"/>
      <c r="I280" s="205" t="s">
        <v>963</v>
      </c>
      <c r="J280" s="205"/>
      <c r="K280" s="205" t="s">
        <v>1036</v>
      </c>
      <c r="L280" s="205" t="s">
        <v>1208</v>
      </c>
      <c r="M280" s="205" t="s">
        <v>1209</v>
      </c>
      <c r="N280" s="205"/>
      <c r="O280" s="205"/>
      <c r="P280" s="205"/>
      <c r="Q280" s="205"/>
      <c r="R280" s="206"/>
    </row>
    <row r="281" spans="2:18" x14ac:dyDescent="0.25">
      <c r="B281" s="204" t="s">
        <v>534</v>
      </c>
      <c r="C281" s="205" t="str">
        <f t="shared" si="4"/>
        <v>Pincel para Blocagem   -  50mm ()</v>
      </c>
      <c r="D281" s="205"/>
      <c r="E281" s="205" t="s">
        <v>1170</v>
      </c>
      <c r="F281" s="205" t="s">
        <v>1169</v>
      </c>
      <c r="G281" s="205"/>
      <c r="H281" s="205"/>
      <c r="I281" s="205" t="s">
        <v>964</v>
      </c>
      <c r="J281" s="205"/>
      <c r="K281" s="205" t="s">
        <v>1036</v>
      </c>
      <c r="L281" s="205" t="s">
        <v>1208</v>
      </c>
      <c r="M281" s="205" t="s">
        <v>1209</v>
      </c>
      <c r="N281" s="205"/>
      <c r="O281" s="205"/>
      <c r="P281" s="205"/>
      <c r="Q281" s="205"/>
      <c r="R281" s="206"/>
    </row>
    <row r="282" spans="2:18" x14ac:dyDescent="0.25">
      <c r="B282" s="204" t="s">
        <v>535</v>
      </c>
      <c r="C282" s="205" t="str">
        <f t="shared" si="4"/>
        <v>Pincel para Quadro Magnético (Branco)   -   ()</v>
      </c>
      <c r="D282" s="205"/>
      <c r="E282" s="205" t="s">
        <v>1170</v>
      </c>
      <c r="F282" s="205" t="s">
        <v>1171</v>
      </c>
      <c r="G282" s="205"/>
      <c r="H282" s="205"/>
      <c r="I282" s="205"/>
      <c r="J282" s="205"/>
      <c r="K282" s="205" t="s">
        <v>1224</v>
      </c>
      <c r="L282" s="205" t="s">
        <v>1204</v>
      </c>
      <c r="M282" s="205"/>
      <c r="N282" s="205"/>
      <c r="O282" s="205"/>
      <c r="P282" s="205"/>
      <c r="Q282" s="205"/>
      <c r="R282" s="206"/>
    </row>
    <row r="283" spans="2:18" x14ac:dyDescent="0.25">
      <c r="B283" s="204" t="s">
        <v>536</v>
      </c>
      <c r="C283" s="205" t="str">
        <f t="shared" si="4"/>
        <v>Pincel Sintético   -  n. 16 ()</v>
      </c>
      <c r="D283" s="205"/>
      <c r="E283" s="205" t="s">
        <v>1170</v>
      </c>
      <c r="F283" s="205" t="s">
        <v>1174</v>
      </c>
      <c r="G283" s="205"/>
      <c r="H283" s="205"/>
      <c r="I283" s="205" t="s">
        <v>1175</v>
      </c>
      <c r="J283" s="205"/>
      <c r="K283" s="205" t="s">
        <v>1036</v>
      </c>
      <c r="L283" s="205" t="s">
        <v>1208</v>
      </c>
      <c r="M283" s="205" t="s">
        <v>1209</v>
      </c>
      <c r="N283" s="205"/>
      <c r="O283" s="205"/>
      <c r="P283" s="205"/>
      <c r="Q283" s="205"/>
      <c r="R283" s="206"/>
    </row>
    <row r="284" spans="2:18" x14ac:dyDescent="0.25">
      <c r="B284" s="204" t="s">
        <v>537</v>
      </c>
      <c r="C284" s="205" t="str">
        <f t="shared" si="4"/>
        <v>Pó Anti-Maculador para Impressao Offset    -   ()</v>
      </c>
      <c r="D284" s="205"/>
      <c r="E284" s="205" t="s">
        <v>815</v>
      </c>
      <c r="F284" s="205"/>
      <c r="G284" s="205"/>
      <c r="H284" s="205"/>
      <c r="I284" s="205"/>
      <c r="J284" s="205"/>
      <c r="K284" s="205" t="s">
        <v>1029</v>
      </c>
      <c r="L284" s="205" t="s">
        <v>1201</v>
      </c>
      <c r="M284" s="205" t="s">
        <v>1022</v>
      </c>
      <c r="N284" s="205"/>
      <c r="O284" s="205"/>
      <c r="P284" s="205"/>
      <c r="Q284" s="205"/>
      <c r="R284" s="206"/>
    </row>
    <row r="285" spans="2:18" x14ac:dyDescent="0.25">
      <c r="B285" s="204" t="s">
        <v>538</v>
      </c>
      <c r="C285" s="205" t="str">
        <f t="shared" si="4"/>
        <v>Polidor    -   (Brasso)</v>
      </c>
      <c r="D285" s="205"/>
      <c r="E285" s="205" t="s">
        <v>1176</v>
      </c>
      <c r="F285" s="205"/>
      <c r="G285" s="205"/>
      <c r="H285" s="205"/>
      <c r="I285" s="205"/>
      <c r="J285" s="205" t="s">
        <v>1177</v>
      </c>
      <c r="K285" s="205" t="s">
        <v>1029</v>
      </c>
      <c r="L285" s="205" t="s">
        <v>1201</v>
      </c>
      <c r="M285" s="205" t="s">
        <v>1217</v>
      </c>
      <c r="N285" s="205"/>
      <c r="O285" s="205"/>
      <c r="P285" s="205"/>
      <c r="Q285" s="205"/>
      <c r="R285" s="206"/>
    </row>
    <row r="286" spans="2:18" x14ac:dyDescent="0.25">
      <c r="B286" s="204" t="s">
        <v>539</v>
      </c>
      <c r="C286" s="205" t="str">
        <f t="shared" si="4"/>
        <v>Ponteira de PVC    - Branca 3/4 ()</v>
      </c>
      <c r="D286" s="205"/>
      <c r="E286" s="205" t="s">
        <v>966</v>
      </c>
      <c r="F286" s="205"/>
      <c r="G286" s="205"/>
      <c r="H286" s="205" t="s">
        <v>683</v>
      </c>
      <c r="I286" s="205" t="s">
        <v>967</v>
      </c>
      <c r="J286" s="205"/>
      <c r="K286" s="205" t="s">
        <v>1036</v>
      </c>
      <c r="L286" s="205" t="s">
        <v>1208</v>
      </c>
      <c r="M286" s="205" t="s">
        <v>1209</v>
      </c>
      <c r="N286" s="205"/>
      <c r="O286" s="205"/>
      <c r="P286" s="205"/>
      <c r="Q286" s="205"/>
      <c r="R286" s="206"/>
    </row>
    <row r="287" spans="2:18" x14ac:dyDescent="0.25">
      <c r="B287" s="204" t="s">
        <v>540</v>
      </c>
      <c r="C287" s="205" t="str">
        <f t="shared" si="4"/>
        <v>Ponteira de PVC    - Branca 5/8 16mm ()</v>
      </c>
      <c r="D287" s="205"/>
      <c r="E287" s="205" t="s">
        <v>966</v>
      </c>
      <c r="F287" s="205"/>
      <c r="G287" s="205"/>
      <c r="H287" s="205" t="s">
        <v>683</v>
      </c>
      <c r="I287" s="205" t="s">
        <v>968</v>
      </c>
      <c r="J287" s="205"/>
      <c r="K287" s="205" t="s">
        <v>1036</v>
      </c>
      <c r="L287" s="205" t="s">
        <v>1208</v>
      </c>
      <c r="M287" s="205" t="s">
        <v>1209</v>
      </c>
      <c r="N287" s="205"/>
      <c r="O287" s="205"/>
      <c r="P287" s="205"/>
      <c r="Q287" s="205"/>
      <c r="R287" s="206"/>
    </row>
    <row r="288" spans="2:18" x14ac:dyDescent="0.25">
      <c r="B288" s="204" t="s">
        <v>541</v>
      </c>
      <c r="C288" s="205" t="str">
        <f t="shared" si="4"/>
        <v>Ponteira de PVC    - Branca 7/8 22mm ()</v>
      </c>
      <c r="D288" s="205"/>
      <c r="E288" s="205" t="s">
        <v>966</v>
      </c>
      <c r="F288" s="205"/>
      <c r="G288" s="205"/>
      <c r="H288" s="205" t="s">
        <v>683</v>
      </c>
      <c r="I288" s="205" t="s">
        <v>969</v>
      </c>
      <c r="J288" s="205"/>
      <c r="K288" s="205" t="s">
        <v>1036</v>
      </c>
      <c r="L288" s="205" t="s">
        <v>1208</v>
      </c>
      <c r="M288" s="205" t="s">
        <v>1209</v>
      </c>
      <c r="N288" s="205"/>
      <c r="O288" s="205"/>
      <c r="P288" s="205"/>
      <c r="Q288" s="205"/>
      <c r="R288" s="206"/>
    </row>
    <row r="289" spans="2:18" x14ac:dyDescent="0.25">
      <c r="B289" s="204" t="s">
        <v>542</v>
      </c>
      <c r="C289" s="205" t="str">
        <f t="shared" si="4"/>
        <v>Pano para limpeza automática de blanqueta Komori  - Branco  ()</v>
      </c>
      <c r="D289" s="205"/>
      <c r="E289" s="205" t="s">
        <v>1178</v>
      </c>
      <c r="F289" s="205" t="s">
        <v>1179</v>
      </c>
      <c r="G289" s="205" t="s">
        <v>970</v>
      </c>
      <c r="H289" s="205" t="s">
        <v>41</v>
      </c>
      <c r="I289" s="205"/>
      <c r="J289" s="205"/>
      <c r="K289" s="205" t="s">
        <v>1029</v>
      </c>
      <c r="L289" s="205" t="s">
        <v>1208</v>
      </c>
      <c r="M289" s="205" t="s">
        <v>1022</v>
      </c>
      <c r="N289" s="205"/>
      <c r="O289" s="205"/>
      <c r="P289" s="205"/>
      <c r="Q289" s="205"/>
      <c r="R289" s="206"/>
    </row>
    <row r="290" spans="2:18" x14ac:dyDescent="0.25">
      <c r="B290" s="204" t="s">
        <v>543</v>
      </c>
      <c r="C290" s="205" t="str">
        <f t="shared" si="4"/>
        <v>Pano para limpeza automática do contra cilindro Komori  - Azul  ()</v>
      </c>
      <c r="D290" s="205"/>
      <c r="E290" s="205" t="s">
        <v>1178</v>
      </c>
      <c r="F290" s="205" t="s">
        <v>1180</v>
      </c>
      <c r="G290" s="205" t="s">
        <v>970</v>
      </c>
      <c r="H290" s="205" t="s">
        <v>167</v>
      </c>
      <c r="I290" s="205"/>
      <c r="J290" s="205"/>
      <c r="K290" s="205" t="s">
        <v>1029</v>
      </c>
      <c r="L290" s="205" t="s">
        <v>1208</v>
      </c>
      <c r="M290" s="205" t="s">
        <v>1022</v>
      </c>
      <c r="N290" s="205"/>
      <c r="O290" s="205"/>
      <c r="P290" s="205"/>
      <c r="Q290" s="205"/>
      <c r="R290" s="206"/>
    </row>
    <row r="291" spans="2:18" x14ac:dyDescent="0.25">
      <c r="B291" s="204" t="s">
        <v>544</v>
      </c>
      <c r="C291" s="205" t="str">
        <f t="shared" si="4"/>
        <v>Reforço adesivo para perfurar papel    -   ()</v>
      </c>
      <c r="D291" s="205"/>
      <c r="E291" s="205" t="s">
        <v>973</v>
      </c>
      <c r="F291" s="205"/>
      <c r="G291" s="205"/>
      <c r="H291" s="205"/>
      <c r="I291" s="205"/>
      <c r="J291" s="205"/>
      <c r="K291" s="205" t="s">
        <v>1224</v>
      </c>
      <c r="L291" s="205" t="s">
        <v>1204</v>
      </c>
      <c r="M291" s="205"/>
      <c r="N291" s="205"/>
      <c r="O291" s="205"/>
      <c r="P291" s="205"/>
      <c r="Q291" s="205"/>
      <c r="R291" s="206"/>
    </row>
    <row r="292" spans="2:18" x14ac:dyDescent="0.25">
      <c r="B292" s="204" t="s">
        <v>546</v>
      </c>
      <c r="C292" s="205" t="str">
        <f t="shared" ref="C292:C297" si="5">E292 &amp; " "  &amp; F292 &amp;   " " &amp; G292 &amp; " "  &amp; " - " &amp; H292 &amp; " " &amp; I292 &amp; " " &amp; "(" &amp; J292 &amp; ")"</f>
        <v>Régua  de Aço   -  60cm ()</v>
      </c>
      <c r="D292" s="205"/>
      <c r="E292" s="205" t="s">
        <v>1182</v>
      </c>
      <c r="F292" s="205" t="s">
        <v>1183</v>
      </c>
      <c r="G292" s="205"/>
      <c r="H292" s="205"/>
      <c r="I292" s="205" t="s">
        <v>976</v>
      </c>
      <c r="J292" s="205"/>
      <c r="K292" s="205" t="s">
        <v>1224</v>
      </c>
      <c r="L292" s="205" t="s">
        <v>1204</v>
      </c>
      <c r="M292" s="205"/>
      <c r="N292" s="205"/>
      <c r="O292" s="205"/>
      <c r="P292" s="205"/>
      <c r="Q292" s="205"/>
      <c r="R292" s="206"/>
    </row>
    <row r="293" spans="2:18" x14ac:dyDescent="0.25">
      <c r="B293" s="204" t="s">
        <v>549</v>
      </c>
      <c r="C293" s="205" t="str">
        <f t="shared" si="5"/>
        <v>Régua  Plástica   -  300mm ()</v>
      </c>
      <c r="D293" s="205"/>
      <c r="E293" s="205" t="s">
        <v>1182</v>
      </c>
      <c r="F293" s="205" t="s">
        <v>1184</v>
      </c>
      <c r="G293" s="205"/>
      <c r="H293" s="205"/>
      <c r="I293" s="205" t="s">
        <v>602</v>
      </c>
      <c r="J293" s="205"/>
      <c r="K293" s="205" t="s">
        <v>1224</v>
      </c>
      <c r="L293" s="205" t="s">
        <v>1204</v>
      </c>
      <c r="M293" s="205"/>
      <c r="N293" s="205"/>
      <c r="O293" s="205"/>
      <c r="P293" s="205"/>
      <c r="Q293" s="205"/>
      <c r="R293" s="206"/>
    </row>
    <row r="294" spans="2:18" x14ac:dyDescent="0.25">
      <c r="B294" s="204" t="s">
        <v>550</v>
      </c>
      <c r="C294" s="205" t="str">
        <f t="shared" si="5"/>
        <v>Régua  Plástica   -  400mm ()</v>
      </c>
      <c r="D294" s="205"/>
      <c r="E294" s="205" t="s">
        <v>1182</v>
      </c>
      <c r="F294" s="205" t="s">
        <v>1184</v>
      </c>
      <c r="G294" s="205"/>
      <c r="H294" s="205"/>
      <c r="I294" s="205" t="s">
        <v>980</v>
      </c>
      <c r="J294" s="205"/>
      <c r="K294" s="205" t="s">
        <v>1224</v>
      </c>
      <c r="L294" s="205" t="s">
        <v>1204</v>
      </c>
      <c r="M294" s="205"/>
      <c r="N294" s="205"/>
      <c r="O294" s="205"/>
      <c r="P294" s="205"/>
      <c r="Q294" s="205"/>
      <c r="R294" s="206"/>
    </row>
    <row r="295" spans="2:18" x14ac:dyDescent="0.25">
      <c r="B295" s="204" t="s">
        <v>551</v>
      </c>
      <c r="C295" s="205" t="str">
        <f t="shared" si="5"/>
        <v>Régua  Plástica   -  500mm ()</v>
      </c>
      <c r="D295" s="205"/>
      <c r="E295" s="205" t="s">
        <v>1182</v>
      </c>
      <c r="F295" s="205" t="s">
        <v>1184</v>
      </c>
      <c r="G295" s="205"/>
      <c r="H295" s="205"/>
      <c r="I295" s="205" t="s">
        <v>981</v>
      </c>
      <c r="J295" s="205"/>
      <c r="K295" s="205" t="s">
        <v>1224</v>
      </c>
      <c r="L295" s="205" t="s">
        <v>1204</v>
      </c>
      <c r="M295" s="205"/>
      <c r="N295" s="205"/>
      <c r="O295" s="205"/>
      <c r="P295" s="205"/>
      <c r="Q295" s="205"/>
      <c r="R295" s="206"/>
    </row>
    <row r="296" spans="2:18" x14ac:dyDescent="0.25">
      <c r="B296" s="204" t="s">
        <v>547</v>
      </c>
      <c r="C296" s="205" t="str">
        <f t="shared" si="5"/>
        <v>Régua PVC em tiras para Guilhotina Trilateral   -  1000 x 23 x 4mm ()</v>
      </c>
      <c r="D296" s="205"/>
      <c r="E296" s="205" t="s">
        <v>1181</v>
      </c>
      <c r="F296" s="205" t="s">
        <v>1186</v>
      </c>
      <c r="G296" s="205"/>
      <c r="H296" s="205"/>
      <c r="I296" s="205" t="s">
        <v>978</v>
      </c>
      <c r="J296" s="205"/>
      <c r="K296" s="205" t="s">
        <v>1036</v>
      </c>
      <c r="L296" s="205" t="s">
        <v>1208</v>
      </c>
      <c r="M296" s="205" t="s">
        <v>1209</v>
      </c>
      <c r="N296" s="205"/>
      <c r="O296" s="205"/>
      <c r="P296" s="205"/>
      <c r="Q296" s="205"/>
      <c r="R296" s="206"/>
    </row>
    <row r="297" spans="2:18" x14ac:dyDescent="0.25">
      <c r="B297" s="204" t="s">
        <v>548</v>
      </c>
      <c r="C297" s="205" t="str">
        <f t="shared" si="5"/>
        <v>Régua PVC em tiras para Guilhotina Trilateral   -  340 x 41 x 4 ()</v>
      </c>
      <c r="D297" s="205"/>
      <c r="E297" s="205" t="s">
        <v>1181</v>
      </c>
      <c r="F297" s="205" t="s">
        <v>1186</v>
      </c>
      <c r="G297" s="205"/>
      <c r="H297" s="205"/>
      <c r="I297" s="205" t="s">
        <v>979</v>
      </c>
      <c r="J297" s="205"/>
      <c r="K297" s="205" t="s">
        <v>1036</v>
      </c>
      <c r="L297" s="205" t="s">
        <v>1208</v>
      </c>
      <c r="M297" s="205" t="s">
        <v>1209</v>
      </c>
      <c r="N297" s="205"/>
      <c r="O297" s="205"/>
      <c r="P297" s="205"/>
      <c r="Q297" s="205"/>
      <c r="R297" s="206"/>
    </row>
    <row r="298" spans="2:18" x14ac:dyDescent="0.25">
      <c r="B298" s="204" t="s">
        <v>545</v>
      </c>
      <c r="C298" s="205" t="str">
        <f t="shared" si="4"/>
        <v>Régua PVC em tiras para perfuradora corta   -   ()</v>
      </c>
      <c r="D298" s="205"/>
      <c r="E298" s="205" t="s">
        <v>1181</v>
      </c>
      <c r="F298" s="205" t="s">
        <v>1187</v>
      </c>
      <c r="G298" s="205"/>
      <c r="H298" s="205"/>
      <c r="I298" s="205"/>
      <c r="J298" s="205"/>
      <c r="K298" s="205" t="s">
        <v>1036</v>
      </c>
      <c r="L298" s="205" t="s">
        <v>1208</v>
      </c>
      <c r="M298" s="205" t="s">
        <v>1209</v>
      </c>
      <c r="N298" s="205"/>
      <c r="O298" s="205"/>
      <c r="P298" s="205"/>
      <c r="Q298" s="205"/>
      <c r="R298" s="206"/>
    </row>
    <row r="299" spans="2:18" x14ac:dyDescent="0.25">
      <c r="B299" s="204" t="s">
        <v>552</v>
      </c>
      <c r="C299" s="205" t="str">
        <f t="shared" si="4"/>
        <v>Régua PVC  em tTiras para Guilhotina   -  830 x 180 x 40mm ()</v>
      </c>
      <c r="D299" s="205"/>
      <c r="E299" s="205" t="s">
        <v>1185</v>
      </c>
      <c r="F299" s="205" t="s">
        <v>1188</v>
      </c>
      <c r="G299" s="205"/>
      <c r="H299" s="205"/>
      <c r="I299" s="205" t="s">
        <v>983</v>
      </c>
      <c r="J299" s="205"/>
      <c r="K299" s="205" t="s">
        <v>1036</v>
      </c>
      <c r="L299" s="205" t="s">
        <v>1208</v>
      </c>
      <c r="M299" s="205" t="s">
        <v>1209</v>
      </c>
      <c r="N299" s="205"/>
      <c r="O299" s="205"/>
      <c r="P299" s="205"/>
      <c r="Q299" s="205"/>
      <c r="R299" s="206"/>
    </row>
    <row r="300" spans="2:18" x14ac:dyDescent="0.25">
      <c r="B300" s="204" t="s">
        <v>553</v>
      </c>
      <c r="C300" s="205" t="str">
        <f t="shared" si="4"/>
        <v>Régua PVC  em tiras para Guilhotina Wohlemberg  -   ()</v>
      </c>
      <c r="D300" s="205"/>
      <c r="E300" s="205" t="s">
        <v>1185</v>
      </c>
      <c r="F300" s="205" t="s">
        <v>1189</v>
      </c>
      <c r="G300" s="205" t="s">
        <v>986</v>
      </c>
      <c r="H300" s="205"/>
      <c r="I300" s="205"/>
      <c r="J300" s="205"/>
      <c r="K300" s="205" t="s">
        <v>1036</v>
      </c>
      <c r="L300" s="205" t="s">
        <v>1208</v>
      </c>
      <c r="M300" s="205" t="s">
        <v>1209</v>
      </c>
      <c r="N300" s="205"/>
      <c r="O300" s="205"/>
      <c r="P300" s="205"/>
      <c r="Q300" s="205"/>
      <c r="R300" s="206"/>
    </row>
    <row r="301" spans="2:18" x14ac:dyDescent="0.25">
      <c r="B301" s="204" t="s">
        <v>554</v>
      </c>
      <c r="C301" s="205" t="str">
        <f t="shared" si="4"/>
        <v>Régua PVC  em tiras para Guilhotina Melmaq 1370 TC  -   ()</v>
      </c>
      <c r="D301" s="205"/>
      <c r="E301" s="205" t="s">
        <v>1185</v>
      </c>
      <c r="F301" s="205" t="s">
        <v>1189</v>
      </c>
      <c r="G301" s="205" t="s">
        <v>987</v>
      </c>
      <c r="H301" s="205"/>
      <c r="I301" s="205"/>
      <c r="J301" s="205"/>
      <c r="K301" s="205" t="s">
        <v>1036</v>
      </c>
      <c r="L301" s="205" t="s">
        <v>1208</v>
      </c>
      <c r="M301" s="205" t="s">
        <v>1209</v>
      </c>
      <c r="N301" s="205"/>
      <c r="O301" s="205"/>
      <c r="P301" s="205"/>
      <c r="Q301" s="205"/>
      <c r="R301" s="206"/>
    </row>
    <row r="302" spans="2:18" x14ac:dyDescent="0.25">
      <c r="B302" s="204" t="s">
        <v>555</v>
      </c>
      <c r="C302" s="205" t="str">
        <f t="shared" si="4"/>
        <v>Régua PVC  em tiras para Guilhotina Melmaq 800 TM  -   ()</v>
      </c>
      <c r="D302" s="205"/>
      <c r="E302" s="205" t="s">
        <v>1185</v>
      </c>
      <c r="F302" s="205" t="s">
        <v>1189</v>
      </c>
      <c r="G302" s="205" t="s">
        <v>988</v>
      </c>
      <c r="H302" s="205"/>
      <c r="I302" s="205"/>
      <c r="J302" s="205"/>
      <c r="K302" s="205" t="s">
        <v>1036</v>
      </c>
      <c r="L302" s="205" t="s">
        <v>1208</v>
      </c>
      <c r="M302" s="205" t="s">
        <v>1209</v>
      </c>
      <c r="N302" s="205"/>
      <c r="O302" s="205"/>
      <c r="P302" s="205"/>
      <c r="Q302" s="205"/>
      <c r="R302" s="206"/>
    </row>
    <row r="303" spans="2:18" x14ac:dyDescent="0.25">
      <c r="B303" s="204" t="s">
        <v>556</v>
      </c>
      <c r="C303" s="205" t="str">
        <f t="shared" si="4"/>
        <v>Restaurador de blanqueta    -   ()</v>
      </c>
      <c r="D303" s="205"/>
      <c r="E303" s="205" t="s">
        <v>989</v>
      </c>
      <c r="F303" s="205"/>
      <c r="G303" s="205"/>
      <c r="H303" s="205"/>
      <c r="I303" s="205"/>
      <c r="J303" s="205"/>
      <c r="K303" s="205" t="s">
        <v>1029</v>
      </c>
      <c r="L303" s="205" t="s">
        <v>1201</v>
      </c>
      <c r="M303" s="205" t="s">
        <v>1022</v>
      </c>
      <c r="N303" s="205"/>
      <c r="O303" s="205"/>
      <c r="P303" s="205"/>
      <c r="Q303" s="205"/>
      <c r="R303" s="206"/>
    </row>
    <row r="304" spans="2:18" x14ac:dyDescent="0.25">
      <c r="B304" s="204" t="s">
        <v>557</v>
      </c>
      <c r="C304" s="205" t="str">
        <f t="shared" si="4"/>
        <v>Retalho de malha Costurado   -   ()</v>
      </c>
      <c r="D304" s="205"/>
      <c r="E304" s="205" t="s">
        <v>991</v>
      </c>
      <c r="F304" s="205" t="s">
        <v>718</v>
      </c>
      <c r="G304" s="205"/>
      <c r="H304" s="205"/>
      <c r="I304" s="205"/>
      <c r="J304" s="205"/>
      <c r="K304" s="205" t="s">
        <v>1224</v>
      </c>
      <c r="L304" s="205" t="s">
        <v>1026</v>
      </c>
      <c r="M304" s="205"/>
      <c r="N304" s="205"/>
      <c r="O304" s="205"/>
      <c r="P304" s="205"/>
      <c r="Q304" s="205"/>
      <c r="R304" s="206"/>
    </row>
    <row r="305" spans="2:18" x14ac:dyDescent="0.25">
      <c r="B305" s="204" t="s">
        <v>558</v>
      </c>
      <c r="C305" s="205" t="str">
        <f t="shared" si="4"/>
        <v>Revelador de chapa positivo   -   ()</v>
      </c>
      <c r="D305" s="205"/>
      <c r="E305" s="205" t="s">
        <v>1190</v>
      </c>
      <c r="F305" s="205" t="s">
        <v>1191</v>
      </c>
      <c r="G305" s="205"/>
      <c r="H305" s="205"/>
      <c r="I305" s="205"/>
      <c r="J305" s="205"/>
      <c r="K305" s="205" t="s">
        <v>1225</v>
      </c>
      <c r="L305" s="205" t="s">
        <v>1201</v>
      </c>
      <c r="M305" s="205" t="s">
        <v>1212</v>
      </c>
      <c r="N305" s="205"/>
      <c r="O305" s="205"/>
      <c r="P305" s="205"/>
      <c r="Q305" s="205"/>
      <c r="R305" s="206"/>
    </row>
    <row r="306" spans="2:18" x14ac:dyDescent="0.25">
      <c r="B306" s="204" t="s">
        <v>559</v>
      </c>
      <c r="C306" s="205" t="str">
        <f t="shared" si="4"/>
        <v>Rolo de lâ de Carneiro com Garfo    -  90mm ()</v>
      </c>
      <c r="D306" s="205"/>
      <c r="E306" s="205" t="s">
        <v>1192</v>
      </c>
      <c r="F306" s="205"/>
      <c r="G306" s="205"/>
      <c r="H306" s="205"/>
      <c r="I306" s="205" t="s">
        <v>747</v>
      </c>
      <c r="J306" s="205"/>
      <c r="K306" s="205" t="s">
        <v>1036</v>
      </c>
      <c r="L306" s="205" t="s">
        <v>1208</v>
      </c>
      <c r="M306" s="205" t="s">
        <v>1209</v>
      </c>
      <c r="N306" s="205"/>
      <c r="O306" s="205"/>
      <c r="P306" s="205"/>
      <c r="Q306" s="205"/>
      <c r="R306" s="206"/>
    </row>
    <row r="307" spans="2:18" x14ac:dyDescent="0.25">
      <c r="B307" s="204" t="s">
        <v>560</v>
      </c>
      <c r="C307" s="205" t="str">
        <f t="shared" si="4"/>
        <v>Sabão de côco    -   ()</v>
      </c>
      <c r="D307" s="205"/>
      <c r="E307" s="205" t="s">
        <v>994</v>
      </c>
      <c r="F307" s="205"/>
      <c r="G307" s="205"/>
      <c r="H307" s="205"/>
      <c r="I307" s="205"/>
      <c r="J307" s="205"/>
      <c r="K307" s="205" t="s">
        <v>1029</v>
      </c>
      <c r="L307" s="205" t="s">
        <v>106</v>
      </c>
      <c r="M307" s="205"/>
      <c r="N307" s="205"/>
      <c r="O307" s="205"/>
      <c r="P307" s="205" t="s">
        <v>719</v>
      </c>
      <c r="Q307" s="205"/>
      <c r="R307" s="206"/>
    </row>
    <row r="308" spans="2:18" x14ac:dyDescent="0.25">
      <c r="B308" s="204" t="s">
        <v>561</v>
      </c>
      <c r="C308" s="205" t="str">
        <f t="shared" si="4"/>
        <v>Divisória de Pasta 5 projeções 230 x 353mm   -   ()</v>
      </c>
      <c r="D308" s="205"/>
      <c r="E308" s="205" t="s">
        <v>1193</v>
      </c>
      <c r="F308" s="205" t="s">
        <v>996</v>
      </c>
      <c r="G308" s="205"/>
      <c r="H308" s="205"/>
      <c r="I308" s="205"/>
      <c r="J308" s="205"/>
      <c r="K308" s="205" t="s">
        <v>1224</v>
      </c>
      <c r="L308" s="205" t="s">
        <v>1204</v>
      </c>
      <c r="M308" s="205"/>
      <c r="N308" s="205"/>
      <c r="O308" s="205"/>
      <c r="P308" s="205"/>
      <c r="Q308" s="205"/>
      <c r="R308" s="206"/>
    </row>
    <row r="309" spans="2:18" x14ac:dyDescent="0.25">
      <c r="B309" s="204" t="s">
        <v>562</v>
      </c>
      <c r="C309" s="205" t="str">
        <f t="shared" si="4"/>
        <v>Silicone em Aerossol   -   ()</v>
      </c>
      <c r="D309" s="205"/>
      <c r="E309" s="205" t="s">
        <v>753</v>
      </c>
      <c r="F309" s="205" t="s">
        <v>997</v>
      </c>
      <c r="G309" s="205"/>
      <c r="H309" s="205"/>
      <c r="I309" s="205"/>
      <c r="J309" s="205"/>
      <c r="K309" s="205" t="s">
        <v>1036</v>
      </c>
      <c r="L309" s="205" t="s">
        <v>1208</v>
      </c>
      <c r="M309" s="205" t="s">
        <v>1209</v>
      </c>
      <c r="N309" s="205"/>
      <c r="O309" s="205"/>
      <c r="P309" s="205"/>
      <c r="Q309" s="205"/>
      <c r="R309" s="206"/>
    </row>
    <row r="310" spans="2:18" x14ac:dyDescent="0.25">
      <c r="B310" s="204" t="s">
        <v>563</v>
      </c>
      <c r="C310" s="205" t="str">
        <f t="shared" si="4"/>
        <v>Silicone Líquido   -   ()</v>
      </c>
      <c r="D310" s="205"/>
      <c r="E310" s="205" t="s">
        <v>753</v>
      </c>
      <c r="F310" s="205" t="s">
        <v>998</v>
      </c>
      <c r="G310" s="205"/>
      <c r="H310" s="205"/>
      <c r="I310" s="205"/>
      <c r="J310" s="205"/>
      <c r="K310" s="205" t="s">
        <v>1036</v>
      </c>
      <c r="L310" s="205" t="s">
        <v>1208</v>
      </c>
      <c r="M310" s="205" t="s">
        <v>1209</v>
      </c>
      <c r="N310" s="205"/>
      <c r="O310" s="205"/>
      <c r="P310" s="205"/>
      <c r="Q310" s="205"/>
      <c r="R310" s="206"/>
    </row>
    <row r="311" spans="2:18" x14ac:dyDescent="0.25">
      <c r="B311" s="204" t="s">
        <v>564</v>
      </c>
      <c r="C311" s="205" t="str">
        <f t="shared" si="4"/>
        <v>Solução de fonte    -   ()</v>
      </c>
      <c r="D311" s="205"/>
      <c r="E311" s="205" t="s">
        <v>999</v>
      </c>
      <c r="F311" s="205"/>
      <c r="G311" s="205"/>
      <c r="H311" s="205"/>
      <c r="I311" s="205"/>
      <c r="J311" s="205"/>
      <c r="K311" s="205" t="s">
        <v>1029</v>
      </c>
      <c r="L311" s="205" t="s">
        <v>1201</v>
      </c>
      <c r="M311" s="205" t="s">
        <v>1022</v>
      </c>
      <c r="N311" s="205"/>
      <c r="O311" s="205"/>
      <c r="P311" s="205"/>
      <c r="Q311" s="205"/>
      <c r="R311" s="206"/>
    </row>
    <row r="312" spans="2:18" x14ac:dyDescent="0.25">
      <c r="B312" s="204" t="s">
        <v>565</v>
      </c>
      <c r="C312" s="205" t="str">
        <f t="shared" si="4"/>
        <v>Solvente para limpeza  de máquinas  -   ()</v>
      </c>
      <c r="D312" s="205"/>
      <c r="E312" s="205" t="s">
        <v>1197</v>
      </c>
      <c r="F312" s="205" t="s">
        <v>1196</v>
      </c>
      <c r="G312" s="205" t="s">
        <v>1194</v>
      </c>
      <c r="H312" s="205"/>
      <c r="I312" s="205"/>
      <c r="J312" s="205"/>
      <c r="K312" s="205" t="s">
        <v>1029</v>
      </c>
      <c r="L312" s="205" t="s">
        <v>1201</v>
      </c>
      <c r="M312" s="205" t="s">
        <v>1022</v>
      </c>
      <c r="N312" s="205"/>
      <c r="O312" s="205"/>
      <c r="P312" s="205"/>
      <c r="Q312" s="205"/>
      <c r="R312" s="206"/>
    </row>
    <row r="313" spans="2:18" x14ac:dyDescent="0.25">
      <c r="B313" s="204" t="s">
        <v>566</v>
      </c>
      <c r="C313" s="205" t="str">
        <f t="shared" ref="C313:C338" si="6">E313 &amp; " "  &amp; F313 &amp;   " " &amp; G313 &amp; " "  &amp; " - " &amp; H313 &amp; " " &amp; I313 &amp; " " &amp; "(" &amp; J313 &amp; ")"</f>
        <v>Solvente para limpeza de rolos offset  -   (Rolomatic)</v>
      </c>
      <c r="D313" s="205"/>
      <c r="E313" s="205" t="s">
        <v>1197</v>
      </c>
      <c r="F313" s="205" t="s">
        <v>1196</v>
      </c>
      <c r="G313" s="205" t="s">
        <v>1195</v>
      </c>
      <c r="H313" s="205"/>
      <c r="I313" s="205"/>
      <c r="J313" s="205" t="s">
        <v>1002</v>
      </c>
      <c r="K313" s="205" t="s">
        <v>1029</v>
      </c>
      <c r="L313" s="205" t="s">
        <v>1201</v>
      </c>
      <c r="M313" s="205" t="s">
        <v>1022</v>
      </c>
      <c r="N313" s="205"/>
      <c r="O313" s="205"/>
      <c r="P313" s="205"/>
      <c r="Q313" s="205"/>
      <c r="R313" s="206"/>
    </row>
    <row r="314" spans="2:18" x14ac:dyDescent="0.25">
      <c r="B314" s="204" t="s">
        <v>567</v>
      </c>
      <c r="C314" s="205" t="str">
        <f t="shared" si="6"/>
        <v>Tarugo em madeira    -   ()</v>
      </c>
      <c r="D314" s="205"/>
      <c r="E314" s="205" t="s">
        <v>1003</v>
      </c>
      <c r="F314" s="205"/>
      <c r="G314" s="205"/>
      <c r="H314" s="205"/>
      <c r="I314" s="205"/>
      <c r="J314" s="205"/>
      <c r="K314" s="205" t="s">
        <v>1036</v>
      </c>
      <c r="L314" s="205" t="s">
        <v>1208</v>
      </c>
      <c r="M314" s="205" t="s">
        <v>1209</v>
      </c>
      <c r="N314" s="205"/>
      <c r="O314" s="205"/>
      <c r="P314" s="205"/>
      <c r="Q314" s="205"/>
      <c r="R314" s="206"/>
    </row>
    <row r="315" spans="2:18" x14ac:dyDescent="0.25">
      <c r="B315" s="204" t="s">
        <v>568</v>
      </c>
      <c r="C315" s="205" t="str">
        <f t="shared" si="6"/>
        <v>Tecido cetim    -  Branco ()</v>
      </c>
      <c r="D315" s="205"/>
      <c r="E315" s="205" t="s">
        <v>1004</v>
      </c>
      <c r="F315" s="205"/>
      <c r="G315" s="205"/>
      <c r="H315" s="205"/>
      <c r="I315" s="205" t="s">
        <v>41</v>
      </c>
      <c r="J315" s="205"/>
      <c r="K315" s="205" t="s">
        <v>1036</v>
      </c>
      <c r="L315" s="205" t="s">
        <v>1208</v>
      </c>
      <c r="M315" s="205" t="s">
        <v>1209</v>
      </c>
      <c r="N315" s="205"/>
      <c r="O315" s="205"/>
      <c r="P315" s="205"/>
      <c r="Q315" s="205"/>
      <c r="R315" s="206"/>
    </row>
    <row r="316" spans="2:18" x14ac:dyDescent="0.25">
      <c r="B316" s="204" t="s">
        <v>569</v>
      </c>
      <c r="C316" s="205" t="str">
        <f t="shared" si="6"/>
        <v>Tecido cetim    -  Preto ()</v>
      </c>
      <c r="D316" s="205"/>
      <c r="E316" s="205" t="s">
        <v>1004</v>
      </c>
      <c r="F316" s="205"/>
      <c r="G316" s="205"/>
      <c r="H316" s="205"/>
      <c r="I316" s="205" t="s">
        <v>614</v>
      </c>
      <c r="J316" s="205"/>
      <c r="K316" s="205" t="s">
        <v>1036</v>
      </c>
      <c r="L316" s="205" t="s">
        <v>1208</v>
      </c>
      <c r="M316" s="205" t="s">
        <v>1209</v>
      </c>
      <c r="N316" s="205"/>
      <c r="O316" s="205"/>
      <c r="P316" s="205"/>
      <c r="Q316" s="205"/>
      <c r="R316" s="206"/>
    </row>
    <row r="317" spans="2:18" x14ac:dyDescent="0.25">
      <c r="B317" s="204" t="s">
        <v>570</v>
      </c>
      <c r="C317" s="205" t="str">
        <f t="shared" si="6"/>
        <v>Tecido cetim    -  Verde ()</v>
      </c>
      <c r="D317" s="205"/>
      <c r="E317" s="205" t="s">
        <v>1004</v>
      </c>
      <c r="F317" s="205"/>
      <c r="G317" s="205"/>
      <c r="H317" s="205"/>
      <c r="I317" s="205" t="s">
        <v>638</v>
      </c>
      <c r="J317" s="205"/>
      <c r="K317" s="205" t="s">
        <v>1036</v>
      </c>
      <c r="L317" s="205" t="s">
        <v>1208</v>
      </c>
      <c r="M317" s="205" t="s">
        <v>1209</v>
      </c>
      <c r="N317" s="205"/>
      <c r="O317" s="205"/>
      <c r="P317" s="205"/>
      <c r="Q317" s="205"/>
      <c r="R317" s="206"/>
    </row>
    <row r="318" spans="2:18" x14ac:dyDescent="0.25">
      <c r="B318" s="204" t="s">
        <v>571</v>
      </c>
      <c r="C318" s="205" t="str">
        <f t="shared" si="6"/>
        <v>Tecido cetim    -  Vermelho ()</v>
      </c>
      <c r="D318" s="205"/>
      <c r="E318" s="205" t="s">
        <v>1004</v>
      </c>
      <c r="F318" s="205"/>
      <c r="G318" s="205"/>
      <c r="H318" s="205"/>
      <c r="I318" s="205" t="s">
        <v>46</v>
      </c>
      <c r="J318" s="205"/>
      <c r="K318" s="205" t="s">
        <v>1036</v>
      </c>
      <c r="L318" s="205" t="s">
        <v>1208</v>
      </c>
      <c r="M318" s="205" t="s">
        <v>1209</v>
      </c>
      <c r="N318" s="205"/>
      <c r="O318" s="205"/>
      <c r="P318" s="205"/>
      <c r="Q318" s="205"/>
      <c r="R318" s="206"/>
    </row>
    <row r="319" spans="2:18" x14ac:dyDescent="0.25">
      <c r="B319" s="204" t="s">
        <v>572</v>
      </c>
      <c r="C319" s="205" t="str">
        <f t="shared" si="6"/>
        <v>Tesoura em aço inoxidável   -  Média ()</v>
      </c>
      <c r="D319" s="205"/>
      <c r="E319" s="205" t="s">
        <v>754</v>
      </c>
      <c r="F319" s="205" t="s">
        <v>1008</v>
      </c>
      <c r="G319" s="205"/>
      <c r="H319" s="205"/>
      <c r="I319" s="205" t="s">
        <v>1007</v>
      </c>
      <c r="J319" s="205"/>
      <c r="K319" s="205" t="s">
        <v>1224</v>
      </c>
      <c r="L319" s="205" t="s">
        <v>1204</v>
      </c>
      <c r="M319" s="205"/>
      <c r="N319" s="205"/>
      <c r="O319" s="205"/>
      <c r="P319" s="205"/>
      <c r="Q319" s="205"/>
      <c r="R319" s="206"/>
    </row>
    <row r="320" spans="2:18" x14ac:dyDescent="0.25">
      <c r="B320" s="204" t="s">
        <v>573</v>
      </c>
      <c r="C320" s="205" t="str">
        <f t="shared" si="6"/>
        <v>Tinta para Plotter DesignJet 5500   -  Amarela ()</v>
      </c>
      <c r="D320" s="205"/>
      <c r="E320" s="205" t="s">
        <v>1198</v>
      </c>
      <c r="F320" s="205" t="s">
        <v>1087</v>
      </c>
      <c r="G320" s="205"/>
      <c r="H320" s="205"/>
      <c r="I320" s="205" t="s">
        <v>720</v>
      </c>
      <c r="J320" s="205"/>
      <c r="K320" s="205" t="s">
        <v>1225</v>
      </c>
      <c r="L320" s="205" t="s">
        <v>1221</v>
      </c>
      <c r="M320" s="205" t="s">
        <v>1218</v>
      </c>
      <c r="N320" s="205"/>
      <c r="O320" s="205"/>
      <c r="P320" s="205"/>
      <c r="Q320" s="205"/>
      <c r="R320" s="206"/>
    </row>
    <row r="321" spans="2:18" x14ac:dyDescent="0.25">
      <c r="B321" s="204" t="s">
        <v>574</v>
      </c>
      <c r="C321" s="205" t="str">
        <f t="shared" si="6"/>
        <v>Tinta para Plotter DesignJet 5500   -   Ciano ()</v>
      </c>
      <c r="D321" s="205"/>
      <c r="E321" s="205" t="s">
        <v>1198</v>
      </c>
      <c r="F321" s="205" t="s">
        <v>1087</v>
      </c>
      <c r="G321" s="205"/>
      <c r="H321" s="205"/>
      <c r="I321" s="205" t="s">
        <v>726</v>
      </c>
      <c r="J321" s="205"/>
      <c r="K321" s="205" t="s">
        <v>1225</v>
      </c>
      <c r="L321" s="205" t="s">
        <v>1221</v>
      </c>
      <c r="M321" s="205" t="s">
        <v>1218</v>
      </c>
      <c r="N321" s="205"/>
      <c r="O321" s="205"/>
      <c r="P321" s="205"/>
      <c r="Q321" s="205"/>
      <c r="R321" s="206"/>
    </row>
    <row r="322" spans="2:18" x14ac:dyDescent="0.25">
      <c r="B322" s="204" t="s">
        <v>575</v>
      </c>
      <c r="C322" s="205" t="str">
        <f t="shared" si="6"/>
        <v>Tinta para Plotter DesignJet 5500   -  Ciano Claro ()</v>
      </c>
      <c r="D322" s="205"/>
      <c r="E322" s="205" t="s">
        <v>1198</v>
      </c>
      <c r="F322" s="205" t="s">
        <v>1087</v>
      </c>
      <c r="G322" s="205"/>
      <c r="H322" s="205"/>
      <c r="I322" s="205" t="s">
        <v>611</v>
      </c>
      <c r="J322" s="205"/>
      <c r="K322" s="205" t="s">
        <v>1225</v>
      </c>
      <c r="L322" s="205" t="s">
        <v>1221</v>
      </c>
      <c r="M322" s="205" t="s">
        <v>1218</v>
      </c>
      <c r="N322" s="205"/>
      <c r="O322" s="205"/>
      <c r="P322" s="205"/>
      <c r="Q322" s="205"/>
      <c r="R322" s="206"/>
    </row>
    <row r="323" spans="2:18" x14ac:dyDescent="0.25">
      <c r="B323" s="204" t="s">
        <v>576</v>
      </c>
      <c r="C323" s="205" t="str">
        <f t="shared" si="6"/>
        <v>Tinta para Plotter DesignJet 5500   -   Magenta ()</v>
      </c>
      <c r="D323" s="205"/>
      <c r="E323" s="205" t="s">
        <v>1198</v>
      </c>
      <c r="F323" s="205" t="s">
        <v>1087</v>
      </c>
      <c r="G323" s="205"/>
      <c r="H323" s="205"/>
      <c r="I323" s="205" t="s">
        <v>728</v>
      </c>
      <c r="J323" s="205"/>
      <c r="K323" s="205" t="s">
        <v>1225</v>
      </c>
      <c r="L323" s="205" t="s">
        <v>1221</v>
      </c>
      <c r="M323" s="205" t="s">
        <v>1218</v>
      </c>
      <c r="N323" s="205"/>
      <c r="O323" s="205"/>
      <c r="P323" s="205"/>
      <c r="Q323" s="205"/>
      <c r="R323" s="206"/>
    </row>
    <row r="324" spans="2:18" x14ac:dyDescent="0.25">
      <c r="B324" s="204" t="s">
        <v>577</v>
      </c>
      <c r="C324" s="205" t="str">
        <f t="shared" si="6"/>
        <v>Tinta para Plotter DesignJet 5500   -  Magenta Claro ()</v>
      </c>
      <c r="D324" s="205"/>
      <c r="E324" s="205" t="s">
        <v>1198</v>
      </c>
      <c r="F324" s="205" t="s">
        <v>1087</v>
      </c>
      <c r="G324" s="205"/>
      <c r="H324" s="205"/>
      <c r="I324" s="205" t="s">
        <v>613</v>
      </c>
      <c r="J324" s="205"/>
      <c r="K324" s="205" t="s">
        <v>1225</v>
      </c>
      <c r="L324" s="205" t="s">
        <v>1221</v>
      </c>
      <c r="M324" s="205" t="s">
        <v>1218</v>
      </c>
      <c r="N324" s="205"/>
      <c r="O324" s="205"/>
      <c r="P324" s="205"/>
      <c r="Q324" s="205"/>
      <c r="R324" s="206"/>
    </row>
    <row r="325" spans="2:18" x14ac:dyDescent="0.25">
      <c r="B325" s="204" t="s">
        <v>578</v>
      </c>
      <c r="C325" s="205" t="str">
        <f t="shared" si="6"/>
        <v>Tinta para Plotter DesignJet 5500   -  Preta ()</v>
      </c>
      <c r="D325" s="205"/>
      <c r="E325" s="205" t="s">
        <v>1198</v>
      </c>
      <c r="F325" s="205" t="s">
        <v>1087</v>
      </c>
      <c r="G325" s="205"/>
      <c r="H325" s="205"/>
      <c r="I325" s="205" t="s">
        <v>617</v>
      </c>
      <c r="J325" s="205"/>
      <c r="K325" s="205" t="s">
        <v>1225</v>
      </c>
      <c r="L325" s="205" t="s">
        <v>1221</v>
      </c>
      <c r="M325" s="205" t="s">
        <v>1218</v>
      </c>
      <c r="N325" s="205"/>
      <c r="O325" s="205"/>
      <c r="P325" s="205"/>
      <c r="Q325" s="205"/>
      <c r="R325" s="206"/>
    </row>
    <row r="326" spans="2:18" x14ac:dyDescent="0.25">
      <c r="B326" s="204" t="s">
        <v>579</v>
      </c>
      <c r="C326" s="205" t="str">
        <f t="shared" si="6"/>
        <v>Tinta para Offset    -  Amarela (?)</v>
      </c>
      <c r="D326" s="205"/>
      <c r="E326" s="205" t="s">
        <v>816</v>
      </c>
      <c r="F326" s="205"/>
      <c r="G326" s="205"/>
      <c r="H326" s="205"/>
      <c r="I326" s="205" t="s">
        <v>720</v>
      </c>
      <c r="J326" s="205" t="s">
        <v>721</v>
      </c>
      <c r="K326" s="205" t="s">
        <v>1029</v>
      </c>
      <c r="L326" s="205" t="s">
        <v>1221</v>
      </c>
      <c r="M326" s="205" t="s">
        <v>1022</v>
      </c>
      <c r="N326" s="205"/>
      <c r="O326" s="205"/>
      <c r="P326" s="205"/>
      <c r="Q326" s="205"/>
      <c r="R326" s="206"/>
    </row>
    <row r="327" spans="2:18" x14ac:dyDescent="0.25">
      <c r="B327" s="204" t="s">
        <v>580</v>
      </c>
      <c r="C327" s="205" t="str">
        <f t="shared" si="6"/>
        <v>Tinta para Offset    -  Ciano ()</v>
      </c>
      <c r="D327" s="205"/>
      <c r="E327" s="205" t="s">
        <v>816</v>
      </c>
      <c r="F327" s="205"/>
      <c r="G327" s="205"/>
      <c r="H327" s="205"/>
      <c r="I327" s="205" t="s">
        <v>610</v>
      </c>
      <c r="J327" s="205"/>
      <c r="K327" s="205" t="s">
        <v>1029</v>
      </c>
      <c r="L327" s="205" t="s">
        <v>1221</v>
      </c>
      <c r="M327" s="205" t="s">
        <v>1022</v>
      </c>
      <c r="N327" s="205"/>
      <c r="O327" s="205"/>
      <c r="P327" s="205"/>
      <c r="Q327" s="205"/>
      <c r="R327" s="206"/>
    </row>
    <row r="328" spans="2:18" x14ac:dyDescent="0.25">
      <c r="B328" s="204" t="s">
        <v>581</v>
      </c>
      <c r="C328" s="205" t="str">
        <f t="shared" si="6"/>
        <v>Tinta para Offset    -  Magenta ()</v>
      </c>
      <c r="D328" s="205"/>
      <c r="E328" s="205" t="s">
        <v>816</v>
      </c>
      <c r="F328" s="205"/>
      <c r="G328" s="205"/>
      <c r="H328" s="205"/>
      <c r="I328" s="205" t="s">
        <v>612</v>
      </c>
      <c r="J328" s="205"/>
      <c r="K328" s="205" t="s">
        <v>1029</v>
      </c>
      <c r="L328" s="205" t="s">
        <v>1221</v>
      </c>
      <c r="M328" s="205" t="s">
        <v>1022</v>
      </c>
      <c r="N328" s="205"/>
      <c r="O328" s="205"/>
      <c r="P328" s="205"/>
      <c r="Q328" s="205"/>
      <c r="R328" s="206"/>
    </row>
    <row r="329" spans="2:18" x14ac:dyDescent="0.25">
      <c r="B329" s="204" t="s">
        <v>582</v>
      </c>
      <c r="C329" s="205" t="str">
        <f t="shared" si="6"/>
        <v>Tinta para Offset    -  Preta ()</v>
      </c>
      <c r="D329" s="205"/>
      <c r="E329" s="205" t="s">
        <v>816</v>
      </c>
      <c r="F329" s="205"/>
      <c r="G329" s="205"/>
      <c r="H329" s="205"/>
      <c r="I329" s="205" t="s">
        <v>617</v>
      </c>
      <c r="J329" s="205"/>
      <c r="K329" s="205" t="s">
        <v>1029</v>
      </c>
      <c r="L329" s="205" t="s">
        <v>1221</v>
      </c>
      <c r="M329" s="205" t="s">
        <v>1022</v>
      </c>
      <c r="N329" s="205"/>
      <c r="O329" s="205"/>
      <c r="P329" s="205"/>
      <c r="Q329" s="205"/>
      <c r="R329" s="206"/>
    </row>
    <row r="330" spans="2:18" x14ac:dyDescent="0.25">
      <c r="B330" s="204" t="s">
        <v>583</v>
      </c>
      <c r="C330" s="205" t="str">
        <f t="shared" si="6"/>
        <v>Tinta para Carimbo    -   ()</v>
      </c>
      <c r="D330" s="205"/>
      <c r="E330" s="205" t="s">
        <v>583</v>
      </c>
      <c r="F330" s="205"/>
      <c r="G330" s="205"/>
      <c r="H330" s="205"/>
      <c r="I330" s="205"/>
      <c r="J330" s="205"/>
      <c r="K330" s="205" t="s">
        <v>1224</v>
      </c>
      <c r="L330" s="205" t="s">
        <v>1204</v>
      </c>
      <c r="M330" s="205"/>
      <c r="N330" s="205"/>
      <c r="O330" s="205"/>
      <c r="P330" s="205"/>
      <c r="Q330" s="205"/>
      <c r="R330" s="206"/>
    </row>
    <row r="331" spans="2:18" x14ac:dyDescent="0.25">
      <c r="B331" s="204" t="s">
        <v>584</v>
      </c>
      <c r="C331" s="205" t="str">
        <f t="shared" si="6"/>
        <v>Umedecedor de dedos    -   ()</v>
      </c>
      <c r="D331" s="205"/>
      <c r="E331" s="205" t="s">
        <v>1005</v>
      </c>
      <c r="F331" s="205"/>
      <c r="G331" s="205"/>
      <c r="H331" s="205"/>
      <c r="I331" s="205"/>
      <c r="J331" s="205"/>
      <c r="K331" s="205" t="s">
        <v>1224</v>
      </c>
      <c r="L331" s="205" t="s">
        <v>1204</v>
      </c>
      <c r="M331" s="205"/>
      <c r="N331" s="205"/>
      <c r="O331" s="205"/>
      <c r="P331" s="205"/>
      <c r="Q331" s="205"/>
      <c r="R331" s="206"/>
    </row>
    <row r="332" spans="2:18" x14ac:dyDescent="0.25">
      <c r="B332" s="204" t="s">
        <v>585</v>
      </c>
      <c r="C332" s="205" t="str">
        <f t="shared" si="6"/>
        <v>Verniz transparente para Offset   -   ()</v>
      </c>
      <c r="D332" s="205"/>
      <c r="E332" s="205" t="s">
        <v>1199</v>
      </c>
      <c r="F332" s="205" t="s">
        <v>1200</v>
      </c>
      <c r="G332" s="205"/>
      <c r="H332" s="205"/>
      <c r="I332" s="205"/>
      <c r="J332" s="205"/>
      <c r="K332" s="205" t="s">
        <v>1029</v>
      </c>
      <c r="L332" s="205" t="s">
        <v>1221</v>
      </c>
      <c r="M332" s="205" t="s">
        <v>1022</v>
      </c>
      <c r="N332" s="205"/>
      <c r="O332" s="205"/>
      <c r="P332" s="205"/>
      <c r="Q332" s="205"/>
      <c r="R332" s="206"/>
    </row>
    <row r="333" spans="2:18" x14ac:dyDescent="0.25">
      <c r="B333" s="204" t="s">
        <v>586</v>
      </c>
      <c r="C333" s="205" t="str">
        <f t="shared" si="6"/>
        <v>Crepel    -  Azul Marinho (Vulcapel )</v>
      </c>
      <c r="D333" s="205"/>
      <c r="E333" s="205" t="s">
        <v>722</v>
      </c>
      <c r="F333" s="205"/>
      <c r="G333" s="205"/>
      <c r="H333" s="205"/>
      <c r="I333" s="205" t="s">
        <v>723</v>
      </c>
      <c r="J333" s="205" t="s">
        <v>724</v>
      </c>
      <c r="K333" s="205" t="s">
        <v>1036</v>
      </c>
      <c r="L333" s="205" t="s">
        <v>1208</v>
      </c>
      <c r="M333" s="205" t="s">
        <v>1209</v>
      </c>
      <c r="N333" s="205"/>
      <c r="O333" s="205"/>
      <c r="P333" s="205"/>
      <c r="Q333" s="205"/>
      <c r="R333" s="206"/>
    </row>
    <row r="334" spans="2:18" x14ac:dyDescent="0.25">
      <c r="B334" s="204" t="s">
        <v>587</v>
      </c>
      <c r="C334" s="205" t="str">
        <f t="shared" si="6"/>
        <v>Crepel    -  Azul Royal (Vulcapel )</v>
      </c>
      <c r="D334" s="205"/>
      <c r="E334" s="205" t="s">
        <v>722</v>
      </c>
      <c r="F334" s="205"/>
      <c r="G334" s="205"/>
      <c r="H334" s="205"/>
      <c r="I334" s="205" t="s">
        <v>725</v>
      </c>
      <c r="J334" s="205" t="s">
        <v>724</v>
      </c>
      <c r="K334" s="205" t="s">
        <v>1036</v>
      </c>
      <c r="L334" s="205" t="s">
        <v>1208</v>
      </c>
      <c r="M334" s="205" t="s">
        <v>1209</v>
      </c>
      <c r="N334" s="205"/>
      <c r="O334" s="205"/>
      <c r="P334" s="205"/>
      <c r="Q334" s="205"/>
      <c r="R334" s="206"/>
    </row>
    <row r="335" spans="2:18" x14ac:dyDescent="0.25">
      <c r="B335" s="204" t="s">
        <v>588</v>
      </c>
      <c r="C335" s="205" t="str">
        <f t="shared" si="6"/>
        <v>Crepel    -  Preto (Vulcapel )</v>
      </c>
      <c r="D335" s="205"/>
      <c r="E335" s="205" t="s">
        <v>722</v>
      </c>
      <c r="F335" s="205"/>
      <c r="G335" s="205"/>
      <c r="H335" s="205"/>
      <c r="I335" s="205" t="s">
        <v>614</v>
      </c>
      <c r="J335" s="205" t="s">
        <v>724</v>
      </c>
      <c r="K335" s="205" t="s">
        <v>1036</v>
      </c>
      <c r="L335" s="205" t="s">
        <v>1208</v>
      </c>
      <c r="M335" s="205" t="s">
        <v>1209</v>
      </c>
      <c r="N335" s="205"/>
      <c r="O335" s="205"/>
      <c r="P335" s="205"/>
      <c r="Q335" s="205"/>
      <c r="R335" s="206"/>
    </row>
    <row r="336" spans="2:18" x14ac:dyDescent="0.25">
      <c r="B336" s="204" t="s">
        <v>589</v>
      </c>
      <c r="C336" s="205" t="str">
        <f t="shared" si="6"/>
        <v>Crepel    -  Verde (Vulcapel )</v>
      </c>
      <c r="D336" s="205"/>
      <c r="E336" s="205" t="s">
        <v>722</v>
      </c>
      <c r="F336" s="205"/>
      <c r="G336" s="205"/>
      <c r="H336" s="205"/>
      <c r="I336" s="205" t="s">
        <v>638</v>
      </c>
      <c r="J336" s="205" t="s">
        <v>724</v>
      </c>
      <c r="K336" s="205" t="s">
        <v>1036</v>
      </c>
      <c r="L336" s="205" t="s">
        <v>1208</v>
      </c>
      <c r="M336" s="205" t="s">
        <v>1209</v>
      </c>
      <c r="N336" s="205"/>
      <c r="O336" s="205"/>
      <c r="P336" s="205"/>
      <c r="Q336" s="205"/>
      <c r="R336" s="206"/>
    </row>
    <row r="337" spans="2:18" x14ac:dyDescent="0.25">
      <c r="B337" s="204" t="s">
        <v>590</v>
      </c>
      <c r="C337" s="205" t="str">
        <f t="shared" si="6"/>
        <v>Crepel    -  Vermelho (Vulcapel )</v>
      </c>
      <c r="D337" s="205"/>
      <c r="E337" s="205" t="s">
        <v>722</v>
      </c>
      <c r="F337" s="205"/>
      <c r="G337" s="205"/>
      <c r="H337" s="205"/>
      <c r="I337" s="205" t="s">
        <v>46</v>
      </c>
      <c r="J337" s="205" t="s">
        <v>724</v>
      </c>
      <c r="K337" s="205" t="s">
        <v>1036</v>
      </c>
      <c r="L337" s="205" t="s">
        <v>1208</v>
      </c>
      <c r="M337" s="205" t="s">
        <v>1209</v>
      </c>
      <c r="N337" s="205"/>
      <c r="O337" s="205"/>
      <c r="P337" s="205"/>
      <c r="Q337" s="205"/>
      <c r="R337" s="206"/>
    </row>
    <row r="338" spans="2:18" x14ac:dyDescent="0.25">
      <c r="B338" s="204" t="s">
        <v>591</v>
      </c>
      <c r="C338" s="205" t="str">
        <f t="shared" si="6"/>
        <v>Crepel    -  Vinho (Vulcapel )</v>
      </c>
      <c r="D338" s="205"/>
      <c r="E338" s="205" t="s">
        <v>722</v>
      </c>
      <c r="F338" s="205"/>
      <c r="G338" s="205"/>
      <c r="H338" s="205"/>
      <c r="I338" s="205" t="s">
        <v>639</v>
      </c>
      <c r="J338" s="205" t="s">
        <v>724</v>
      </c>
      <c r="K338" s="205" t="s">
        <v>1036</v>
      </c>
      <c r="L338" s="205" t="s">
        <v>1208</v>
      </c>
      <c r="M338" s="205" t="s">
        <v>1209</v>
      </c>
      <c r="N338" s="205"/>
      <c r="O338" s="205"/>
      <c r="P338" s="205"/>
      <c r="Q338" s="205"/>
      <c r="R338" s="20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Pços Unit Mercado</vt:lpstr>
      <vt:lpstr>Produtos</vt:lpstr>
      <vt:lpstr> EstruturaDados</vt:lpstr>
      <vt:lpstr>BseDados</vt:lpstr>
      <vt:lpstr>Configs</vt:lpstr>
      <vt:lpstr>UN</vt:lpstr>
      <vt:lpstr>ProdsLista</vt:lpstr>
      <vt:lpstr>Produtos!Area_de_impressao</vt:lpstr>
      <vt:lpstr>Produtos!Criterios</vt:lpstr>
      <vt:lpstr>BseDados!DataRows</vt:lpstr>
      <vt:lpstr>Configs!DataRows</vt:lpstr>
      <vt:lpstr>BseDados!DataTbe</vt:lpstr>
      <vt:lpstr>Configs!DataTbe</vt:lpstr>
      <vt:lpstr>Produtos!DataTbe_Print</vt:lpstr>
      <vt:lpstr>Configs!Frame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Felps</dc:creator>
  <cp:lastModifiedBy>Paulo Felipe Scherer</cp:lastModifiedBy>
  <cp:lastPrinted>2021-02-26T22:32:35Z</cp:lastPrinted>
  <dcterms:created xsi:type="dcterms:W3CDTF">2015-06-05T18:17:20Z</dcterms:created>
  <dcterms:modified xsi:type="dcterms:W3CDTF">2025-04-11T20:48:48Z</dcterms:modified>
</cp:coreProperties>
</file>